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7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8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9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0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1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2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3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4.xml" ContentType="application/vnd.openxmlformats-officedocument.drawing+xml"/>
  <Override PartName="/xl/charts/chart24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5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6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7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8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9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30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1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2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3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4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5.xml" ContentType="application/vnd.openxmlformats-officedocument.drawing+xml"/>
  <Override PartName="/xl/charts/chart35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6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7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8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9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40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1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2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3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6.xml" ContentType="application/vnd.openxmlformats-officedocument.drawing+xml"/>
  <Override PartName="/xl/charts/chart44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5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6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7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8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9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50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1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2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3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4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drawings/drawing7.xml" ContentType="application/vnd.openxmlformats-officedocument.drawing+xml"/>
  <Override PartName="/xl/charts/chart55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6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7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8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9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60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1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2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3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4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5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drawings/drawing8.xml" ContentType="application/vnd.openxmlformats-officedocument.drawing+xml"/>
  <Override PartName="/xl/charts/chart66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7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8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9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70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1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2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3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charts/chart74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5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6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7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drawings/drawing9.xml" ContentType="application/vnd.openxmlformats-officedocument.drawing+xml"/>
  <Override PartName="/xl/charts/chart78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79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80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81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charts/chart82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harts/chart83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charts/chart84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85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charts/chart86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charts/chart87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charts/chart88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charts/chart89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charts/chart90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drawings/drawing10.xml" ContentType="application/vnd.openxmlformats-officedocument.drawing+xml"/>
  <Override PartName="/xl/charts/chart91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charts/chart92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charts/chart93.xml" ContentType="application/vnd.openxmlformats-officedocument.drawingml.chart+xml"/>
  <Override PartName="/xl/charts/style92.xml" ContentType="application/vnd.ms-office.chartstyle+xml"/>
  <Override PartName="/xl/charts/colors92.xml" ContentType="application/vnd.ms-office.chartcolorstyle+xml"/>
  <Override PartName="/xl/charts/chart94.xml" ContentType="application/vnd.openxmlformats-officedocument.drawingml.chart+xml"/>
  <Override PartName="/xl/charts/style93.xml" ContentType="application/vnd.ms-office.chartstyle+xml"/>
  <Override PartName="/xl/charts/colors93.xml" ContentType="application/vnd.ms-office.chartcolorstyle+xml"/>
  <Override PartName="/xl/charts/chart95.xml" ContentType="application/vnd.openxmlformats-officedocument.drawingml.chart+xml"/>
  <Override PartName="/xl/charts/style94.xml" ContentType="application/vnd.ms-office.chartstyle+xml"/>
  <Override PartName="/xl/charts/colors94.xml" ContentType="application/vnd.ms-office.chartcolorstyle+xml"/>
  <Override PartName="/xl/charts/chart96.xml" ContentType="application/vnd.openxmlformats-officedocument.drawingml.chart+xml"/>
  <Override PartName="/xl/charts/style95.xml" ContentType="application/vnd.ms-office.chartstyle+xml"/>
  <Override PartName="/xl/charts/colors95.xml" ContentType="application/vnd.ms-office.chartcolorstyle+xml"/>
  <Override PartName="/xl/charts/chart97.xml" ContentType="application/vnd.openxmlformats-officedocument.drawingml.chart+xml"/>
  <Override PartName="/xl/charts/style96.xml" ContentType="application/vnd.ms-office.chartstyle+xml"/>
  <Override PartName="/xl/charts/colors96.xml" ContentType="application/vnd.ms-office.chartcolorstyle+xml"/>
  <Override PartName="/xl/charts/chart98.xml" ContentType="application/vnd.openxmlformats-officedocument.drawingml.chart+xml"/>
  <Override PartName="/xl/charts/style97.xml" ContentType="application/vnd.ms-office.chartstyle+xml"/>
  <Override PartName="/xl/charts/colors97.xml" ContentType="application/vnd.ms-office.chartcolorstyle+xml"/>
  <Override PartName="/xl/charts/chart99.xml" ContentType="application/vnd.openxmlformats-officedocument.drawingml.chart+xml"/>
  <Override PartName="/xl/charts/style98.xml" ContentType="application/vnd.ms-office.chartstyle+xml"/>
  <Override PartName="/xl/charts/colors98.xml" ContentType="application/vnd.ms-office.chartcolorstyle+xml"/>
  <Override PartName="/xl/charts/chart100.xml" ContentType="application/vnd.openxmlformats-officedocument.drawingml.chart+xml"/>
  <Override PartName="/xl/charts/style99.xml" ContentType="application/vnd.ms-office.chartstyle+xml"/>
  <Override PartName="/xl/charts/colors99.xml" ContentType="application/vnd.ms-office.chartcolorstyle+xml"/>
  <Override PartName="/xl/charts/chart101.xml" ContentType="application/vnd.openxmlformats-officedocument.drawingml.chart+xml"/>
  <Override PartName="/xl/charts/style100.xml" ContentType="application/vnd.ms-office.chartstyle+xml"/>
  <Override PartName="/xl/charts/colors100.xml" ContentType="application/vnd.ms-office.chartcolorstyle+xml"/>
  <Override PartName="/xl/charts/chart102.xml" ContentType="application/vnd.openxmlformats-officedocument.drawingml.chart+xml"/>
  <Override PartName="/xl/charts/style101.xml" ContentType="application/vnd.ms-office.chartstyle+xml"/>
  <Override PartName="/xl/charts/colors101.xml" ContentType="application/vnd.ms-office.chartcolorstyle+xml"/>
  <Override PartName="/xl/drawings/drawing11.xml" ContentType="application/vnd.openxmlformats-officedocument.drawing+xml"/>
  <Override PartName="/xl/charts/chart103.xml" ContentType="application/vnd.openxmlformats-officedocument.drawingml.chart+xml"/>
  <Override PartName="/xl/charts/style102.xml" ContentType="application/vnd.ms-office.chartstyle+xml"/>
  <Override PartName="/xl/charts/colors102.xml" ContentType="application/vnd.ms-office.chartcolorstyle+xml"/>
  <Override PartName="/xl/charts/chart104.xml" ContentType="application/vnd.openxmlformats-officedocument.drawingml.chart+xml"/>
  <Override PartName="/xl/charts/style103.xml" ContentType="application/vnd.ms-office.chartstyle+xml"/>
  <Override PartName="/xl/charts/colors103.xml" ContentType="application/vnd.ms-office.chartcolorstyle+xml"/>
  <Override PartName="/xl/charts/chart105.xml" ContentType="application/vnd.openxmlformats-officedocument.drawingml.chart+xml"/>
  <Override PartName="/xl/charts/style104.xml" ContentType="application/vnd.ms-office.chartstyle+xml"/>
  <Override PartName="/xl/charts/colors104.xml" ContentType="application/vnd.ms-office.chartcolorstyle+xml"/>
  <Override PartName="/xl/charts/chart106.xml" ContentType="application/vnd.openxmlformats-officedocument.drawingml.chart+xml"/>
  <Override PartName="/xl/charts/style105.xml" ContentType="application/vnd.ms-office.chartstyle+xml"/>
  <Override PartName="/xl/charts/colors105.xml" ContentType="application/vnd.ms-office.chartcolorstyle+xml"/>
  <Override PartName="/xl/charts/chart107.xml" ContentType="application/vnd.openxmlformats-officedocument.drawingml.chart+xml"/>
  <Override PartName="/xl/charts/style106.xml" ContentType="application/vnd.ms-office.chartstyle+xml"/>
  <Override PartName="/xl/charts/colors106.xml" ContentType="application/vnd.ms-office.chartcolorstyle+xml"/>
  <Override PartName="/xl/charts/chart108.xml" ContentType="application/vnd.openxmlformats-officedocument.drawingml.chart+xml"/>
  <Override PartName="/xl/charts/style107.xml" ContentType="application/vnd.ms-office.chartstyle+xml"/>
  <Override PartName="/xl/charts/colors107.xml" ContentType="application/vnd.ms-office.chartcolorstyle+xml"/>
  <Override PartName="/xl/charts/chart109.xml" ContentType="application/vnd.openxmlformats-officedocument.drawingml.chart+xml"/>
  <Override PartName="/xl/charts/style108.xml" ContentType="application/vnd.ms-office.chartstyle+xml"/>
  <Override PartName="/xl/charts/colors108.xml" ContentType="application/vnd.ms-office.chartcolorstyle+xml"/>
  <Override PartName="/xl/charts/chart110.xml" ContentType="application/vnd.openxmlformats-officedocument.drawingml.chart+xml"/>
  <Override PartName="/xl/charts/style109.xml" ContentType="application/vnd.ms-office.chartstyle+xml"/>
  <Override PartName="/xl/charts/colors109.xml" ContentType="application/vnd.ms-office.chartcolorstyle+xml"/>
  <Override PartName="/xl/charts/chart111.xml" ContentType="application/vnd.openxmlformats-officedocument.drawingml.chart+xml"/>
  <Override PartName="/xl/charts/style110.xml" ContentType="application/vnd.ms-office.chartstyle+xml"/>
  <Override PartName="/xl/charts/colors110.xml" ContentType="application/vnd.ms-office.chartcolorstyle+xml"/>
  <Override PartName="/xl/charts/chart112.xml" ContentType="application/vnd.openxmlformats-officedocument.drawingml.chart+xml"/>
  <Override PartName="/xl/charts/style111.xml" ContentType="application/vnd.ms-office.chartstyle+xml"/>
  <Override PartName="/xl/charts/colors111.xml" ContentType="application/vnd.ms-office.chartcolorstyle+xml"/>
  <Override PartName="/xl/charts/chart113.xml" ContentType="application/vnd.openxmlformats-officedocument.drawingml.chart+xml"/>
  <Override PartName="/xl/charts/style112.xml" ContentType="application/vnd.ms-office.chartstyle+xml"/>
  <Override PartName="/xl/charts/colors112.xml" ContentType="application/vnd.ms-office.chartcolorstyle+xml"/>
  <Override PartName="/xl/drawings/drawing12.xml" ContentType="application/vnd.openxmlformats-officedocument.drawing+xml"/>
  <Override PartName="/xl/charts/chart114.xml" ContentType="application/vnd.openxmlformats-officedocument.drawingml.chart+xml"/>
  <Override PartName="/xl/charts/style113.xml" ContentType="application/vnd.ms-office.chartstyle+xml"/>
  <Override PartName="/xl/charts/colors113.xml" ContentType="application/vnd.ms-office.chartcolorstyle+xml"/>
  <Override PartName="/xl/charts/chart115.xml" ContentType="application/vnd.openxmlformats-officedocument.drawingml.chart+xml"/>
  <Override PartName="/xl/charts/style114.xml" ContentType="application/vnd.ms-office.chartstyle+xml"/>
  <Override PartName="/xl/charts/colors114.xml" ContentType="application/vnd.ms-office.chartcolorstyle+xml"/>
  <Override PartName="/xl/charts/chart116.xml" ContentType="application/vnd.openxmlformats-officedocument.drawingml.chart+xml"/>
  <Override PartName="/xl/charts/style115.xml" ContentType="application/vnd.ms-office.chartstyle+xml"/>
  <Override PartName="/xl/charts/colors115.xml" ContentType="application/vnd.ms-office.chartcolorstyle+xml"/>
  <Override PartName="/xl/charts/chart117.xml" ContentType="application/vnd.openxmlformats-officedocument.drawingml.chart+xml"/>
  <Override PartName="/xl/charts/style116.xml" ContentType="application/vnd.ms-office.chartstyle+xml"/>
  <Override PartName="/xl/charts/colors116.xml" ContentType="application/vnd.ms-office.chartcolorstyle+xml"/>
  <Override PartName="/xl/charts/chart118.xml" ContentType="application/vnd.openxmlformats-officedocument.drawingml.chart+xml"/>
  <Override PartName="/xl/charts/style117.xml" ContentType="application/vnd.ms-office.chartstyle+xml"/>
  <Override PartName="/xl/charts/colors117.xml" ContentType="application/vnd.ms-office.chartcolorstyle+xml"/>
  <Override PartName="/xl/charts/chart119.xml" ContentType="application/vnd.openxmlformats-officedocument.drawingml.chart+xml"/>
  <Override PartName="/xl/charts/style118.xml" ContentType="application/vnd.ms-office.chartstyle+xml"/>
  <Override PartName="/xl/charts/colors118.xml" ContentType="application/vnd.ms-office.chartcolorstyle+xml"/>
  <Override PartName="/xl/charts/chart120.xml" ContentType="application/vnd.openxmlformats-officedocument.drawingml.chart+xml"/>
  <Override PartName="/xl/charts/style119.xml" ContentType="application/vnd.ms-office.chartstyle+xml"/>
  <Override PartName="/xl/charts/colors119.xml" ContentType="application/vnd.ms-office.chartcolorstyle+xml"/>
  <Override PartName="/xl/charts/chart121.xml" ContentType="application/vnd.openxmlformats-officedocument.drawingml.chart+xml"/>
  <Override PartName="/xl/charts/style120.xml" ContentType="application/vnd.ms-office.chartstyle+xml"/>
  <Override PartName="/xl/charts/colors120.xml" ContentType="application/vnd.ms-office.chartcolorstyle+xml"/>
  <Override PartName="/xl/charts/chart122.xml" ContentType="application/vnd.openxmlformats-officedocument.drawingml.chart+xml"/>
  <Override PartName="/xl/charts/style121.xml" ContentType="application/vnd.ms-office.chartstyle+xml"/>
  <Override PartName="/xl/charts/colors121.xml" ContentType="application/vnd.ms-office.chartcolorstyle+xml"/>
  <Override PartName="/xl/charts/chart123.xml" ContentType="application/vnd.openxmlformats-officedocument.drawingml.chart+xml"/>
  <Override PartName="/xl/charts/style122.xml" ContentType="application/vnd.ms-office.chartstyle+xml"/>
  <Override PartName="/xl/charts/colors122.xml" ContentType="application/vnd.ms-office.chartcolorstyle+xml"/>
  <Override PartName="/xl/charts/chart124.xml" ContentType="application/vnd.openxmlformats-officedocument.drawingml.chart+xml"/>
  <Override PartName="/xl/charts/style123.xml" ContentType="application/vnd.ms-office.chartstyle+xml"/>
  <Override PartName="/xl/charts/colors123.xml" ContentType="application/vnd.ms-office.chartcolorstyle+xml"/>
  <Override PartName="/xl/charts/chart125.xml" ContentType="application/vnd.openxmlformats-officedocument.drawingml.chart+xml"/>
  <Override PartName="/xl/charts/style124.xml" ContentType="application/vnd.ms-office.chartstyle+xml"/>
  <Override PartName="/xl/charts/colors124.xml" ContentType="application/vnd.ms-office.chartcolorstyle+xml"/>
  <Override PartName="/xl/drawings/drawing13.xml" ContentType="application/vnd.openxmlformats-officedocument.drawing+xml"/>
  <Override PartName="/xl/charts/chart126.xml" ContentType="application/vnd.openxmlformats-officedocument.drawingml.chart+xml"/>
  <Override PartName="/xl/charts/style125.xml" ContentType="application/vnd.ms-office.chartstyle+xml"/>
  <Override PartName="/xl/charts/colors125.xml" ContentType="application/vnd.ms-office.chartcolorstyle+xml"/>
  <Override PartName="/xl/charts/chart127.xml" ContentType="application/vnd.openxmlformats-officedocument.drawingml.chart+xml"/>
  <Override PartName="/xl/charts/style126.xml" ContentType="application/vnd.ms-office.chartstyle+xml"/>
  <Override PartName="/xl/charts/colors126.xml" ContentType="application/vnd.ms-office.chartcolorstyle+xml"/>
  <Override PartName="/xl/charts/chart128.xml" ContentType="application/vnd.openxmlformats-officedocument.drawingml.chart+xml"/>
  <Override PartName="/xl/charts/style127.xml" ContentType="application/vnd.ms-office.chartstyle+xml"/>
  <Override PartName="/xl/charts/colors127.xml" ContentType="application/vnd.ms-office.chartcolorstyle+xml"/>
  <Override PartName="/xl/charts/chart129.xml" ContentType="application/vnd.openxmlformats-officedocument.drawingml.chart+xml"/>
  <Override PartName="/xl/charts/style128.xml" ContentType="application/vnd.ms-office.chartstyle+xml"/>
  <Override PartName="/xl/charts/colors128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https://rochesterymca-my.sharepoint.com/personal/samantha_blevins_rochesterymca_org/Documents/"/>
    </mc:Choice>
  </mc:AlternateContent>
  <xr:revisionPtr revIDLastSave="0" documentId="8_{94CBDA29-80D3-4B14-905A-B7F8DF1063E1}" xr6:coauthVersionLast="47" xr6:coauthVersionMax="47" xr10:uidLastSave="{00000000-0000-0000-0000-000000000000}"/>
  <bookViews>
    <workbookView xWindow="-120" yWindow="-120" windowWidth="29040" windowHeight="15720" firstSheet="12" activeTab="5" xr2:uid="{00000000-000D-0000-FFFF-FFFF00000000}"/>
  </bookViews>
  <sheets>
    <sheet name="Updated 2025" sheetId="1" state="hidden" r:id="rId1"/>
    <sheet name="Copy of Updated 2025" sheetId="2" r:id="rId2"/>
    <sheet name="March 2025 (trial run)" sheetId="3" r:id="rId3"/>
    <sheet name="Monthly April 2025" sheetId="6" r:id="rId4"/>
    <sheet name="Monthly May 2025" sheetId="7" r:id="rId5"/>
    <sheet name="Monthly June 2025" sheetId="8" r:id="rId6"/>
    <sheet name="Monthly July 2025" sheetId="9" r:id="rId7"/>
    <sheet name="Monthly August 2025" sheetId="11" r:id="rId8"/>
    <sheet name="Monthly September 2025" sheetId="12" r:id="rId9"/>
    <sheet name="Monthly October 2025" sheetId="13" r:id="rId10"/>
    <sheet name="Monthy November 2025" sheetId="15" r:id="rId11"/>
    <sheet name="Monthly December 2025" sheetId="17" r:id="rId12"/>
    <sheet name="Monthly January 2026" sheetId="18" r:id="rId13"/>
    <sheet name="Monthly Template SB " sheetId="5" r:id="rId14"/>
    <sheet name="Long Term Trends" sheetId="10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29" i="18" l="1"/>
  <c r="U228" i="18"/>
  <c r="U227" i="18"/>
  <c r="U226" i="18"/>
  <c r="U225" i="18"/>
  <c r="U224" i="18"/>
  <c r="U223" i="18"/>
  <c r="U222" i="18"/>
  <c r="U221" i="18"/>
  <c r="U220" i="18"/>
  <c r="U219" i="18"/>
  <c r="U218" i="18"/>
  <c r="U217" i="18"/>
  <c r="U216" i="18"/>
  <c r="U215" i="18"/>
  <c r="U214" i="18"/>
  <c r="U213" i="18"/>
  <c r="U212" i="18"/>
  <c r="U211" i="18"/>
  <c r="U210" i="18"/>
  <c r="U209" i="18"/>
  <c r="U208" i="18"/>
  <c r="U207" i="18"/>
  <c r="U206" i="18"/>
  <c r="U205" i="18"/>
  <c r="U204" i="18"/>
  <c r="U203" i="18"/>
  <c r="U202" i="18"/>
  <c r="U201" i="18"/>
  <c r="U200" i="18"/>
  <c r="U199" i="18"/>
  <c r="U198" i="18"/>
  <c r="U197" i="18"/>
  <c r="U196" i="18"/>
  <c r="AN195" i="18"/>
  <c r="AM195" i="18"/>
  <c r="AL195" i="18"/>
  <c r="AK195" i="18"/>
  <c r="AJ195" i="18"/>
  <c r="AI195" i="18"/>
  <c r="X195" i="18"/>
  <c r="U195" i="18"/>
  <c r="AN194" i="18"/>
  <c r="AM194" i="18"/>
  <c r="AL194" i="18"/>
  <c r="AK194" i="18"/>
  <c r="AJ194" i="18"/>
  <c r="AI194" i="18"/>
  <c r="X194" i="18"/>
  <c r="U194" i="18"/>
  <c r="AN193" i="18"/>
  <c r="AM193" i="18"/>
  <c r="AL193" i="18"/>
  <c r="AK193" i="18"/>
  <c r="AJ193" i="18"/>
  <c r="AI193" i="18"/>
  <c r="X193" i="18"/>
  <c r="U193" i="18"/>
  <c r="AH195" i="18" s="1"/>
  <c r="AN192" i="18"/>
  <c r="AM192" i="18"/>
  <c r="AL192" i="18"/>
  <c r="AK192" i="18"/>
  <c r="AJ192" i="18"/>
  <c r="AI192" i="18"/>
  <c r="X192" i="18"/>
  <c r="U192" i="18"/>
  <c r="AH194" i="18" s="1"/>
  <c r="AN191" i="18"/>
  <c r="AM191" i="18"/>
  <c r="AL191" i="18"/>
  <c r="AK191" i="18"/>
  <c r="AJ191" i="18"/>
  <c r="AI191" i="18"/>
  <c r="X191" i="18"/>
  <c r="U191" i="18"/>
  <c r="AH193" i="18" s="1"/>
  <c r="AN190" i="18"/>
  <c r="AM190" i="18"/>
  <c r="AL190" i="18"/>
  <c r="AK190" i="18"/>
  <c r="AJ190" i="18"/>
  <c r="AI190" i="18"/>
  <c r="X190" i="18"/>
  <c r="U190" i="18"/>
  <c r="AH192" i="18" s="1"/>
  <c r="U189" i="18"/>
  <c r="AH191" i="18" s="1"/>
  <c r="U188" i="18"/>
  <c r="U183" i="18"/>
  <c r="U182" i="18"/>
  <c r="U181" i="18"/>
  <c r="U180" i="18"/>
  <c r="U179" i="18"/>
  <c r="U178" i="18"/>
  <c r="U177" i="18"/>
  <c r="U176" i="18"/>
  <c r="U175" i="18"/>
  <c r="U174" i="18"/>
  <c r="U173" i="18"/>
  <c r="U172" i="18"/>
  <c r="U171" i="18"/>
  <c r="U170" i="18"/>
  <c r="U169" i="18"/>
  <c r="U168" i="18"/>
  <c r="U167" i="18"/>
  <c r="U166" i="18"/>
  <c r="U165" i="18"/>
  <c r="U164" i="18"/>
  <c r="U163" i="18"/>
  <c r="U162" i="18"/>
  <c r="U161" i="18"/>
  <c r="U160" i="18"/>
  <c r="U159" i="18"/>
  <c r="U158" i="18"/>
  <c r="U157" i="18"/>
  <c r="U156" i="18"/>
  <c r="U155" i="18"/>
  <c r="U154" i="18"/>
  <c r="U153" i="18"/>
  <c r="U152" i="18"/>
  <c r="U151" i="18"/>
  <c r="U150" i="18"/>
  <c r="AN149" i="18"/>
  <c r="AM149" i="18"/>
  <c r="AL149" i="18"/>
  <c r="AK149" i="18"/>
  <c r="AJ149" i="18"/>
  <c r="AI149" i="18"/>
  <c r="X149" i="18"/>
  <c r="U149" i="18"/>
  <c r="AN148" i="18"/>
  <c r="AM148" i="18"/>
  <c r="AL148" i="18"/>
  <c r="AK148" i="18"/>
  <c r="AJ148" i="18"/>
  <c r="AI148" i="18"/>
  <c r="X148" i="18"/>
  <c r="U148" i="18"/>
  <c r="AN147" i="18"/>
  <c r="AM147" i="18"/>
  <c r="AL147" i="18"/>
  <c r="AK147" i="18"/>
  <c r="AJ147" i="18"/>
  <c r="AI147" i="18"/>
  <c r="X147" i="18"/>
  <c r="U147" i="18"/>
  <c r="AH149" i="18" s="1"/>
  <c r="AN146" i="18"/>
  <c r="AM146" i="18"/>
  <c r="AL146" i="18"/>
  <c r="AK146" i="18"/>
  <c r="AJ146" i="18"/>
  <c r="AI146" i="18"/>
  <c r="X146" i="18"/>
  <c r="U146" i="18"/>
  <c r="AH148" i="18" s="1"/>
  <c r="AN145" i="18"/>
  <c r="AM145" i="18"/>
  <c r="AL145" i="18"/>
  <c r="AK145" i="18"/>
  <c r="AJ145" i="18"/>
  <c r="AI145" i="18"/>
  <c r="X145" i="18"/>
  <c r="U145" i="18"/>
  <c r="AH147" i="18" s="1"/>
  <c r="AN144" i="18"/>
  <c r="AM144" i="18"/>
  <c r="AL144" i="18"/>
  <c r="AK144" i="18"/>
  <c r="AJ144" i="18"/>
  <c r="AI144" i="18"/>
  <c r="X144" i="18"/>
  <c r="U144" i="18"/>
  <c r="AH146" i="18" s="1"/>
  <c r="U143" i="18"/>
  <c r="AH145" i="18" s="1"/>
  <c r="U142" i="18"/>
  <c r="U137" i="18"/>
  <c r="U136" i="18"/>
  <c r="U135" i="18"/>
  <c r="U134" i="18"/>
  <c r="U133" i="18"/>
  <c r="U132" i="18"/>
  <c r="U131" i="18"/>
  <c r="U130" i="18"/>
  <c r="U129" i="18"/>
  <c r="U128" i="18"/>
  <c r="U127" i="18"/>
  <c r="U126" i="18"/>
  <c r="U125" i="18"/>
  <c r="U124" i="18"/>
  <c r="U123" i="18"/>
  <c r="U122" i="18"/>
  <c r="U121" i="18"/>
  <c r="U120" i="18"/>
  <c r="U119" i="18"/>
  <c r="U118" i="18"/>
  <c r="U117" i="18"/>
  <c r="U116" i="18"/>
  <c r="U115" i="18"/>
  <c r="U114" i="18"/>
  <c r="U113" i="18"/>
  <c r="U112" i="18"/>
  <c r="U111" i="18"/>
  <c r="U110" i="18"/>
  <c r="U109" i="18"/>
  <c r="U108" i="18"/>
  <c r="U107" i="18"/>
  <c r="U106" i="18"/>
  <c r="U105" i="18"/>
  <c r="U104" i="18"/>
  <c r="AN103" i="18"/>
  <c r="AM103" i="18"/>
  <c r="AL103" i="18"/>
  <c r="AK103" i="18"/>
  <c r="AJ103" i="18"/>
  <c r="AI103" i="18"/>
  <c r="X103" i="18"/>
  <c r="U103" i="18"/>
  <c r="AN102" i="18"/>
  <c r="AM102" i="18"/>
  <c r="AL102" i="18"/>
  <c r="AK102" i="18"/>
  <c r="AJ102" i="18"/>
  <c r="AI102" i="18"/>
  <c r="X102" i="18"/>
  <c r="U102" i="18"/>
  <c r="AN101" i="18"/>
  <c r="AM101" i="18"/>
  <c r="AL101" i="18"/>
  <c r="AK101" i="18"/>
  <c r="AJ101" i="18"/>
  <c r="AI101" i="18"/>
  <c r="X101" i="18"/>
  <c r="U101" i="18"/>
  <c r="AH103" i="18" s="1"/>
  <c r="AN100" i="18"/>
  <c r="AM100" i="18"/>
  <c r="AL100" i="18"/>
  <c r="AK100" i="18"/>
  <c r="AJ100" i="18"/>
  <c r="AI100" i="18"/>
  <c r="X100" i="18"/>
  <c r="U100" i="18"/>
  <c r="AH102" i="18" s="1"/>
  <c r="AN99" i="18"/>
  <c r="AM99" i="18"/>
  <c r="AL99" i="18"/>
  <c r="AK99" i="18"/>
  <c r="AJ99" i="18"/>
  <c r="AI99" i="18"/>
  <c r="X99" i="18"/>
  <c r="U99" i="18"/>
  <c r="AH101" i="18" s="1"/>
  <c r="AN98" i="18"/>
  <c r="AM98" i="18"/>
  <c r="AL98" i="18"/>
  <c r="AK98" i="18"/>
  <c r="AJ98" i="18"/>
  <c r="AI98" i="18"/>
  <c r="X98" i="18"/>
  <c r="U98" i="18"/>
  <c r="AH100" i="18" s="1"/>
  <c r="U97" i="18"/>
  <c r="AH99" i="18" s="1"/>
  <c r="U96" i="18"/>
  <c r="U91" i="18"/>
  <c r="U90" i="18"/>
  <c r="U89" i="18"/>
  <c r="U88" i="18"/>
  <c r="U87" i="18"/>
  <c r="U86" i="18"/>
  <c r="U85" i="18"/>
  <c r="U84" i="18"/>
  <c r="U83" i="18"/>
  <c r="U82" i="18"/>
  <c r="U81" i="18"/>
  <c r="U80" i="18"/>
  <c r="U79" i="18"/>
  <c r="U78" i="18"/>
  <c r="U77" i="18"/>
  <c r="U76" i="18"/>
  <c r="U75" i="18"/>
  <c r="U74" i="18"/>
  <c r="U73" i="18"/>
  <c r="U72" i="18"/>
  <c r="U71" i="18"/>
  <c r="U70" i="18"/>
  <c r="U69" i="18"/>
  <c r="U68" i="18"/>
  <c r="U67" i="18"/>
  <c r="U66" i="18"/>
  <c r="U65" i="18"/>
  <c r="U64" i="18"/>
  <c r="U63" i="18"/>
  <c r="U62" i="18"/>
  <c r="U61" i="18"/>
  <c r="U60" i="18"/>
  <c r="U59" i="18"/>
  <c r="U58" i="18"/>
  <c r="AN57" i="18"/>
  <c r="AM57" i="18"/>
  <c r="AL57" i="18"/>
  <c r="AK57" i="18"/>
  <c r="AJ57" i="18"/>
  <c r="AI57" i="18"/>
  <c r="X57" i="18"/>
  <c r="U57" i="18"/>
  <c r="AN56" i="18"/>
  <c r="AM56" i="18"/>
  <c r="AL56" i="18"/>
  <c r="AK56" i="18"/>
  <c r="AJ56" i="18"/>
  <c r="AI56" i="18"/>
  <c r="X56" i="18"/>
  <c r="U56" i="18"/>
  <c r="AN55" i="18"/>
  <c r="AM55" i="18"/>
  <c r="AL55" i="18"/>
  <c r="AK55" i="18"/>
  <c r="AJ55" i="18"/>
  <c r="AI55" i="18"/>
  <c r="X55" i="18"/>
  <c r="U55" i="18"/>
  <c r="AH57" i="18" s="1"/>
  <c r="AN54" i="18"/>
  <c r="AM54" i="18"/>
  <c r="AL54" i="18"/>
  <c r="AK54" i="18"/>
  <c r="AJ54" i="18"/>
  <c r="AI54" i="18"/>
  <c r="X54" i="18"/>
  <c r="U54" i="18"/>
  <c r="AH56" i="18" s="1"/>
  <c r="AN53" i="18"/>
  <c r="AM53" i="18"/>
  <c r="AL53" i="18"/>
  <c r="AK53" i="18"/>
  <c r="AJ53" i="18"/>
  <c r="AI53" i="18"/>
  <c r="X53" i="18"/>
  <c r="U53" i="18"/>
  <c r="AH55" i="18" s="1"/>
  <c r="AN52" i="18"/>
  <c r="AM52" i="18"/>
  <c r="AL52" i="18"/>
  <c r="AK52" i="18"/>
  <c r="AJ52" i="18"/>
  <c r="AI52" i="18"/>
  <c r="X52" i="18"/>
  <c r="U52" i="18"/>
  <c r="AH54" i="18" s="1"/>
  <c r="U51" i="18"/>
  <c r="AH53" i="18" s="1"/>
  <c r="U50" i="18"/>
  <c r="U45" i="18"/>
  <c r="U44" i="18"/>
  <c r="U43" i="18"/>
  <c r="U42" i="18"/>
  <c r="U41" i="18"/>
  <c r="U40" i="18"/>
  <c r="U39" i="18"/>
  <c r="U38" i="18"/>
  <c r="U37" i="18"/>
  <c r="U36" i="18"/>
  <c r="U35" i="18"/>
  <c r="U34" i="18"/>
  <c r="U33" i="18"/>
  <c r="U32" i="18"/>
  <c r="U31" i="18"/>
  <c r="U30" i="18"/>
  <c r="U29" i="18"/>
  <c r="U28" i="18"/>
  <c r="U27" i="18"/>
  <c r="U26" i="18"/>
  <c r="U25" i="18"/>
  <c r="U24" i="18"/>
  <c r="U23" i="18"/>
  <c r="U22" i="18"/>
  <c r="U21" i="18"/>
  <c r="U20" i="18"/>
  <c r="U19" i="18"/>
  <c r="U18" i="18"/>
  <c r="U17" i="18"/>
  <c r="U16" i="18"/>
  <c r="U15" i="18"/>
  <c r="U14" i="18"/>
  <c r="U13" i="18"/>
  <c r="U12" i="18"/>
  <c r="AN11" i="18"/>
  <c r="AW11" i="18" s="1"/>
  <c r="AM11" i="18"/>
  <c r="AV11" i="18" s="1"/>
  <c r="AL11" i="18"/>
  <c r="AU11" i="18" s="1"/>
  <c r="AK11" i="18"/>
  <c r="AT11" i="18" s="1"/>
  <c r="AJ11" i="18"/>
  <c r="AS11" i="18" s="1"/>
  <c r="AI11" i="18"/>
  <c r="AR11" i="18" s="1"/>
  <c r="X11" i="18"/>
  <c r="AE11" i="18" s="1"/>
  <c r="U11" i="18"/>
  <c r="AN10" i="18"/>
  <c r="AW10" i="18" s="1"/>
  <c r="AM10" i="18"/>
  <c r="AV10" i="18" s="1"/>
  <c r="AL10" i="18"/>
  <c r="AU10" i="18" s="1"/>
  <c r="AK10" i="18"/>
  <c r="AT10" i="18" s="1"/>
  <c r="AJ10" i="18"/>
  <c r="AS10" i="18" s="1"/>
  <c r="AI10" i="18"/>
  <c r="AR10" i="18" s="1"/>
  <c r="X10" i="18"/>
  <c r="AE10" i="18" s="1"/>
  <c r="U10" i="18"/>
  <c r="AN9" i="18"/>
  <c r="AW9" i="18" s="1"/>
  <c r="AM9" i="18"/>
  <c r="AV9" i="18" s="1"/>
  <c r="AL9" i="18"/>
  <c r="AU9" i="18" s="1"/>
  <c r="AK9" i="18"/>
  <c r="AT9" i="18" s="1"/>
  <c r="AJ9" i="18"/>
  <c r="AS9" i="18" s="1"/>
  <c r="AI9" i="18"/>
  <c r="AR9" i="18" s="1"/>
  <c r="X9" i="18"/>
  <c r="AE9" i="18" s="1"/>
  <c r="U9" i="18"/>
  <c r="AH11" i="18" s="1"/>
  <c r="AQ11" i="18" s="1"/>
  <c r="AN8" i="18"/>
  <c r="AW8" i="18" s="1"/>
  <c r="AM8" i="18"/>
  <c r="AV8" i="18" s="1"/>
  <c r="AL8" i="18"/>
  <c r="AU8" i="18" s="1"/>
  <c r="AK8" i="18"/>
  <c r="AT8" i="18" s="1"/>
  <c r="AJ8" i="18"/>
  <c r="AS8" i="18" s="1"/>
  <c r="AI8" i="18"/>
  <c r="AR8" i="18" s="1"/>
  <c r="X8" i="18"/>
  <c r="AE8" i="18" s="1"/>
  <c r="U8" i="18"/>
  <c r="AH10" i="18" s="1"/>
  <c r="AQ10" i="18" s="1"/>
  <c r="AN7" i="18"/>
  <c r="AW7" i="18" s="1"/>
  <c r="AM7" i="18"/>
  <c r="AV7" i="18" s="1"/>
  <c r="AL7" i="18"/>
  <c r="AU7" i="18" s="1"/>
  <c r="AK7" i="18"/>
  <c r="AT7" i="18" s="1"/>
  <c r="AJ7" i="18"/>
  <c r="AS7" i="18" s="1"/>
  <c r="AI7" i="18"/>
  <c r="AR7" i="18" s="1"/>
  <c r="X7" i="18"/>
  <c r="AE7" i="18" s="1"/>
  <c r="U7" i="18"/>
  <c r="AH9" i="18" s="1"/>
  <c r="AQ9" i="18" s="1"/>
  <c r="AN6" i="18"/>
  <c r="AW6" i="18" s="1"/>
  <c r="AM6" i="18"/>
  <c r="AV6" i="18" s="1"/>
  <c r="AL6" i="18"/>
  <c r="AU6" i="18" s="1"/>
  <c r="AK6" i="18"/>
  <c r="AT6" i="18" s="1"/>
  <c r="AJ6" i="18"/>
  <c r="AS6" i="18" s="1"/>
  <c r="AI6" i="18"/>
  <c r="AR6" i="18" s="1"/>
  <c r="X6" i="18"/>
  <c r="AE6" i="18" s="1"/>
  <c r="U6" i="18"/>
  <c r="AH8" i="18" s="1"/>
  <c r="AQ8" i="18" s="1"/>
  <c r="U5" i="18"/>
  <c r="AH7" i="18" s="1"/>
  <c r="AQ7" i="18" s="1"/>
  <c r="U4" i="18"/>
  <c r="U50" i="17"/>
  <c r="U229" i="17"/>
  <c r="U228" i="17"/>
  <c r="U227" i="17"/>
  <c r="U226" i="17"/>
  <c r="U225" i="17"/>
  <c r="U224" i="17"/>
  <c r="U223" i="17"/>
  <c r="U222" i="17"/>
  <c r="U221" i="17"/>
  <c r="U220" i="17"/>
  <c r="U219" i="17"/>
  <c r="U218" i="17"/>
  <c r="U217" i="17"/>
  <c r="U216" i="17"/>
  <c r="U215" i="17"/>
  <c r="U214" i="17"/>
  <c r="U213" i="17"/>
  <c r="U212" i="17"/>
  <c r="U211" i="17"/>
  <c r="U210" i="17"/>
  <c r="U209" i="17"/>
  <c r="U208" i="17"/>
  <c r="U207" i="17"/>
  <c r="U206" i="17"/>
  <c r="U205" i="17"/>
  <c r="U204" i="17"/>
  <c r="U203" i="17"/>
  <c r="U202" i="17"/>
  <c r="U201" i="17"/>
  <c r="U200" i="17"/>
  <c r="U199" i="17"/>
  <c r="U198" i="17"/>
  <c r="U197" i="17"/>
  <c r="U196" i="17"/>
  <c r="AN195" i="17"/>
  <c r="AM195" i="17"/>
  <c r="AL195" i="17"/>
  <c r="AK195" i="17"/>
  <c r="AJ195" i="17"/>
  <c r="AI195" i="17"/>
  <c r="X195" i="17"/>
  <c r="U195" i="17"/>
  <c r="AN194" i="17"/>
  <c r="AM194" i="17"/>
  <c r="AL194" i="17"/>
  <c r="AK194" i="17"/>
  <c r="AJ194" i="17"/>
  <c r="AI194" i="17"/>
  <c r="X194" i="17"/>
  <c r="U194" i="17"/>
  <c r="AN193" i="17"/>
  <c r="AM193" i="17"/>
  <c r="AL193" i="17"/>
  <c r="AK193" i="17"/>
  <c r="AJ193" i="17"/>
  <c r="AI193" i="17"/>
  <c r="X193" i="17"/>
  <c r="U193" i="17"/>
  <c r="AH195" i="17" s="1"/>
  <c r="AN192" i="17"/>
  <c r="AM192" i="17"/>
  <c r="AL192" i="17"/>
  <c r="AK192" i="17"/>
  <c r="AJ192" i="17"/>
  <c r="AI192" i="17"/>
  <c r="X192" i="17"/>
  <c r="U192" i="17"/>
  <c r="AH194" i="17" s="1"/>
  <c r="AN191" i="17"/>
  <c r="AM191" i="17"/>
  <c r="AL191" i="17"/>
  <c r="AK191" i="17"/>
  <c r="AJ191" i="17"/>
  <c r="AI191" i="17"/>
  <c r="X191" i="17"/>
  <c r="U191" i="17"/>
  <c r="AH193" i="17" s="1"/>
  <c r="AN190" i="17"/>
  <c r="AM190" i="17"/>
  <c r="AL190" i="17"/>
  <c r="AK190" i="17"/>
  <c r="AJ190" i="17"/>
  <c r="AI190" i="17"/>
  <c r="X190" i="17"/>
  <c r="U190" i="17"/>
  <c r="AH192" i="17" s="1"/>
  <c r="U189" i="17"/>
  <c r="AH191" i="17" s="1"/>
  <c r="U188" i="17"/>
  <c r="U183" i="17"/>
  <c r="U182" i="17"/>
  <c r="U181" i="17"/>
  <c r="U180" i="17"/>
  <c r="U179" i="17"/>
  <c r="U178" i="17"/>
  <c r="U177" i="17"/>
  <c r="U176" i="17"/>
  <c r="U175" i="17"/>
  <c r="U174" i="17"/>
  <c r="U173" i="17"/>
  <c r="U172" i="17"/>
  <c r="U171" i="17"/>
  <c r="U170" i="17"/>
  <c r="U169" i="17"/>
  <c r="U168" i="17"/>
  <c r="U167" i="17"/>
  <c r="U166" i="17"/>
  <c r="U165" i="17"/>
  <c r="U164" i="17"/>
  <c r="U163" i="17"/>
  <c r="U162" i="17"/>
  <c r="U161" i="17"/>
  <c r="U160" i="17"/>
  <c r="U159" i="17"/>
  <c r="U158" i="17"/>
  <c r="U157" i="17"/>
  <c r="U156" i="17"/>
  <c r="U155" i="17"/>
  <c r="U154" i="17"/>
  <c r="U153" i="17"/>
  <c r="U152" i="17"/>
  <c r="U151" i="17"/>
  <c r="U150" i="17"/>
  <c r="AN149" i="17"/>
  <c r="AM149" i="17"/>
  <c r="AL149" i="17"/>
  <c r="AK149" i="17"/>
  <c r="AJ149" i="17"/>
  <c r="AI149" i="17"/>
  <c r="X149" i="17"/>
  <c r="U149" i="17"/>
  <c r="AN148" i="17"/>
  <c r="AM148" i="17"/>
  <c r="AL148" i="17"/>
  <c r="AK148" i="17"/>
  <c r="AJ148" i="17"/>
  <c r="AI148" i="17"/>
  <c r="X148" i="17"/>
  <c r="U148" i="17"/>
  <c r="AN147" i="17"/>
  <c r="AM147" i="17"/>
  <c r="AL147" i="17"/>
  <c r="AK147" i="17"/>
  <c r="AJ147" i="17"/>
  <c r="AI147" i="17"/>
  <c r="X147" i="17"/>
  <c r="U147" i="17"/>
  <c r="AH149" i="17" s="1"/>
  <c r="AN146" i="17"/>
  <c r="AM146" i="17"/>
  <c r="AL146" i="17"/>
  <c r="AK146" i="17"/>
  <c r="AJ146" i="17"/>
  <c r="AI146" i="17"/>
  <c r="X146" i="17"/>
  <c r="U146" i="17"/>
  <c r="AH148" i="17" s="1"/>
  <c r="AN145" i="17"/>
  <c r="AM145" i="17"/>
  <c r="AL145" i="17"/>
  <c r="AK145" i="17"/>
  <c r="AJ145" i="17"/>
  <c r="AI145" i="17"/>
  <c r="X145" i="17"/>
  <c r="U145" i="17"/>
  <c r="AH147" i="17" s="1"/>
  <c r="AN144" i="17"/>
  <c r="AM144" i="17"/>
  <c r="AL144" i="17"/>
  <c r="AK144" i="17"/>
  <c r="AJ144" i="17"/>
  <c r="AI144" i="17"/>
  <c r="X144" i="17"/>
  <c r="U144" i="17"/>
  <c r="AH146" i="17" s="1"/>
  <c r="U143" i="17"/>
  <c r="AH145" i="17" s="1"/>
  <c r="U142" i="17"/>
  <c r="U137" i="17"/>
  <c r="U136" i="17"/>
  <c r="U135" i="17"/>
  <c r="U134" i="17"/>
  <c r="U133" i="17"/>
  <c r="U132" i="17"/>
  <c r="U131" i="17"/>
  <c r="U130" i="17"/>
  <c r="U129" i="17"/>
  <c r="U128" i="17"/>
  <c r="U127" i="17"/>
  <c r="U126" i="17"/>
  <c r="U125" i="17"/>
  <c r="U124" i="17"/>
  <c r="U123" i="17"/>
  <c r="U122" i="17"/>
  <c r="U121" i="17"/>
  <c r="U120" i="17"/>
  <c r="U119" i="17"/>
  <c r="U118" i="17"/>
  <c r="U117" i="17"/>
  <c r="U116" i="17"/>
  <c r="U115" i="17"/>
  <c r="U114" i="17"/>
  <c r="U113" i="17"/>
  <c r="U112" i="17"/>
  <c r="U111" i="17"/>
  <c r="U110" i="17"/>
  <c r="U109" i="17"/>
  <c r="U108" i="17"/>
  <c r="U107" i="17"/>
  <c r="U106" i="17"/>
  <c r="U105" i="17"/>
  <c r="U104" i="17"/>
  <c r="AN103" i="17"/>
  <c r="AM103" i="17"/>
  <c r="AL103" i="17"/>
  <c r="AK103" i="17"/>
  <c r="AJ103" i="17"/>
  <c r="AI103" i="17"/>
  <c r="X103" i="17"/>
  <c r="U103" i="17"/>
  <c r="AN102" i="17"/>
  <c r="AM102" i="17"/>
  <c r="AL102" i="17"/>
  <c r="AK102" i="17"/>
  <c r="AJ102" i="17"/>
  <c r="AI102" i="17"/>
  <c r="X102" i="17"/>
  <c r="U102" i="17"/>
  <c r="AN101" i="17"/>
  <c r="AM101" i="17"/>
  <c r="AL101" i="17"/>
  <c r="AK101" i="17"/>
  <c r="AJ101" i="17"/>
  <c r="AI101" i="17"/>
  <c r="X101" i="17"/>
  <c r="U101" i="17"/>
  <c r="AH103" i="17" s="1"/>
  <c r="AN100" i="17"/>
  <c r="AM100" i="17"/>
  <c r="AL100" i="17"/>
  <c r="AK100" i="17"/>
  <c r="AJ100" i="17"/>
  <c r="AI100" i="17"/>
  <c r="X100" i="17"/>
  <c r="U100" i="17"/>
  <c r="AH102" i="17" s="1"/>
  <c r="AN99" i="17"/>
  <c r="AM99" i="17"/>
  <c r="AL99" i="17"/>
  <c r="AK99" i="17"/>
  <c r="AJ99" i="17"/>
  <c r="AI99" i="17"/>
  <c r="X99" i="17"/>
  <c r="U99" i="17"/>
  <c r="AH101" i="17" s="1"/>
  <c r="AN98" i="17"/>
  <c r="AM98" i="17"/>
  <c r="AL98" i="17"/>
  <c r="AK98" i="17"/>
  <c r="AJ98" i="17"/>
  <c r="AI98" i="17"/>
  <c r="X98" i="17"/>
  <c r="U98" i="17"/>
  <c r="AH100" i="17" s="1"/>
  <c r="U97" i="17"/>
  <c r="AH99" i="17" s="1"/>
  <c r="U96" i="17"/>
  <c r="U91" i="17"/>
  <c r="U90" i="17"/>
  <c r="U89" i="17"/>
  <c r="U88" i="17"/>
  <c r="U87" i="17"/>
  <c r="U86" i="17"/>
  <c r="U85" i="17"/>
  <c r="U84" i="17"/>
  <c r="U83" i="17"/>
  <c r="U82" i="17"/>
  <c r="U81" i="17"/>
  <c r="U80" i="17"/>
  <c r="U79" i="17"/>
  <c r="U78" i="17"/>
  <c r="U77" i="17"/>
  <c r="U76" i="17"/>
  <c r="U75" i="17"/>
  <c r="U74" i="17"/>
  <c r="U73" i="17"/>
  <c r="U72" i="17"/>
  <c r="U71" i="17"/>
  <c r="U70" i="17"/>
  <c r="U69" i="17"/>
  <c r="U68" i="17"/>
  <c r="U67" i="17"/>
  <c r="U66" i="17"/>
  <c r="U65" i="17"/>
  <c r="U64" i="17"/>
  <c r="U63" i="17"/>
  <c r="U62" i="17"/>
  <c r="U61" i="17"/>
  <c r="U60" i="17"/>
  <c r="U59" i="17"/>
  <c r="U58" i="17"/>
  <c r="AN57" i="17"/>
  <c r="AM57" i="17"/>
  <c r="AL57" i="17"/>
  <c r="AK57" i="17"/>
  <c r="AJ57" i="17"/>
  <c r="AI57" i="17"/>
  <c r="X57" i="17"/>
  <c r="U57" i="17"/>
  <c r="AN56" i="17"/>
  <c r="AM56" i="17"/>
  <c r="AL56" i="17"/>
  <c r="AK56" i="17"/>
  <c r="AJ56" i="17"/>
  <c r="AI56" i="17"/>
  <c r="X56" i="17"/>
  <c r="U56" i="17"/>
  <c r="AN55" i="17"/>
  <c r="AM55" i="17"/>
  <c r="AL55" i="17"/>
  <c r="AK55" i="17"/>
  <c r="AJ55" i="17"/>
  <c r="AI55" i="17"/>
  <c r="X55" i="17"/>
  <c r="U55" i="17"/>
  <c r="AH57" i="17" s="1"/>
  <c r="AN54" i="17"/>
  <c r="AM54" i="17"/>
  <c r="AL54" i="17"/>
  <c r="AK54" i="17"/>
  <c r="AJ54" i="17"/>
  <c r="AI54" i="17"/>
  <c r="X54" i="17"/>
  <c r="U54" i="17"/>
  <c r="AH56" i="17" s="1"/>
  <c r="AN53" i="17"/>
  <c r="AM53" i="17"/>
  <c r="AL53" i="17"/>
  <c r="AK53" i="17"/>
  <c r="AJ53" i="17"/>
  <c r="AI53" i="17"/>
  <c r="X53" i="17"/>
  <c r="U53" i="17"/>
  <c r="AH55" i="17" s="1"/>
  <c r="AN52" i="17"/>
  <c r="AM52" i="17"/>
  <c r="AL52" i="17"/>
  <c r="AK52" i="17"/>
  <c r="AJ52" i="17"/>
  <c r="AI52" i="17"/>
  <c r="X52" i="17"/>
  <c r="U52" i="17"/>
  <c r="AH54" i="17" s="1"/>
  <c r="U51" i="17"/>
  <c r="AH53" i="17" s="1"/>
  <c r="U45" i="17"/>
  <c r="U44" i="17"/>
  <c r="U43" i="17"/>
  <c r="U42" i="17"/>
  <c r="U41" i="17"/>
  <c r="U40" i="17"/>
  <c r="U39" i="17"/>
  <c r="U38" i="17"/>
  <c r="U37" i="17"/>
  <c r="U36" i="17"/>
  <c r="U35" i="17"/>
  <c r="U34" i="17"/>
  <c r="U33" i="17"/>
  <c r="U32" i="17"/>
  <c r="U31" i="17"/>
  <c r="U30" i="17"/>
  <c r="U29" i="17"/>
  <c r="U28" i="17"/>
  <c r="U27" i="17"/>
  <c r="U26" i="17"/>
  <c r="U25" i="17"/>
  <c r="U24" i="17"/>
  <c r="U23" i="17"/>
  <c r="U22" i="17"/>
  <c r="U21" i="17"/>
  <c r="U20" i="17"/>
  <c r="U19" i="17"/>
  <c r="U18" i="17"/>
  <c r="U17" i="17"/>
  <c r="U16" i="17"/>
  <c r="U15" i="17"/>
  <c r="U14" i="17"/>
  <c r="U13" i="17"/>
  <c r="U12" i="17"/>
  <c r="AN11" i="17"/>
  <c r="AW11" i="17" s="1"/>
  <c r="AM11" i="17"/>
  <c r="AV11" i="17" s="1"/>
  <c r="AL11" i="17"/>
  <c r="AU11" i="17" s="1"/>
  <c r="AK11" i="17"/>
  <c r="AT11" i="17" s="1"/>
  <c r="AJ11" i="17"/>
  <c r="AS11" i="17" s="1"/>
  <c r="AI11" i="17"/>
  <c r="AR11" i="17" s="1"/>
  <c r="X11" i="17"/>
  <c r="AE11" i="17" s="1"/>
  <c r="U11" i="17"/>
  <c r="AN10" i="17"/>
  <c r="AW10" i="17" s="1"/>
  <c r="AM10" i="17"/>
  <c r="AV10" i="17" s="1"/>
  <c r="AL10" i="17"/>
  <c r="AU10" i="17" s="1"/>
  <c r="AK10" i="17"/>
  <c r="AT10" i="17" s="1"/>
  <c r="AJ10" i="17"/>
  <c r="AS10" i="17" s="1"/>
  <c r="AI10" i="17"/>
  <c r="AR10" i="17" s="1"/>
  <c r="X10" i="17"/>
  <c r="AE10" i="17" s="1"/>
  <c r="U10" i="17"/>
  <c r="AN9" i="17"/>
  <c r="AW9" i="17" s="1"/>
  <c r="AM9" i="17"/>
  <c r="AV9" i="17" s="1"/>
  <c r="AL9" i="17"/>
  <c r="AU9" i="17" s="1"/>
  <c r="AK9" i="17"/>
  <c r="AT9" i="17" s="1"/>
  <c r="AJ9" i="17"/>
  <c r="AS9" i="17" s="1"/>
  <c r="AI9" i="17"/>
  <c r="AR9" i="17" s="1"/>
  <c r="X9" i="17"/>
  <c r="AE9" i="17" s="1"/>
  <c r="U9" i="17"/>
  <c r="AH11" i="17" s="1"/>
  <c r="AQ11" i="17" s="1"/>
  <c r="AN8" i="17"/>
  <c r="AW8" i="17" s="1"/>
  <c r="AM8" i="17"/>
  <c r="AV8" i="17" s="1"/>
  <c r="AL8" i="17"/>
  <c r="AU8" i="17" s="1"/>
  <c r="AK8" i="17"/>
  <c r="AT8" i="17" s="1"/>
  <c r="AJ8" i="17"/>
  <c r="AS8" i="17" s="1"/>
  <c r="AI8" i="17"/>
  <c r="AR8" i="17" s="1"/>
  <c r="X8" i="17"/>
  <c r="AE8" i="17" s="1"/>
  <c r="U8" i="17"/>
  <c r="AH10" i="17" s="1"/>
  <c r="AQ10" i="17" s="1"/>
  <c r="AN7" i="17"/>
  <c r="AW7" i="17" s="1"/>
  <c r="AM7" i="17"/>
  <c r="AV7" i="17" s="1"/>
  <c r="AL7" i="17"/>
  <c r="AU7" i="17" s="1"/>
  <c r="AK7" i="17"/>
  <c r="AT7" i="17" s="1"/>
  <c r="AJ7" i="17"/>
  <c r="AS7" i="17" s="1"/>
  <c r="AI7" i="17"/>
  <c r="AR7" i="17" s="1"/>
  <c r="X7" i="17"/>
  <c r="AE7" i="17" s="1"/>
  <c r="U7" i="17"/>
  <c r="AH9" i="17" s="1"/>
  <c r="AQ9" i="17" s="1"/>
  <c r="AN6" i="17"/>
  <c r="AW6" i="17" s="1"/>
  <c r="AM6" i="17"/>
  <c r="AV6" i="17" s="1"/>
  <c r="AL6" i="17"/>
  <c r="AU6" i="17" s="1"/>
  <c r="AK6" i="17"/>
  <c r="AT6" i="17" s="1"/>
  <c r="AJ6" i="17"/>
  <c r="AS6" i="17" s="1"/>
  <c r="AI6" i="17"/>
  <c r="AR6" i="17" s="1"/>
  <c r="X6" i="17"/>
  <c r="AE6" i="17" s="1"/>
  <c r="U6" i="17"/>
  <c r="AH8" i="17" s="1"/>
  <c r="AQ8" i="17" s="1"/>
  <c r="U5" i="17"/>
  <c r="AH7" i="17" s="1"/>
  <c r="AQ7" i="17" s="1"/>
  <c r="U4" i="17"/>
  <c r="U212" i="15"/>
  <c r="I66" i="10"/>
  <c r="I65" i="10"/>
  <c r="I64" i="10"/>
  <c r="I62" i="10"/>
  <c r="I63" i="10"/>
  <c r="I61" i="10"/>
  <c r="U229" i="15"/>
  <c r="U228" i="15"/>
  <c r="U227" i="15"/>
  <c r="U226" i="15"/>
  <c r="U225" i="15"/>
  <c r="U224" i="15"/>
  <c r="U223" i="15"/>
  <c r="U222" i="15"/>
  <c r="U221" i="15"/>
  <c r="U220" i="15"/>
  <c r="U219" i="15"/>
  <c r="U218" i="15"/>
  <c r="U217" i="15"/>
  <c r="U216" i="15"/>
  <c r="U215" i="15"/>
  <c r="U214" i="15"/>
  <c r="U213" i="15"/>
  <c r="U211" i="15"/>
  <c r="U210" i="15"/>
  <c r="U209" i="15"/>
  <c r="U208" i="15"/>
  <c r="U207" i="15"/>
  <c r="U206" i="15"/>
  <c r="U205" i="15"/>
  <c r="U204" i="15"/>
  <c r="U203" i="15"/>
  <c r="U202" i="15"/>
  <c r="U201" i="15"/>
  <c r="U200" i="15"/>
  <c r="U199" i="15"/>
  <c r="U198" i="15"/>
  <c r="U197" i="15"/>
  <c r="U196" i="15"/>
  <c r="AN195" i="15"/>
  <c r="AM195" i="15"/>
  <c r="AL195" i="15"/>
  <c r="AK195" i="15"/>
  <c r="AJ195" i="15"/>
  <c r="AI195" i="15"/>
  <c r="X195" i="15"/>
  <c r="U195" i="15"/>
  <c r="AN194" i="15"/>
  <c r="AM194" i="15"/>
  <c r="AL194" i="15"/>
  <c r="AK194" i="15"/>
  <c r="AJ194" i="15"/>
  <c r="AI194" i="15"/>
  <c r="X194" i="15"/>
  <c r="U194" i="15"/>
  <c r="AN193" i="15"/>
  <c r="AM193" i="15"/>
  <c r="AL193" i="15"/>
  <c r="AK193" i="15"/>
  <c r="AJ193" i="15"/>
  <c r="AI193" i="15"/>
  <c r="X193" i="15"/>
  <c r="U193" i="15"/>
  <c r="AH195" i="15" s="1"/>
  <c r="AN192" i="15"/>
  <c r="AM192" i="15"/>
  <c r="AL192" i="15"/>
  <c r="AK192" i="15"/>
  <c r="AJ192" i="15"/>
  <c r="AI192" i="15"/>
  <c r="X192" i="15"/>
  <c r="U192" i="15"/>
  <c r="AH194" i="15" s="1"/>
  <c r="AN191" i="15"/>
  <c r="AM191" i="15"/>
  <c r="AL191" i="15"/>
  <c r="AK191" i="15"/>
  <c r="AJ191" i="15"/>
  <c r="AI191" i="15"/>
  <c r="X191" i="15"/>
  <c r="U191" i="15"/>
  <c r="AH193" i="15" s="1"/>
  <c r="AN190" i="15"/>
  <c r="AM190" i="15"/>
  <c r="AL190" i="15"/>
  <c r="AK190" i="15"/>
  <c r="AJ190" i="15"/>
  <c r="AI190" i="15"/>
  <c r="X190" i="15"/>
  <c r="U190" i="15"/>
  <c r="AH192" i="15" s="1"/>
  <c r="U189" i="15"/>
  <c r="AH191" i="15" s="1"/>
  <c r="U188" i="15"/>
  <c r="U183" i="15"/>
  <c r="U182" i="15"/>
  <c r="U181" i="15"/>
  <c r="U180" i="15"/>
  <c r="U179" i="15"/>
  <c r="U178" i="15"/>
  <c r="U177" i="15"/>
  <c r="U176" i="15"/>
  <c r="U175" i="15"/>
  <c r="U174" i="15"/>
  <c r="U173" i="15"/>
  <c r="U172" i="15"/>
  <c r="U171" i="15"/>
  <c r="U170" i="15"/>
  <c r="U169" i="15"/>
  <c r="U168" i="15"/>
  <c r="U167" i="15"/>
  <c r="U166" i="15"/>
  <c r="U165" i="15"/>
  <c r="U164" i="15"/>
  <c r="U163" i="15"/>
  <c r="U162" i="15"/>
  <c r="U161" i="15"/>
  <c r="U160" i="15"/>
  <c r="U159" i="15"/>
  <c r="U158" i="15"/>
  <c r="U157" i="15"/>
  <c r="U156" i="15"/>
  <c r="U155" i="15"/>
  <c r="U154" i="15"/>
  <c r="U153" i="15"/>
  <c r="U152" i="15"/>
  <c r="U151" i="15"/>
  <c r="U150" i="15"/>
  <c r="AN149" i="15"/>
  <c r="AM149" i="15"/>
  <c r="AL149" i="15"/>
  <c r="AK149" i="15"/>
  <c r="AJ149" i="15"/>
  <c r="AI149" i="15"/>
  <c r="X149" i="15"/>
  <c r="U149" i="15"/>
  <c r="AN148" i="15"/>
  <c r="AM148" i="15"/>
  <c r="AL148" i="15"/>
  <c r="AK148" i="15"/>
  <c r="AJ148" i="15"/>
  <c r="AI148" i="15"/>
  <c r="X148" i="15"/>
  <c r="U148" i="15"/>
  <c r="AN147" i="15"/>
  <c r="AM147" i="15"/>
  <c r="AL147" i="15"/>
  <c r="AK147" i="15"/>
  <c r="AJ147" i="15"/>
  <c r="AI147" i="15"/>
  <c r="X147" i="15"/>
  <c r="U147" i="15"/>
  <c r="AH149" i="15" s="1"/>
  <c r="AN146" i="15"/>
  <c r="AM146" i="15"/>
  <c r="AL146" i="15"/>
  <c r="AK146" i="15"/>
  <c r="AJ146" i="15"/>
  <c r="AI146" i="15"/>
  <c r="X146" i="15"/>
  <c r="U146" i="15"/>
  <c r="AH148" i="15" s="1"/>
  <c r="AN145" i="15"/>
  <c r="AM145" i="15"/>
  <c r="AL145" i="15"/>
  <c r="AK145" i="15"/>
  <c r="AJ145" i="15"/>
  <c r="AI145" i="15"/>
  <c r="X145" i="15"/>
  <c r="U145" i="15"/>
  <c r="AH147" i="15" s="1"/>
  <c r="AN144" i="15"/>
  <c r="AM144" i="15"/>
  <c r="AL144" i="15"/>
  <c r="AK144" i="15"/>
  <c r="AJ144" i="15"/>
  <c r="AI144" i="15"/>
  <c r="X144" i="15"/>
  <c r="U144" i="15"/>
  <c r="AH146" i="15" s="1"/>
  <c r="U143" i="15"/>
  <c r="AH145" i="15" s="1"/>
  <c r="U142" i="15"/>
  <c r="U137" i="15"/>
  <c r="U136" i="15"/>
  <c r="U135" i="15"/>
  <c r="U134" i="15"/>
  <c r="U133" i="15"/>
  <c r="U132" i="15"/>
  <c r="U131" i="15"/>
  <c r="U130" i="15"/>
  <c r="U129" i="15"/>
  <c r="U128" i="15"/>
  <c r="U127" i="15"/>
  <c r="U126" i="15"/>
  <c r="U125" i="15"/>
  <c r="U124" i="15"/>
  <c r="U123" i="15"/>
  <c r="U122" i="15"/>
  <c r="U121" i="15"/>
  <c r="U120" i="15"/>
  <c r="U119" i="15"/>
  <c r="U118" i="15"/>
  <c r="U117" i="15"/>
  <c r="U116" i="15"/>
  <c r="U115" i="15"/>
  <c r="U114" i="15"/>
  <c r="U113" i="15"/>
  <c r="U112" i="15"/>
  <c r="U111" i="15"/>
  <c r="U110" i="15"/>
  <c r="U109" i="15"/>
  <c r="U108" i="15"/>
  <c r="U107" i="15"/>
  <c r="U106" i="15"/>
  <c r="U105" i="15"/>
  <c r="U104" i="15"/>
  <c r="AN103" i="15"/>
  <c r="AM103" i="15"/>
  <c r="AL103" i="15"/>
  <c r="AK103" i="15"/>
  <c r="AJ103" i="15"/>
  <c r="AI103" i="15"/>
  <c r="X103" i="15"/>
  <c r="U103" i="15"/>
  <c r="AN102" i="15"/>
  <c r="AM102" i="15"/>
  <c r="AL102" i="15"/>
  <c r="AK102" i="15"/>
  <c r="AJ102" i="15"/>
  <c r="AI102" i="15"/>
  <c r="X102" i="15"/>
  <c r="U102" i="15"/>
  <c r="AN101" i="15"/>
  <c r="AM101" i="15"/>
  <c r="AL101" i="15"/>
  <c r="AK101" i="15"/>
  <c r="AJ101" i="15"/>
  <c r="AI101" i="15"/>
  <c r="X101" i="15"/>
  <c r="U101" i="15"/>
  <c r="AH103" i="15" s="1"/>
  <c r="AN100" i="15"/>
  <c r="AM100" i="15"/>
  <c r="AL100" i="15"/>
  <c r="AK100" i="15"/>
  <c r="AJ100" i="15"/>
  <c r="AI100" i="15"/>
  <c r="X100" i="15"/>
  <c r="U100" i="15"/>
  <c r="AH102" i="15" s="1"/>
  <c r="AN99" i="15"/>
  <c r="AM99" i="15"/>
  <c r="AL99" i="15"/>
  <c r="AK99" i="15"/>
  <c r="AJ99" i="15"/>
  <c r="AI99" i="15"/>
  <c r="X99" i="15"/>
  <c r="U99" i="15"/>
  <c r="AH101" i="15" s="1"/>
  <c r="AN98" i="15"/>
  <c r="AM98" i="15"/>
  <c r="AL98" i="15"/>
  <c r="AK98" i="15"/>
  <c r="AJ98" i="15"/>
  <c r="AI98" i="15"/>
  <c r="X98" i="15"/>
  <c r="U98" i="15"/>
  <c r="AH100" i="15" s="1"/>
  <c r="U97" i="15"/>
  <c r="AH99" i="15" s="1"/>
  <c r="U96" i="15"/>
  <c r="U91" i="15"/>
  <c r="U90" i="15"/>
  <c r="U89" i="15"/>
  <c r="U88" i="15"/>
  <c r="U87" i="15"/>
  <c r="U86" i="15"/>
  <c r="U85" i="15"/>
  <c r="U84" i="15"/>
  <c r="U83" i="15"/>
  <c r="U82" i="15"/>
  <c r="U81" i="15"/>
  <c r="U80" i="15"/>
  <c r="U79" i="15"/>
  <c r="U78" i="15"/>
  <c r="U77" i="15"/>
  <c r="U76" i="15"/>
  <c r="U75" i="15"/>
  <c r="U74" i="15"/>
  <c r="U73" i="15"/>
  <c r="U72" i="15"/>
  <c r="U71" i="15"/>
  <c r="U70" i="15"/>
  <c r="U69" i="15"/>
  <c r="U68" i="15"/>
  <c r="U67" i="15"/>
  <c r="U66" i="15"/>
  <c r="U65" i="15"/>
  <c r="U64" i="15"/>
  <c r="U63" i="15"/>
  <c r="U62" i="15"/>
  <c r="U61" i="15"/>
  <c r="U60" i="15"/>
  <c r="U59" i="15"/>
  <c r="U58" i="15"/>
  <c r="AN57" i="15"/>
  <c r="AM57" i="15"/>
  <c r="AL57" i="15"/>
  <c r="AK57" i="15"/>
  <c r="AJ57" i="15"/>
  <c r="AI57" i="15"/>
  <c r="X57" i="15"/>
  <c r="U57" i="15"/>
  <c r="AN56" i="15"/>
  <c r="AM56" i="15"/>
  <c r="AL56" i="15"/>
  <c r="AK56" i="15"/>
  <c r="AJ56" i="15"/>
  <c r="AI56" i="15"/>
  <c r="X56" i="15"/>
  <c r="U56" i="15"/>
  <c r="AN55" i="15"/>
  <c r="AM55" i="15"/>
  <c r="AL55" i="15"/>
  <c r="AK55" i="15"/>
  <c r="AJ55" i="15"/>
  <c r="AI55" i="15"/>
  <c r="X55" i="15"/>
  <c r="U55" i="15"/>
  <c r="AH57" i="15" s="1"/>
  <c r="AN54" i="15"/>
  <c r="AM54" i="15"/>
  <c r="AL54" i="15"/>
  <c r="AK54" i="15"/>
  <c r="AJ54" i="15"/>
  <c r="AI54" i="15"/>
  <c r="X54" i="15"/>
  <c r="U54" i="15"/>
  <c r="AH56" i="15" s="1"/>
  <c r="AN53" i="15"/>
  <c r="AM53" i="15"/>
  <c r="AL53" i="15"/>
  <c r="AK53" i="15"/>
  <c r="AJ53" i="15"/>
  <c r="AI53" i="15"/>
  <c r="X53" i="15"/>
  <c r="U53" i="15"/>
  <c r="AH55" i="15" s="1"/>
  <c r="AN52" i="15"/>
  <c r="AM52" i="15"/>
  <c r="AL52" i="15"/>
  <c r="AK52" i="15"/>
  <c r="AJ52" i="15"/>
  <c r="AI52" i="15"/>
  <c r="X52" i="15"/>
  <c r="U52" i="15"/>
  <c r="AH54" i="15" s="1"/>
  <c r="U51" i="15"/>
  <c r="AH53" i="15" s="1"/>
  <c r="U50" i="15"/>
  <c r="U45" i="15"/>
  <c r="U44" i="15"/>
  <c r="U43" i="15"/>
  <c r="U42" i="15"/>
  <c r="U41" i="15"/>
  <c r="U40" i="15"/>
  <c r="U39" i="15"/>
  <c r="U38" i="15"/>
  <c r="U37" i="15"/>
  <c r="U36" i="15"/>
  <c r="U35" i="15"/>
  <c r="U34" i="15"/>
  <c r="U33" i="15"/>
  <c r="U32" i="15"/>
  <c r="U31" i="15"/>
  <c r="U30" i="15"/>
  <c r="U29" i="15"/>
  <c r="U28" i="15"/>
  <c r="U27" i="15"/>
  <c r="U26" i="15"/>
  <c r="U25" i="15"/>
  <c r="U24" i="15"/>
  <c r="U23" i="15"/>
  <c r="U22" i="15"/>
  <c r="U21" i="15"/>
  <c r="U20" i="15"/>
  <c r="U19" i="15"/>
  <c r="U18" i="15"/>
  <c r="U17" i="15"/>
  <c r="U16" i="15"/>
  <c r="U15" i="15"/>
  <c r="U14" i="15"/>
  <c r="U13" i="15"/>
  <c r="U12" i="15"/>
  <c r="AN11" i="15"/>
  <c r="AW11" i="15" s="1"/>
  <c r="AM11" i="15"/>
  <c r="AV11" i="15" s="1"/>
  <c r="AL11" i="15"/>
  <c r="AU11" i="15" s="1"/>
  <c r="AK11" i="15"/>
  <c r="AT11" i="15" s="1"/>
  <c r="AJ11" i="15"/>
  <c r="AS11" i="15" s="1"/>
  <c r="AI11" i="15"/>
  <c r="AR11" i="15" s="1"/>
  <c r="X11" i="15"/>
  <c r="AE11" i="15" s="1"/>
  <c r="U11" i="15"/>
  <c r="AN10" i="15"/>
  <c r="AW10" i="15" s="1"/>
  <c r="AM10" i="15"/>
  <c r="AV10" i="15" s="1"/>
  <c r="AL10" i="15"/>
  <c r="AU10" i="15" s="1"/>
  <c r="AK10" i="15"/>
  <c r="AT10" i="15" s="1"/>
  <c r="AJ10" i="15"/>
  <c r="AS10" i="15" s="1"/>
  <c r="AI10" i="15"/>
  <c r="AR10" i="15" s="1"/>
  <c r="X10" i="15"/>
  <c r="AE10" i="15" s="1"/>
  <c r="U10" i="15"/>
  <c r="AN9" i="15"/>
  <c r="AW9" i="15" s="1"/>
  <c r="AM9" i="15"/>
  <c r="AV9" i="15" s="1"/>
  <c r="AL9" i="15"/>
  <c r="AU9" i="15" s="1"/>
  <c r="AK9" i="15"/>
  <c r="AT9" i="15" s="1"/>
  <c r="AJ9" i="15"/>
  <c r="AS9" i="15" s="1"/>
  <c r="AI9" i="15"/>
  <c r="AR9" i="15" s="1"/>
  <c r="X9" i="15"/>
  <c r="AE9" i="15" s="1"/>
  <c r="U9" i="15"/>
  <c r="AH11" i="15" s="1"/>
  <c r="AQ11" i="15" s="1"/>
  <c r="AN8" i="15"/>
  <c r="AW8" i="15" s="1"/>
  <c r="AM8" i="15"/>
  <c r="AV8" i="15" s="1"/>
  <c r="AL8" i="15"/>
  <c r="AU8" i="15" s="1"/>
  <c r="AK8" i="15"/>
  <c r="AT8" i="15" s="1"/>
  <c r="AJ8" i="15"/>
  <c r="AS8" i="15" s="1"/>
  <c r="AI8" i="15"/>
  <c r="AR8" i="15" s="1"/>
  <c r="X8" i="15"/>
  <c r="AE8" i="15" s="1"/>
  <c r="U8" i="15"/>
  <c r="AH10" i="15" s="1"/>
  <c r="AQ10" i="15" s="1"/>
  <c r="AN7" i="15"/>
  <c r="AW7" i="15" s="1"/>
  <c r="AM7" i="15"/>
  <c r="AV7" i="15" s="1"/>
  <c r="AL7" i="15"/>
  <c r="AU7" i="15" s="1"/>
  <c r="AK7" i="15"/>
  <c r="AT7" i="15" s="1"/>
  <c r="AJ7" i="15"/>
  <c r="AS7" i="15" s="1"/>
  <c r="AI7" i="15"/>
  <c r="AR7" i="15" s="1"/>
  <c r="X7" i="15"/>
  <c r="AE7" i="15" s="1"/>
  <c r="U7" i="15"/>
  <c r="AH9" i="15" s="1"/>
  <c r="AQ9" i="15" s="1"/>
  <c r="AN6" i="15"/>
  <c r="AW6" i="15" s="1"/>
  <c r="AM6" i="15"/>
  <c r="AV6" i="15" s="1"/>
  <c r="AL6" i="15"/>
  <c r="AU6" i="15" s="1"/>
  <c r="AK6" i="15"/>
  <c r="AT6" i="15" s="1"/>
  <c r="AJ6" i="15"/>
  <c r="AS6" i="15" s="1"/>
  <c r="AI6" i="15"/>
  <c r="AR6" i="15" s="1"/>
  <c r="X6" i="15"/>
  <c r="AE6" i="15" s="1"/>
  <c r="U6" i="15"/>
  <c r="AH8" i="15" s="1"/>
  <c r="AQ8" i="15" s="1"/>
  <c r="U5" i="15"/>
  <c r="AH7" i="15" s="1"/>
  <c r="AQ7" i="15" s="1"/>
  <c r="U4" i="15"/>
  <c r="AK6" i="13"/>
  <c r="AJ6" i="13"/>
  <c r="AI6" i="13"/>
  <c r="I42" i="10"/>
  <c r="I43" i="10"/>
  <c r="I44" i="10"/>
  <c r="I45" i="10"/>
  <c r="I46" i="10"/>
  <c r="I47" i="10"/>
  <c r="I51" i="10"/>
  <c r="I52" i="10"/>
  <c r="I53" i="10"/>
  <c r="I54" i="10"/>
  <c r="I55" i="10"/>
  <c r="I56" i="10"/>
  <c r="AL190" i="12"/>
  <c r="AL144" i="12"/>
  <c r="AU6" i="12"/>
  <c r="I33" i="10"/>
  <c r="U229" i="13"/>
  <c r="U228" i="13"/>
  <c r="U227" i="13"/>
  <c r="U226" i="13"/>
  <c r="U225" i="13"/>
  <c r="U224" i="13"/>
  <c r="U223" i="13"/>
  <c r="U222" i="13"/>
  <c r="U221" i="13"/>
  <c r="U220" i="13"/>
  <c r="U219" i="13"/>
  <c r="U218" i="13"/>
  <c r="U217" i="13"/>
  <c r="U216" i="13"/>
  <c r="U215" i="13"/>
  <c r="U214" i="13"/>
  <c r="U213" i="13"/>
  <c r="U212" i="13"/>
  <c r="U211" i="13"/>
  <c r="U210" i="13"/>
  <c r="U209" i="13"/>
  <c r="U208" i="13"/>
  <c r="U207" i="13"/>
  <c r="U206" i="13"/>
  <c r="U205" i="13"/>
  <c r="U204" i="13"/>
  <c r="U203" i="13"/>
  <c r="U202" i="13"/>
  <c r="U201" i="13"/>
  <c r="U200" i="13"/>
  <c r="U199" i="13"/>
  <c r="U198" i="13"/>
  <c r="U197" i="13"/>
  <c r="U196" i="13"/>
  <c r="AN195" i="13"/>
  <c r="AM195" i="13"/>
  <c r="AL195" i="13"/>
  <c r="AK195" i="13"/>
  <c r="AJ195" i="13"/>
  <c r="AI195" i="13"/>
  <c r="X195" i="13"/>
  <c r="U195" i="13"/>
  <c r="AN194" i="13"/>
  <c r="AM194" i="13"/>
  <c r="AL194" i="13"/>
  <c r="AK194" i="13"/>
  <c r="AJ194" i="13"/>
  <c r="AI194" i="13"/>
  <c r="X194" i="13"/>
  <c r="U194" i="13"/>
  <c r="AN193" i="13"/>
  <c r="AM193" i="13"/>
  <c r="AL193" i="13"/>
  <c r="AK193" i="13"/>
  <c r="AJ193" i="13"/>
  <c r="AI193" i="13"/>
  <c r="X193" i="13"/>
  <c r="U193" i="13"/>
  <c r="AH195" i="13" s="1"/>
  <c r="AN192" i="13"/>
  <c r="AM192" i="13"/>
  <c r="AL192" i="13"/>
  <c r="AK192" i="13"/>
  <c r="AJ192" i="13"/>
  <c r="AI192" i="13"/>
  <c r="X192" i="13"/>
  <c r="U192" i="13"/>
  <c r="AH194" i="13" s="1"/>
  <c r="AN191" i="13"/>
  <c r="AM191" i="13"/>
  <c r="AL191" i="13"/>
  <c r="AK191" i="13"/>
  <c r="AJ191" i="13"/>
  <c r="AI191" i="13"/>
  <c r="X191" i="13"/>
  <c r="U191" i="13"/>
  <c r="AH193" i="13" s="1"/>
  <c r="AN190" i="13"/>
  <c r="AM190" i="13"/>
  <c r="AL190" i="13"/>
  <c r="AK190" i="13"/>
  <c r="AJ190" i="13"/>
  <c r="AI190" i="13"/>
  <c r="X190" i="13"/>
  <c r="U190" i="13"/>
  <c r="AH192" i="13" s="1"/>
  <c r="U189" i="13"/>
  <c r="AH191" i="13" s="1"/>
  <c r="U188" i="13"/>
  <c r="U183" i="13"/>
  <c r="U182" i="13"/>
  <c r="U181" i="13"/>
  <c r="U180" i="13"/>
  <c r="U179" i="13"/>
  <c r="U178" i="13"/>
  <c r="U177" i="13"/>
  <c r="U176" i="13"/>
  <c r="U175" i="13"/>
  <c r="U174" i="13"/>
  <c r="U173" i="13"/>
  <c r="U172" i="13"/>
  <c r="U171" i="13"/>
  <c r="U170" i="13"/>
  <c r="U169" i="13"/>
  <c r="U168" i="13"/>
  <c r="U167" i="13"/>
  <c r="U166" i="13"/>
  <c r="U165" i="13"/>
  <c r="U164" i="13"/>
  <c r="U163" i="13"/>
  <c r="U162" i="13"/>
  <c r="U161" i="13"/>
  <c r="U160" i="13"/>
  <c r="U159" i="13"/>
  <c r="U158" i="13"/>
  <c r="U157" i="13"/>
  <c r="U156" i="13"/>
  <c r="U155" i="13"/>
  <c r="U154" i="13"/>
  <c r="U153" i="13"/>
  <c r="U152" i="13"/>
  <c r="U151" i="13"/>
  <c r="U150" i="13"/>
  <c r="AN149" i="13"/>
  <c r="AM149" i="13"/>
  <c r="AL149" i="13"/>
  <c r="AK149" i="13"/>
  <c r="AJ149" i="13"/>
  <c r="AI149" i="13"/>
  <c r="X149" i="13"/>
  <c r="U149" i="13"/>
  <c r="AN148" i="13"/>
  <c r="AM148" i="13"/>
  <c r="AL148" i="13"/>
  <c r="AK148" i="13"/>
  <c r="AJ148" i="13"/>
  <c r="AI148" i="13"/>
  <c r="X148" i="13"/>
  <c r="U148" i="13"/>
  <c r="AN147" i="13"/>
  <c r="AM147" i="13"/>
  <c r="AL147" i="13"/>
  <c r="AK147" i="13"/>
  <c r="AJ147" i="13"/>
  <c r="AI147" i="13"/>
  <c r="X147" i="13"/>
  <c r="U147" i="13"/>
  <c r="AH149" i="13" s="1"/>
  <c r="AN146" i="13"/>
  <c r="AM146" i="13"/>
  <c r="AL146" i="13"/>
  <c r="AK146" i="13"/>
  <c r="AJ146" i="13"/>
  <c r="AI146" i="13"/>
  <c r="X146" i="13"/>
  <c r="U146" i="13"/>
  <c r="AH148" i="13" s="1"/>
  <c r="AN145" i="13"/>
  <c r="AM145" i="13"/>
  <c r="AL145" i="13"/>
  <c r="AK145" i="13"/>
  <c r="AJ145" i="13"/>
  <c r="AI145" i="13"/>
  <c r="X145" i="13"/>
  <c r="U145" i="13"/>
  <c r="AH147" i="13" s="1"/>
  <c r="AN144" i="13"/>
  <c r="AM144" i="13"/>
  <c r="AL144" i="13"/>
  <c r="AK144" i="13"/>
  <c r="AJ144" i="13"/>
  <c r="AI144" i="13"/>
  <c r="X144" i="13"/>
  <c r="U144" i="13"/>
  <c r="AH146" i="13" s="1"/>
  <c r="U143" i="13"/>
  <c r="AH145" i="13" s="1"/>
  <c r="U142" i="13"/>
  <c r="U137" i="13"/>
  <c r="U136" i="13"/>
  <c r="U135" i="13"/>
  <c r="U134" i="13"/>
  <c r="U133" i="13"/>
  <c r="U132" i="13"/>
  <c r="U131" i="13"/>
  <c r="U130" i="13"/>
  <c r="U129" i="13"/>
  <c r="U128" i="13"/>
  <c r="U127" i="13"/>
  <c r="U126" i="13"/>
  <c r="U125" i="13"/>
  <c r="U124" i="13"/>
  <c r="U123" i="13"/>
  <c r="U122" i="13"/>
  <c r="U121" i="13"/>
  <c r="U120" i="13"/>
  <c r="U119" i="13"/>
  <c r="U118" i="13"/>
  <c r="U117" i="13"/>
  <c r="U116" i="13"/>
  <c r="U115" i="13"/>
  <c r="U114" i="13"/>
  <c r="U113" i="13"/>
  <c r="U112" i="13"/>
  <c r="U111" i="13"/>
  <c r="U110" i="13"/>
  <c r="U109" i="13"/>
  <c r="U108" i="13"/>
  <c r="U107" i="13"/>
  <c r="U106" i="13"/>
  <c r="U105" i="13"/>
  <c r="U104" i="13"/>
  <c r="AN103" i="13"/>
  <c r="AM103" i="13"/>
  <c r="AL103" i="13"/>
  <c r="AK103" i="13"/>
  <c r="AJ103" i="13"/>
  <c r="AI103" i="13"/>
  <c r="X103" i="13"/>
  <c r="U103" i="13"/>
  <c r="AN102" i="13"/>
  <c r="AM102" i="13"/>
  <c r="AL102" i="13"/>
  <c r="AK102" i="13"/>
  <c r="AJ102" i="13"/>
  <c r="AI102" i="13"/>
  <c r="X102" i="13"/>
  <c r="U102" i="13"/>
  <c r="AN101" i="13"/>
  <c r="AM101" i="13"/>
  <c r="AL101" i="13"/>
  <c r="AK101" i="13"/>
  <c r="AJ101" i="13"/>
  <c r="AI101" i="13"/>
  <c r="X101" i="13"/>
  <c r="U101" i="13"/>
  <c r="AH103" i="13" s="1"/>
  <c r="AN100" i="13"/>
  <c r="AM100" i="13"/>
  <c r="AL100" i="13"/>
  <c r="AK100" i="13"/>
  <c r="AJ100" i="13"/>
  <c r="AI100" i="13"/>
  <c r="X100" i="13"/>
  <c r="U100" i="13"/>
  <c r="AH102" i="13" s="1"/>
  <c r="AN99" i="13"/>
  <c r="AM99" i="13"/>
  <c r="AL99" i="13"/>
  <c r="AK99" i="13"/>
  <c r="AJ99" i="13"/>
  <c r="AI99" i="13"/>
  <c r="X99" i="13"/>
  <c r="U99" i="13"/>
  <c r="AH101" i="13" s="1"/>
  <c r="AN98" i="13"/>
  <c r="AM98" i="13"/>
  <c r="AL98" i="13"/>
  <c r="AK98" i="13"/>
  <c r="AJ98" i="13"/>
  <c r="AI98" i="13"/>
  <c r="X98" i="13"/>
  <c r="U98" i="13"/>
  <c r="AH100" i="13" s="1"/>
  <c r="U97" i="13"/>
  <c r="AH99" i="13" s="1"/>
  <c r="U96" i="13"/>
  <c r="U91" i="13"/>
  <c r="U90" i="13"/>
  <c r="U89" i="13"/>
  <c r="U88" i="13"/>
  <c r="U87" i="13"/>
  <c r="U86" i="13"/>
  <c r="U85" i="13"/>
  <c r="U84" i="13"/>
  <c r="U83" i="13"/>
  <c r="U82" i="13"/>
  <c r="U81" i="13"/>
  <c r="U80" i="13"/>
  <c r="U79" i="13"/>
  <c r="U78" i="13"/>
  <c r="U77" i="13"/>
  <c r="U76" i="13"/>
  <c r="U75" i="13"/>
  <c r="U74" i="13"/>
  <c r="U73" i="13"/>
  <c r="U72" i="13"/>
  <c r="U71" i="13"/>
  <c r="U70" i="13"/>
  <c r="U69" i="13"/>
  <c r="U68" i="13"/>
  <c r="U67" i="13"/>
  <c r="U66" i="13"/>
  <c r="U65" i="13"/>
  <c r="U64" i="13"/>
  <c r="U63" i="13"/>
  <c r="U62" i="13"/>
  <c r="U61" i="13"/>
  <c r="U60" i="13"/>
  <c r="U59" i="13"/>
  <c r="U58" i="13"/>
  <c r="AN57" i="13"/>
  <c r="AM57" i="13"/>
  <c r="AL57" i="13"/>
  <c r="AK57" i="13"/>
  <c r="AJ57" i="13"/>
  <c r="AI57" i="13"/>
  <c r="X57" i="13"/>
  <c r="U57" i="13"/>
  <c r="AN56" i="13"/>
  <c r="AM56" i="13"/>
  <c r="AL56" i="13"/>
  <c r="AK56" i="13"/>
  <c r="AJ56" i="13"/>
  <c r="AI56" i="13"/>
  <c r="X56" i="13"/>
  <c r="U56" i="13"/>
  <c r="AN55" i="13"/>
  <c r="AM55" i="13"/>
  <c r="AL55" i="13"/>
  <c r="AK55" i="13"/>
  <c r="AJ55" i="13"/>
  <c r="AI55" i="13"/>
  <c r="X55" i="13"/>
  <c r="U55" i="13"/>
  <c r="AH57" i="13" s="1"/>
  <c r="AN54" i="13"/>
  <c r="AM54" i="13"/>
  <c r="AL54" i="13"/>
  <c r="AK54" i="13"/>
  <c r="AJ54" i="13"/>
  <c r="AI54" i="13"/>
  <c r="X54" i="13"/>
  <c r="U54" i="13"/>
  <c r="AH56" i="13" s="1"/>
  <c r="AN53" i="13"/>
  <c r="AM53" i="13"/>
  <c r="AL53" i="13"/>
  <c r="AK53" i="13"/>
  <c r="AJ53" i="13"/>
  <c r="AI53" i="13"/>
  <c r="X53" i="13"/>
  <c r="U53" i="13"/>
  <c r="AH55" i="13" s="1"/>
  <c r="AN52" i="13"/>
  <c r="AM52" i="13"/>
  <c r="AL52" i="13"/>
  <c r="AK52" i="13"/>
  <c r="AJ52" i="13"/>
  <c r="AI52" i="13"/>
  <c r="X52" i="13"/>
  <c r="U52" i="13"/>
  <c r="AH54" i="13" s="1"/>
  <c r="U51" i="13"/>
  <c r="AH53" i="13" s="1"/>
  <c r="U50" i="13"/>
  <c r="U45" i="13"/>
  <c r="U44" i="13"/>
  <c r="U43" i="13"/>
  <c r="U42" i="13"/>
  <c r="U41" i="13"/>
  <c r="U40" i="13"/>
  <c r="U39" i="13"/>
  <c r="U38" i="13"/>
  <c r="U37" i="13"/>
  <c r="U36" i="13"/>
  <c r="U35" i="13"/>
  <c r="U34" i="13"/>
  <c r="U33" i="13"/>
  <c r="U32" i="13"/>
  <c r="U31" i="13"/>
  <c r="U30" i="13"/>
  <c r="U29" i="13"/>
  <c r="U28" i="13"/>
  <c r="U27" i="13"/>
  <c r="U26" i="13"/>
  <c r="U25" i="13"/>
  <c r="U24" i="13"/>
  <c r="U23" i="13"/>
  <c r="U22" i="13"/>
  <c r="U21" i="13"/>
  <c r="U20" i="13"/>
  <c r="U19" i="13"/>
  <c r="U18" i="13"/>
  <c r="U17" i="13"/>
  <c r="U16" i="13"/>
  <c r="U15" i="13"/>
  <c r="U14" i="13"/>
  <c r="U13" i="13"/>
  <c r="U12" i="13"/>
  <c r="AN11" i="13"/>
  <c r="AW11" i="13" s="1"/>
  <c r="AM11" i="13"/>
  <c r="AV11" i="13" s="1"/>
  <c r="AL11" i="13"/>
  <c r="AU11" i="13" s="1"/>
  <c r="AK11" i="13"/>
  <c r="AT11" i="13" s="1"/>
  <c r="AJ11" i="13"/>
  <c r="AS11" i="13" s="1"/>
  <c r="AI11" i="13"/>
  <c r="AR11" i="13" s="1"/>
  <c r="X11" i="13"/>
  <c r="AE11" i="13" s="1"/>
  <c r="U11" i="13"/>
  <c r="AN10" i="13"/>
  <c r="AW10" i="13" s="1"/>
  <c r="AM10" i="13"/>
  <c r="AV10" i="13" s="1"/>
  <c r="AL10" i="13"/>
  <c r="AU10" i="13" s="1"/>
  <c r="AK10" i="13"/>
  <c r="AT10" i="13" s="1"/>
  <c r="AJ10" i="13"/>
  <c r="AS10" i="13" s="1"/>
  <c r="AI10" i="13"/>
  <c r="AR10" i="13" s="1"/>
  <c r="X10" i="13"/>
  <c r="AE10" i="13" s="1"/>
  <c r="U10" i="13"/>
  <c r="AN9" i="13"/>
  <c r="AW9" i="13" s="1"/>
  <c r="AM9" i="13"/>
  <c r="AV9" i="13" s="1"/>
  <c r="AL9" i="13"/>
  <c r="AU9" i="13" s="1"/>
  <c r="AK9" i="13"/>
  <c r="AT9" i="13" s="1"/>
  <c r="AJ9" i="13"/>
  <c r="AS9" i="13" s="1"/>
  <c r="AI9" i="13"/>
  <c r="AR9" i="13" s="1"/>
  <c r="X9" i="13"/>
  <c r="AE9" i="13" s="1"/>
  <c r="U9" i="13"/>
  <c r="AH11" i="13" s="1"/>
  <c r="AQ11" i="13" s="1"/>
  <c r="AN8" i="13"/>
  <c r="AW8" i="13" s="1"/>
  <c r="AM8" i="13"/>
  <c r="AV8" i="13" s="1"/>
  <c r="AL8" i="13"/>
  <c r="AU8" i="13" s="1"/>
  <c r="AK8" i="13"/>
  <c r="AT8" i="13" s="1"/>
  <c r="AJ8" i="13"/>
  <c r="AS8" i="13" s="1"/>
  <c r="AI8" i="13"/>
  <c r="AR8" i="13" s="1"/>
  <c r="X8" i="13"/>
  <c r="AE8" i="13" s="1"/>
  <c r="U8" i="13"/>
  <c r="AH10" i="13" s="1"/>
  <c r="AQ10" i="13" s="1"/>
  <c r="AN7" i="13"/>
  <c r="AW7" i="13" s="1"/>
  <c r="AM7" i="13"/>
  <c r="AV7" i="13" s="1"/>
  <c r="AL7" i="13"/>
  <c r="AU7" i="13" s="1"/>
  <c r="AK7" i="13"/>
  <c r="AT7" i="13" s="1"/>
  <c r="AJ7" i="13"/>
  <c r="AS7" i="13" s="1"/>
  <c r="AI7" i="13"/>
  <c r="AR7" i="13" s="1"/>
  <c r="X7" i="13"/>
  <c r="AE7" i="13" s="1"/>
  <c r="U7" i="13"/>
  <c r="AH9" i="13" s="1"/>
  <c r="AQ9" i="13" s="1"/>
  <c r="AN6" i="13"/>
  <c r="AW6" i="13" s="1"/>
  <c r="AM6" i="13"/>
  <c r="AV6" i="13" s="1"/>
  <c r="AL6" i="13"/>
  <c r="AU6" i="13" s="1"/>
  <c r="AT6" i="13"/>
  <c r="AS6" i="13"/>
  <c r="AR6" i="13"/>
  <c r="X6" i="13"/>
  <c r="AE6" i="13" s="1"/>
  <c r="U6" i="13"/>
  <c r="AH8" i="13" s="1"/>
  <c r="AQ8" i="13" s="1"/>
  <c r="U5" i="13"/>
  <c r="AH7" i="13" s="1"/>
  <c r="AQ7" i="13" s="1"/>
  <c r="U4" i="13"/>
  <c r="U229" i="12"/>
  <c r="U228" i="12"/>
  <c r="U227" i="12"/>
  <c r="U226" i="12"/>
  <c r="U225" i="12"/>
  <c r="U224" i="12"/>
  <c r="U223" i="12"/>
  <c r="U222" i="12"/>
  <c r="U221" i="12"/>
  <c r="U220" i="12"/>
  <c r="U219" i="12"/>
  <c r="U218" i="12"/>
  <c r="U217" i="12"/>
  <c r="U216" i="12"/>
  <c r="U215" i="12"/>
  <c r="U214" i="12"/>
  <c r="U213" i="12"/>
  <c r="U212" i="12"/>
  <c r="U211" i="12"/>
  <c r="U210" i="12"/>
  <c r="U209" i="12"/>
  <c r="U208" i="12"/>
  <c r="U207" i="12"/>
  <c r="U206" i="12"/>
  <c r="U205" i="12"/>
  <c r="U204" i="12"/>
  <c r="U203" i="12"/>
  <c r="U202" i="12"/>
  <c r="U201" i="12"/>
  <c r="U200" i="12"/>
  <c r="U199" i="12"/>
  <c r="U198" i="12"/>
  <c r="U197" i="12"/>
  <c r="U196" i="12"/>
  <c r="AN195" i="12"/>
  <c r="AM195" i="12"/>
  <c r="AL195" i="12"/>
  <c r="AK195" i="12"/>
  <c r="AJ195" i="12"/>
  <c r="AI195" i="12"/>
  <c r="X195" i="12"/>
  <c r="U195" i="12"/>
  <c r="AN194" i="12"/>
  <c r="AM194" i="12"/>
  <c r="AL194" i="12"/>
  <c r="AK194" i="12"/>
  <c r="AJ194" i="12"/>
  <c r="AI194" i="12"/>
  <c r="X194" i="12"/>
  <c r="U194" i="12"/>
  <c r="AN193" i="12"/>
  <c r="AM193" i="12"/>
  <c r="AL193" i="12"/>
  <c r="AK193" i="12"/>
  <c r="AJ193" i="12"/>
  <c r="AI193" i="12"/>
  <c r="X193" i="12"/>
  <c r="U193" i="12"/>
  <c r="AH195" i="12" s="1"/>
  <c r="AN192" i="12"/>
  <c r="AM192" i="12"/>
  <c r="AL192" i="12"/>
  <c r="AK192" i="12"/>
  <c r="AJ192" i="12"/>
  <c r="AI192" i="12"/>
  <c r="X192" i="12"/>
  <c r="U192" i="12"/>
  <c r="AH194" i="12" s="1"/>
  <c r="AN191" i="12"/>
  <c r="AM191" i="12"/>
  <c r="AL191" i="12"/>
  <c r="AK191" i="12"/>
  <c r="AJ191" i="12"/>
  <c r="AI191" i="12"/>
  <c r="X191" i="12"/>
  <c r="U191" i="12"/>
  <c r="AH193" i="12" s="1"/>
  <c r="AN190" i="12"/>
  <c r="AM190" i="12"/>
  <c r="AK190" i="12"/>
  <c r="AJ190" i="12"/>
  <c r="AI190" i="12"/>
  <c r="X190" i="12"/>
  <c r="U190" i="12"/>
  <c r="AH192" i="12" s="1"/>
  <c r="U189" i="12"/>
  <c r="AH191" i="12" s="1"/>
  <c r="U188" i="12"/>
  <c r="U183" i="12"/>
  <c r="U182" i="12"/>
  <c r="U181" i="12"/>
  <c r="U180" i="12"/>
  <c r="U179" i="12"/>
  <c r="U178" i="12"/>
  <c r="U177" i="12"/>
  <c r="U176" i="12"/>
  <c r="U175" i="12"/>
  <c r="U174" i="12"/>
  <c r="U173" i="12"/>
  <c r="U172" i="12"/>
  <c r="U171" i="12"/>
  <c r="U170" i="12"/>
  <c r="U169" i="12"/>
  <c r="U168" i="12"/>
  <c r="U167" i="12"/>
  <c r="U166" i="12"/>
  <c r="U165" i="12"/>
  <c r="U164" i="12"/>
  <c r="U163" i="12"/>
  <c r="U162" i="12"/>
  <c r="U161" i="12"/>
  <c r="U160" i="12"/>
  <c r="U159" i="12"/>
  <c r="U158" i="12"/>
  <c r="U157" i="12"/>
  <c r="U156" i="12"/>
  <c r="U155" i="12"/>
  <c r="U154" i="12"/>
  <c r="U153" i="12"/>
  <c r="U152" i="12"/>
  <c r="U151" i="12"/>
  <c r="U150" i="12"/>
  <c r="AN149" i="12"/>
  <c r="AM149" i="12"/>
  <c r="AL149" i="12"/>
  <c r="AK149" i="12"/>
  <c r="AJ149" i="12"/>
  <c r="AI149" i="12"/>
  <c r="X149" i="12"/>
  <c r="U149" i="12"/>
  <c r="AN148" i="12"/>
  <c r="AM148" i="12"/>
  <c r="AL148" i="12"/>
  <c r="AK148" i="12"/>
  <c r="AJ148" i="12"/>
  <c r="AI148" i="12"/>
  <c r="X148" i="12"/>
  <c r="U148" i="12"/>
  <c r="AN147" i="12"/>
  <c r="AM147" i="12"/>
  <c r="AL147" i="12"/>
  <c r="AK147" i="12"/>
  <c r="AJ147" i="12"/>
  <c r="AI147" i="12"/>
  <c r="X147" i="12"/>
  <c r="U147" i="12"/>
  <c r="AH149" i="12" s="1"/>
  <c r="AN146" i="12"/>
  <c r="AM146" i="12"/>
  <c r="AL146" i="12"/>
  <c r="AK146" i="12"/>
  <c r="AJ146" i="12"/>
  <c r="AI146" i="12"/>
  <c r="X146" i="12"/>
  <c r="U146" i="12"/>
  <c r="AH148" i="12" s="1"/>
  <c r="AN145" i="12"/>
  <c r="AM145" i="12"/>
  <c r="AL145" i="12"/>
  <c r="AK145" i="12"/>
  <c r="AJ145" i="12"/>
  <c r="AI145" i="12"/>
  <c r="X145" i="12"/>
  <c r="U145" i="12"/>
  <c r="AH147" i="12" s="1"/>
  <c r="AN144" i="12"/>
  <c r="AM144" i="12"/>
  <c r="AK144" i="12"/>
  <c r="AJ144" i="12"/>
  <c r="AI144" i="12"/>
  <c r="X144" i="12"/>
  <c r="U144" i="12"/>
  <c r="AH146" i="12" s="1"/>
  <c r="U143" i="12"/>
  <c r="AH145" i="12" s="1"/>
  <c r="U142" i="12"/>
  <c r="U137" i="12"/>
  <c r="U136" i="12"/>
  <c r="U135" i="12"/>
  <c r="U134" i="12"/>
  <c r="U133" i="12"/>
  <c r="U132" i="12"/>
  <c r="U131" i="12"/>
  <c r="U130" i="12"/>
  <c r="U129" i="12"/>
  <c r="U128" i="12"/>
  <c r="U127" i="12"/>
  <c r="U126" i="12"/>
  <c r="U125" i="12"/>
  <c r="U124" i="12"/>
  <c r="U123" i="12"/>
  <c r="U122" i="12"/>
  <c r="U121" i="12"/>
  <c r="U120" i="12"/>
  <c r="U119" i="12"/>
  <c r="U118" i="12"/>
  <c r="U117" i="12"/>
  <c r="U116" i="12"/>
  <c r="U115" i="12"/>
  <c r="U114" i="12"/>
  <c r="U113" i="12"/>
  <c r="U112" i="12"/>
  <c r="U111" i="12"/>
  <c r="U110" i="12"/>
  <c r="U109" i="12"/>
  <c r="U108" i="12"/>
  <c r="U107" i="12"/>
  <c r="AI103" i="12" s="1"/>
  <c r="U106" i="12"/>
  <c r="AI102" i="12" s="1"/>
  <c r="U105" i="12"/>
  <c r="AI101" i="12" s="1"/>
  <c r="U104" i="12"/>
  <c r="AI100" i="12" s="1"/>
  <c r="AN103" i="12"/>
  <c r="AM103" i="12"/>
  <c r="AL103" i="12"/>
  <c r="AK103" i="12"/>
  <c r="AJ103" i="12"/>
  <c r="X103" i="12"/>
  <c r="U103" i="12"/>
  <c r="AN102" i="12"/>
  <c r="AM102" i="12"/>
  <c r="AL102" i="12"/>
  <c r="AK102" i="12"/>
  <c r="AJ102" i="12"/>
  <c r="X102" i="12"/>
  <c r="U102" i="12"/>
  <c r="AI98" i="12" s="1"/>
  <c r="AN101" i="12"/>
  <c r="AM101" i="12"/>
  <c r="AL101" i="12"/>
  <c r="AK101" i="12"/>
  <c r="AJ101" i="12"/>
  <c r="X101" i="12"/>
  <c r="U101" i="12"/>
  <c r="AH103" i="12" s="1"/>
  <c r="AN100" i="12"/>
  <c r="AM100" i="12"/>
  <c r="AL100" i="12"/>
  <c r="AK100" i="12"/>
  <c r="AJ100" i="12"/>
  <c r="X100" i="12"/>
  <c r="U100" i="12"/>
  <c r="AH102" i="12" s="1"/>
  <c r="AN99" i="12"/>
  <c r="AM99" i="12"/>
  <c r="AL99" i="12"/>
  <c r="AK99" i="12"/>
  <c r="AJ99" i="12"/>
  <c r="X99" i="12"/>
  <c r="U99" i="12"/>
  <c r="AH101" i="12" s="1"/>
  <c r="AN98" i="12"/>
  <c r="AM98" i="12"/>
  <c r="AL98" i="12"/>
  <c r="AK98" i="12"/>
  <c r="AJ98" i="12"/>
  <c r="U98" i="12"/>
  <c r="AH100" i="12" s="1"/>
  <c r="U97" i="12"/>
  <c r="AH99" i="12" s="1"/>
  <c r="U96" i="12"/>
  <c r="U91" i="12"/>
  <c r="U90" i="12"/>
  <c r="U89" i="12"/>
  <c r="U88" i="12"/>
  <c r="U87" i="12"/>
  <c r="U86" i="12"/>
  <c r="U85" i="12"/>
  <c r="AM57" i="12" s="1"/>
  <c r="U84" i="12"/>
  <c r="AM56" i="12" s="1"/>
  <c r="U83" i="12"/>
  <c r="AM55" i="12" s="1"/>
  <c r="U82" i="12"/>
  <c r="AM54" i="12" s="1"/>
  <c r="U81" i="12"/>
  <c r="U80" i="12"/>
  <c r="AM52" i="12" s="1"/>
  <c r="U79" i="12"/>
  <c r="U78" i="12"/>
  <c r="U77" i="12"/>
  <c r="U76" i="12"/>
  <c r="U75" i="12"/>
  <c r="U74" i="12"/>
  <c r="U73" i="12"/>
  <c r="U72" i="12"/>
  <c r="U71" i="12"/>
  <c r="U70" i="12"/>
  <c r="U69" i="12"/>
  <c r="U68" i="12"/>
  <c r="U67" i="12"/>
  <c r="U66" i="12"/>
  <c r="U65" i="12"/>
  <c r="U64" i="12"/>
  <c r="U63" i="12"/>
  <c r="U62" i="12"/>
  <c r="U61" i="12"/>
  <c r="AI57" i="12" s="1"/>
  <c r="U60" i="12"/>
  <c r="AI56" i="12" s="1"/>
  <c r="U59" i="12"/>
  <c r="AI55" i="12" s="1"/>
  <c r="U58" i="12"/>
  <c r="AI54" i="12" s="1"/>
  <c r="AN57" i="12"/>
  <c r="AL57" i="12"/>
  <c r="AK57" i="12"/>
  <c r="AJ57" i="12"/>
  <c r="X57" i="12"/>
  <c r="U57" i="12"/>
  <c r="AI53" i="12" s="1"/>
  <c r="AN56" i="12"/>
  <c r="AL56" i="12"/>
  <c r="AK56" i="12"/>
  <c r="AJ56" i="12"/>
  <c r="U56" i="12"/>
  <c r="AN55" i="12"/>
  <c r="AL55" i="12"/>
  <c r="AK55" i="12"/>
  <c r="AJ55" i="12"/>
  <c r="X55" i="12"/>
  <c r="U55" i="12"/>
  <c r="AH57" i="12" s="1"/>
  <c r="AN54" i="12"/>
  <c r="AL54" i="12"/>
  <c r="AK54" i="12"/>
  <c r="AJ54" i="12"/>
  <c r="X54" i="12"/>
  <c r="U54" i="12"/>
  <c r="AH56" i="12" s="1"/>
  <c r="AN53" i="12"/>
  <c r="AM53" i="12"/>
  <c r="AL53" i="12"/>
  <c r="AK53" i="12"/>
  <c r="AJ53" i="12"/>
  <c r="X53" i="12"/>
  <c r="U53" i="12"/>
  <c r="AH55" i="12" s="1"/>
  <c r="AN52" i="12"/>
  <c r="AL52" i="12"/>
  <c r="AK52" i="12"/>
  <c r="AJ52" i="12"/>
  <c r="U52" i="12"/>
  <c r="AH54" i="12" s="1"/>
  <c r="U51" i="12"/>
  <c r="AH53" i="12" s="1"/>
  <c r="U50" i="12"/>
  <c r="U45" i="12"/>
  <c r="U44" i="12"/>
  <c r="U43" i="12"/>
  <c r="U42" i="12"/>
  <c r="U41" i="12"/>
  <c r="U40" i="12"/>
  <c r="U39" i="12"/>
  <c r="U38" i="12"/>
  <c r="U37" i="12"/>
  <c r="U36" i="12"/>
  <c r="U35" i="12"/>
  <c r="U34" i="12"/>
  <c r="U33" i="12"/>
  <c r="U32" i="12"/>
  <c r="U31" i="12"/>
  <c r="U30" i="12"/>
  <c r="U29" i="12"/>
  <c r="U28" i="12"/>
  <c r="U27" i="12"/>
  <c r="U26" i="12"/>
  <c r="U25" i="12"/>
  <c r="U24" i="12"/>
  <c r="U23" i="12"/>
  <c r="U22" i="12"/>
  <c r="U21" i="12"/>
  <c r="U20" i="12"/>
  <c r="U19" i="12"/>
  <c r="U18" i="12"/>
  <c r="U17" i="12"/>
  <c r="U16" i="12"/>
  <c r="U15" i="12"/>
  <c r="U14" i="12"/>
  <c r="U13" i="12"/>
  <c r="U12" i="12"/>
  <c r="AN11" i="12"/>
  <c r="AW11" i="12" s="1"/>
  <c r="AM11" i="12"/>
  <c r="AL11" i="12"/>
  <c r="AU11" i="12" s="1"/>
  <c r="AK11" i="12"/>
  <c r="AT11" i="12" s="1"/>
  <c r="AJ11" i="12"/>
  <c r="AS11" i="12" s="1"/>
  <c r="AI11" i="12"/>
  <c r="X11" i="12"/>
  <c r="AE11" i="12" s="1"/>
  <c r="U11" i="12"/>
  <c r="AN10" i="12"/>
  <c r="AW10" i="12" s="1"/>
  <c r="AM10" i="12"/>
  <c r="AL10" i="12"/>
  <c r="AU10" i="12" s="1"/>
  <c r="AK10" i="12"/>
  <c r="AT10" i="12" s="1"/>
  <c r="AJ10" i="12"/>
  <c r="AS10" i="12" s="1"/>
  <c r="AI10" i="12"/>
  <c r="X10" i="12"/>
  <c r="U10" i="12"/>
  <c r="AN9" i="12"/>
  <c r="AW9" i="12" s="1"/>
  <c r="AM9" i="12"/>
  <c r="AL9" i="12"/>
  <c r="AU9" i="12" s="1"/>
  <c r="AK9" i="12"/>
  <c r="AT9" i="12" s="1"/>
  <c r="AJ9" i="12"/>
  <c r="AS9" i="12" s="1"/>
  <c r="AI9" i="12"/>
  <c r="X9" i="12"/>
  <c r="AE9" i="12" s="1"/>
  <c r="U9" i="12"/>
  <c r="AH11" i="12" s="1"/>
  <c r="AQ11" i="12" s="1"/>
  <c r="AN8" i="12"/>
  <c r="AW8" i="12" s="1"/>
  <c r="AM8" i="12"/>
  <c r="AL8" i="12"/>
  <c r="AU8" i="12" s="1"/>
  <c r="AK8" i="12"/>
  <c r="AT8" i="12" s="1"/>
  <c r="AJ8" i="12"/>
  <c r="AS8" i="12" s="1"/>
  <c r="AI8" i="12"/>
  <c r="X8" i="12"/>
  <c r="AE8" i="12" s="1"/>
  <c r="U8" i="12"/>
  <c r="AH10" i="12" s="1"/>
  <c r="AQ10" i="12" s="1"/>
  <c r="AN7" i="12"/>
  <c r="AW7" i="12" s="1"/>
  <c r="AM7" i="12"/>
  <c r="AL7" i="12"/>
  <c r="AU7" i="12" s="1"/>
  <c r="AK7" i="12"/>
  <c r="AT7" i="12" s="1"/>
  <c r="AJ7" i="12"/>
  <c r="AS7" i="12" s="1"/>
  <c r="AI7" i="12"/>
  <c r="X7" i="12"/>
  <c r="AE7" i="12" s="1"/>
  <c r="U7" i="12"/>
  <c r="AH9" i="12" s="1"/>
  <c r="AQ9" i="12" s="1"/>
  <c r="AN6" i="12"/>
  <c r="AW6" i="12" s="1"/>
  <c r="AM6" i="12"/>
  <c r="AL6" i="12"/>
  <c r="AK6" i="12"/>
  <c r="AT6" i="12" s="1"/>
  <c r="AJ6" i="12"/>
  <c r="AS6" i="12" s="1"/>
  <c r="AI6" i="12"/>
  <c r="X6" i="12"/>
  <c r="U6" i="12"/>
  <c r="AH8" i="12" s="1"/>
  <c r="AQ8" i="12" s="1"/>
  <c r="U5" i="12"/>
  <c r="AH7" i="12" s="1"/>
  <c r="AQ7" i="12" s="1"/>
  <c r="U4" i="12"/>
  <c r="I34" i="10"/>
  <c r="I35" i="10"/>
  <c r="I36" i="10"/>
  <c r="I37" i="10"/>
  <c r="I38" i="10"/>
  <c r="AE11" i="9"/>
  <c r="AE10" i="9"/>
  <c r="AE9" i="9"/>
  <c r="AE8" i="9"/>
  <c r="AE7" i="9"/>
  <c r="AE5" i="9"/>
  <c r="AE6" i="9"/>
  <c r="U229" i="11"/>
  <c r="U228" i="11"/>
  <c r="U227" i="11"/>
  <c r="U226" i="11"/>
  <c r="U225" i="11"/>
  <c r="U224" i="11"/>
  <c r="U223" i="11"/>
  <c r="U222" i="11"/>
  <c r="U221" i="11"/>
  <c r="U220" i="11"/>
  <c r="U219" i="11"/>
  <c r="U218" i="11"/>
  <c r="U217" i="11"/>
  <c r="U216" i="11"/>
  <c r="U215" i="11"/>
  <c r="U214" i="11"/>
  <c r="U213" i="11"/>
  <c r="U212" i="11"/>
  <c r="U211" i="11"/>
  <c r="U210" i="11"/>
  <c r="U209" i="11"/>
  <c r="U208" i="11"/>
  <c r="U207" i="11"/>
  <c r="U206" i="11"/>
  <c r="U205" i="11"/>
  <c r="U204" i="11"/>
  <c r="U203" i="11"/>
  <c r="U202" i="11"/>
  <c r="U201" i="11"/>
  <c r="U200" i="11"/>
  <c r="U199" i="11"/>
  <c r="U198" i="11"/>
  <c r="U197" i="11"/>
  <c r="U196" i="11"/>
  <c r="AN195" i="11"/>
  <c r="AM195" i="11"/>
  <c r="AL195" i="11"/>
  <c r="AK195" i="11"/>
  <c r="AJ195" i="11"/>
  <c r="AI195" i="11"/>
  <c r="X195" i="11"/>
  <c r="U195" i="11"/>
  <c r="AN194" i="11"/>
  <c r="AM194" i="11"/>
  <c r="AL194" i="11"/>
  <c r="AK194" i="11"/>
  <c r="AJ194" i="11"/>
  <c r="AI194" i="11"/>
  <c r="X194" i="11"/>
  <c r="U194" i="11"/>
  <c r="AN193" i="11"/>
  <c r="AM193" i="11"/>
  <c r="AL193" i="11"/>
  <c r="AK193" i="11"/>
  <c r="AJ193" i="11"/>
  <c r="AI193" i="11"/>
  <c r="X193" i="11"/>
  <c r="U193" i="11"/>
  <c r="AH195" i="11" s="1"/>
  <c r="AN192" i="11"/>
  <c r="AM192" i="11"/>
  <c r="AL192" i="11"/>
  <c r="AK192" i="11"/>
  <c r="AJ192" i="11"/>
  <c r="AI192" i="11"/>
  <c r="X192" i="11"/>
  <c r="U192" i="11"/>
  <c r="AH194" i="11" s="1"/>
  <c r="AN191" i="11"/>
  <c r="AM191" i="11"/>
  <c r="AL191" i="11"/>
  <c r="AK191" i="11"/>
  <c r="AJ191" i="11"/>
  <c r="AI191" i="11"/>
  <c r="X191" i="11"/>
  <c r="U191" i="11"/>
  <c r="AH193" i="11" s="1"/>
  <c r="AN190" i="11"/>
  <c r="AM190" i="11"/>
  <c r="AL190" i="11"/>
  <c r="AK190" i="11"/>
  <c r="AJ190" i="11"/>
  <c r="AI190" i="11"/>
  <c r="X190" i="11"/>
  <c r="U190" i="11"/>
  <c r="AH192" i="11" s="1"/>
  <c r="U189" i="11"/>
  <c r="AH191" i="11" s="1"/>
  <c r="U188" i="11"/>
  <c r="U183" i="11"/>
  <c r="U182" i="11"/>
  <c r="U181" i="11"/>
  <c r="U180" i="11"/>
  <c r="U179" i="11"/>
  <c r="U178" i="11"/>
  <c r="U177" i="11"/>
  <c r="U176" i="11"/>
  <c r="U175" i="11"/>
  <c r="U174" i="11"/>
  <c r="U173" i="11"/>
  <c r="U172" i="11"/>
  <c r="U171" i="11"/>
  <c r="U170" i="11"/>
  <c r="U169" i="11"/>
  <c r="U168" i="11"/>
  <c r="U167" i="11"/>
  <c r="U166" i="11"/>
  <c r="U165" i="11"/>
  <c r="U164" i="11"/>
  <c r="U163" i="11"/>
  <c r="U162" i="11"/>
  <c r="U161" i="11"/>
  <c r="U160" i="11"/>
  <c r="U159" i="11"/>
  <c r="U158" i="11"/>
  <c r="U157" i="11"/>
  <c r="U156" i="11"/>
  <c r="U155" i="11"/>
  <c r="U154" i="11"/>
  <c r="U153" i="11"/>
  <c r="U152" i="11"/>
  <c r="U151" i="11"/>
  <c r="U150" i="11"/>
  <c r="AN149" i="11"/>
  <c r="AM149" i="11"/>
  <c r="AL149" i="11"/>
  <c r="AK149" i="11"/>
  <c r="AJ149" i="11"/>
  <c r="AI149" i="11"/>
  <c r="X149" i="11"/>
  <c r="U149" i="11"/>
  <c r="AN148" i="11"/>
  <c r="AM148" i="11"/>
  <c r="AL148" i="11"/>
  <c r="AK148" i="11"/>
  <c r="AJ148" i="11"/>
  <c r="AI148" i="11"/>
  <c r="X148" i="11"/>
  <c r="U148" i="11"/>
  <c r="AN147" i="11"/>
  <c r="AM147" i="11"/>
  <c r="AL147" i="11"/>
  <c r="AK147" i="11"/>
  <c r="AJ147" i="11"/>
  <c r="AI147" i="11"/>
  <c r="X147" i="11"/>
  <c r="U147" i="11"/>
  <c r="AH149" i="11" s="1"/>
  <c r="AN146" i="11"/>
  <c r="AM146" i="11"/>
  <c r="AL146" i="11"/>
  <c r="AK146" i="11"/>
  <c r="AJ146" i="11"/>
  <c r="AI146" i="11"/>
  <c r="X146" i="11"/>
  <c r="U146" i="11"/>
  <c r="AH148" i="11" s="1"/>
  <c r="AN145" i="11"/>
  <c r="AM145" i="11"/>
  <c r="AL145" i="11"/>
  <c r="AK145" i="11"/>
  <c r="AJ145" i="11"/>
  <c r="AI145" i="11"/>
  <c r="X145" i="11"/>
  <c r="U145" i="11"/>
  <c r="AH147" i="11" s="1"/>
  <c r="AN144" i="11"/>
  <c r="AM144" i="11"/>
  <c r="AL144" i="11"/>
  <c r="AK144" i="11"/>
  <c r="AJ144" i="11"/>
  <c r="AI144" i="11"/>
  <c r="X144" i="11"/>
  <c r="U144" i="11"/>
  <c r="AH146" i="11" s="1"/>
  <c r="U143" i="11"/>
  <c r="AH145" i="11" s="1"/>
  <c r="U142" i="11"/>
  <c r="U137" i="11"/>
  <c r="AN103" i="11" s="1"/>
  <c r="U136" i="11"/>
  <c r="AN102" i="11" s="1"/>
  <c r="U135" i="11"/>
  <c r="AN101" i="11" s="1"/>
  <c r="U134" i="11"/>
  <c r="U133" i="11"/>
  <c r="AN99" i="11" s="1"/>
  <c r="U132" i="11"/>
  <c r="AN98" i="11" s="1"/>
  <c r="U131" i="11"/>
  <c r="U130" i="11"/>
  <c r="U129" i="11"/>
  <c r="U128" i="11"/>
  <c r="U127" i="11"/>
  <c r="U126" i="11"/>
  <c r="U125" i="11"/>
  <c r="U124" i="11"/>
  <c r="U123" i="11"/>
  <c r="U122" i="11"/>
  <c r="U121" i="11"/>
  <c r="U120" i="11"/>
  <c r="U119" i="11"/>
  <c r="U118" i="11"/>
  <c r="U117" i="11"/>
  <c r="U116" i="11"/>
  <c r="U115" i="11"/>
  <c r="U114" i="11"/>
  <c r="U113" i="11"/>
  <c r="U112" i="11"/>
  <c r="U111" i="11"/>
  <c r="U110" i="11"/>
  <c r="U109" i="11"/>
  <c r="U108" i="11"/>
  <c r="U107" i="11"/>
  <c r="U106" i="11"/>
  <c r="U105" i="11"/>
  <c r="U104" i="11"/>
  <c r="AM103" i="11"/>
  <c r="AL103" i="11"/>
  <c r="AK103" i="11"/>
  <c r="AJ103" i="11"/>
  <c r="AI103" i="11"/>
  <c r="U103" i="11"/>
  <c r="AM102" i="11"/>
  <c r="AL102" i="11"/>
  <c r="AK102" i="11"/>
  <c r="AJ102" i="11"/>
  <c r="AI102" i="11"/>
  <c r="X102" i="11"/>
  <c r="U102" i="11"/>
  <c r="AM101" i="11"/>
  <c r="AL101" i="11"/>
  <c r="AK101" i="11"/>
  <c r="AJ101" i="11"/>
  <c r="AI101" i="11"/>
  <c r="X101" i="11"/>
  <c r="U101" i="11"/>
  <c r="AH103" i="11" s="1"/>
  <c r="AM100" i="11"/>
  <c r="AL100" i="11"/>
  <c r="AK100" i="11"/>
  <c r="AJ100" i="11"/>
  <c r="AI100" i="11"/>
  <c r="X100" i="11"/>
  <c r="U100" i="11"/>
  <c r="AH102" i="11" s="1"/>
  <c r="AM99" i="11"/>
  <c r="AL99" i="11"/>
  <c r="AK99" i="11"/>
  <c r="AJ99" i="11"/>
  <c r="AI99" i="11"/>
  <c r="X99" i="11"/>
  <c r="U99" i="11"/>
  <c r="AH101" i="11" s="1"/>
  <c r="AM98" i="11"/>
  <c r="AL98" i="11"/>
  <c r="AK98" i="11"/>
  <c r="AJ98" i="11"/>
  <c r="AI98" i="11"/>
  <c r="X98" i="11"/>
  <c r="U98" i="11"/>
  <c r="AH100" i="11" s="1"/>
  <c r="U97" i="11"/>
  <c r="AH99" i="11" s="1"/>
  <c r="U96" i="11"/>
  <c r="U91" i="11"/>
  <c r="U90" i="11"/>
  <c r="U89" i="11"/>
  <c r="U88" i="11"/>
  <c r="U87" i="11"/>
  <c r="U86" i="11"/>
  <c r="U85" i="11"/>
  <c r="U84" i="11"/>
  <c r="U83" i="11"/>
  <c r="U82" i="11"/>
  <c r="U81" i="11"/>
  <c r="U80" i="11"/>
  <c r="U79" i="11"/>
  <c r="U78" i="11"/>
  <c r="U77" i="11"/>
  <c r="U76" i="11"/>
  <c r="U75" i="11"/>
  <c r="U74" i="11"/>
  <c r="U73" i="11"/>
  <c r="U72" i="11"/>
  <c r="U71" i="11"/>
  <c r="U70" i="11"/>
  <c r="U69" i="11"/>
  <c r="U68" i="11"/>
  <c r="U67" i="11"/>
  <c r="U66" i="11"/>
  <c r="U65" i="11"/>
  <c r="U64" i="11"/>
  <c r="U63" i="11"/>
  <c r="U62" i="11"/>
  <c r="U61" i="11"/>
  <c r="U60" i="11"/>
  <c r="U59" i="11"/>
  <c r="U58" i="11"/>
  <c r="AN57" i="11"/>
  <c r="AM57" i="11"/>
  <c r="AL57" i="11"/>
  <c r="AK57" i="11"/>
  <c r="AJ57" i="11"/>
  <c r="AI57" i="11"/>
  <c r="X57" i="11"/>
  <c r="U57" i="11"/>
  <c r="AN56" i="11"/>
  <c r="AM56" i="11"/>
  <c r="AL56" i="11"/>
  <c r="AK56" i="11"/>
  <c r="AJ56" i="11"/>
  <c r="AI56" i="11"/>
  <c r="X56" i="11"/>
  <c r="U56" i="11"/>
  <c r="AN55" i="11"/>
  <c r="AM55" i="11"/>
  <c r="AL55" i="11"/>
  <c r="AK55" i="11"/>
  <c r="AJ55" i="11"/>
  <c r="AI55" i="11"/>
  <c r="X55" i="11"/>
  <c r="U55" i="11"/>
  <c r="AH57" i="11" s="1"/>
  <c r="AN54" i="11"/>
  <c r="AM54" i="11"/>
  <c r="AL54" i="11"/>
  <c r="AK54" i="11"/>
  <c r="AJ54" i="11"/>
  <c r="AI54" i="11"/>
  <c r="X54" i="11"/>
  <c r="U54" i="11"/>
  <c r="AH56" i="11" s="1"/>
  <c r="AN53" i="11"/>
  <c r="AM53" i="11"/>
  <c r="AL53" i="11"/>
  <c r="AK53" i="11"/>
  <c r="AJ53" i="11"/>
  <c r="AI53" i="11"/>
  <c r="X53" i="11"/>
  <c r="U53" i="11"/>
  <c r="AH55" i="11" s="1"/>
  <c r="AN52" i="11"/>
  <c r="AM52" i="11"/>
  <c r="AL52" i="11"/>
  <c r="AK52" i="11"/>
  <c r="AJ52" i="11"/>
  <c r="AI52" i="11"/>
  <c r="X52" i="11"/>
  <c r="U52" i="11"/>
  <c r="AH54" i="11" s="1"/>
  <c r="U51" i="11"/>
  <c r="AH53" i="11" s="1"/>
  <c r="U50" i="11"/>
  <c r="U45" i="11"/>
  <c r="U44" i="11"/>
  <c r="U43" i="11"/>
  <c r="U42" i="11"/>
  <c r="U41" i="11"/>
  <c r="U40" i="11"/>
  <c r="U39" i="11"/>
  <c r="U38" i="11"/>
  <c r="U37" i="11"/>
  <c r="U36" i="11"/>
  <c r="U35" i="11"/>
  <c r="U34" i="11"/>
  <c r="U33" i="11"/>
  <c r="U32" i="11"/>
  <c r="U31" i="11"/>
  <c r="U30" i="11"/>
  <c r="U29" i="11"/>
  <c r="U28" i="11"/>
  <c r="U27" i="11"/>
  <c r="U26" i="11"/>
  <c r="U25" i="11"/>
  <c r="U24" i="11"/>
  <c r="U23" i="11"/>
  <c r="U22" i="11"/>
  <c r="U21" i="11"/>
  <c r="U20" i="11"/>
  <c r="U19" i="11"/>
  <c r="U18" i="11"/>
  <c r="U17" i="11"/>
  <c r="U16" i="11"/>
  <c r="U15" i="11"/>
  <c r="U14" i="11"/>
  <c r="U13" i="11"/>
  <c r="U12" i="11"/>
  <c r="AN11" i="11"/>
  <c r="AM11" i="11"/>
  <c r="AV11" i="11" s="1"/>
  <c r="AL11" i="11"/>
  <c r="AU11" i="11" s="1"/>
  <c r="AK11" i="11"/>
  <c r="AT11" i="11" s="1"/>
  <c r="AJ11" i="11"/>
  <c r="AS11" i="11" s="1"/>
  <c r="AI11" i="11"/>
  <c r="AR11" i="11" s="1"/>
  <c r="X11" i="11"/>
  <c r="U11" i="11"/>
  <c r="AN10" i="11"/>
  <c r="AM10" i="11"/>
  <c r="AV10" i="11" s="1"/>
  <c r="AL10" i="11"/>
  <c r="AU10" i="11" s="1"/>
  <c r="AK10" i="11"/>
  <c r="AT10" i="11" s="1"/>
  <c r="AJ10" i="11"/>
  <c r="AS10" i="11" s="1"/>
  <c r="AI10" i="11"/>
  <c r="AR10" i="11" s="1"/>
  <c r="X10" i="11"/>
  <c r="AE10" i="11" s="1"/>
  <c r="U10" i="11"/>
  <c r="AN9" i="11"/>
  <c r="AM9" i="11"/>
  <c r="AV9" i="11" s="1"/>
  <c r="AL9" i="11"/>
  <c r="AU9" i="11" s="1"/>
  <c r="AK9" i="11"/>
  <c r="AT9" i="11" s="1"/>
  <c r="AJ9" i="11"/>
  <c r="AS9" i="11" s="1"/>
  <c r="AI9" i="11"/>
  <c r="AR9" i="11" s="1"/>
  <c r="X9" i="11"/>
  <c r="AE9" i="11" s="1"/>
  <c r="U9" i="11"/>
  <c r="AH11" i="11" s="1"/>
  <c r="AQ11" i="11" s="1"/>
  <c r="AN8" i="11"/>
  <c r="AM8" i="11"/>
  <c r="AV8" i="11" s="1"/>
  <c r="AL8" i="11"/>
  <c r="AU8" i="11" s="1"/>
  <c r="AK8" i="11"/>
  <c r="AT8" i="11" s="1"/>
  <c r="AJ8" i="11"/>
  <c r="AS8" i="11" s="1"/>
  <c r="AI8" i="11"/>
  <c r="AR8" i="11" s="1"/>
  <c r="X8" i="11"/>
  <c r="AE8" i="11" s="1"/>
  <c r="U8" i="11"/>
  <c r="AH10" i="11" s="1"/>
  <c r="AQ10" i="11" s="1"/>
  <c r="AN7" i="11"/>
  <c r="AM7" i="11"/>
  <c r="AV7" i="11" s="1"/>
  <c r="AL7" i="11"/>
  <c r="AU7" i="11" s="1"/>
  <c r="AK7" i="11"/>
  <c r="AT7" i="11" s="1"/>
  <c r="AJ7" i="11"/>
  <c r="AS7" i="11" s="1"/>
  <c r="AI7" i="11"/>
  <c r="AR7" i="11" s="1"/>
  <c r="X7" i="11"/>
  <c r="AE7" i="11" s="1"/>
  <c r="U7" i="11"/>
  <c r="AH9" i="11" s="1"/>
  <c r="AQ9" i="11" s="1"/>
  <c r="AN6" i="11"/>
  <c r="AM6" i="11"/>
  <c r="AV6" i="11" s="1"/>
  <c r="AL6" i="11"/>
  <c r="AU6" i="11" s="1"/>
  <c r="AK6" i="11"/>
  <c r="AT6" i="11" s="1"/>
  <c r="AJ6" i="11"/>
  <c r="AS6" i="11" s="1"/>
  <c r="AI6" i="11"/>
  <c r="AR6" i="11" s="1"/>
  <c r="X6" i="11"/>
  <c r="AE6" i="11" s="1"/>
  <c r="U6" i="11"/>
  <c r="AH8" i="11" s="1"/>
  <c r="AQ8" i="11" s="1"/>
  <c r="U5" i="11"/>
  <c r="AH7" i="11" s="1"/>
  <c r="AQ7" i="11" s="1"/>
  <c r="U4" i="11"/>
  <c r="I24" i="10"/>
  <c r="I25" i="10"/>
  <c r="I26" i="10"/>
  <c r="I27" i="10"/>
  <c r="I28" i="10"/>
  <c r="I23" i="10"/>
  <c r="I15" i="10"/>
  <c r="I16" i="10"/>
  <c r="I17" i="10"/>
  <c r="I18" i="10"/>
  <c r="I19" i="10"/>
  <c r="I14" i="10"/>
  <c r="I6" i="10"/>
  <c r="I7" i="10"/>
  <c r="I8" i="10"/>
  <c r="I9" i="10"/>
  <c r="I10" i="10"/>
  <c r="I5" i="10"/>
  <c r="U143" i="9"/>
  <c r="U144" i="9"/>
  <c r="U145" i="9"/>
  <c r="U146" i="9"/>
  <c r="U147" i="9"/>
  <c r="U148" i="9"/>
  <c r="U149" i="9"/>
  <c r="U150" i="9"/>
  <c r="U151" i="9"/>
  <c r="U152" i="9"/>
  <c r="U153" i="9"/>
  <c r="U154" i="9"/>
  <c r="U155" i="9"/>
  <c r="U156" i="9"/>
  <c r="U157" i="9"/>
  <c r="U158" i="9"/>
  <c r="U159" i="9"/>
  <c r="U160" i="9"/>
  <c r="U161" i="9"/>
  <c r="U162" i="9"/>
  <c r="U163" i="9"/>
  <c r="U164" i="9"/>
  <c r="U165" i="9"/>
  <c r="U166" i="9"/>
  <c r="U167" i="9"/>
  <c r="U168" i="9"/>
  <c r="U169" i="9"/>
  <c r="U170" i="9"/>
  <c r="U171" i="9"/>
  <c r="U172" i="9"/>
  <c r="U173" i="9"/>
  <c r="U174" i="9"/>
  <c r="U175" i="9"/>
  <c r="U176" i="9"/>
  <c r="U177" i="9"/>
  <c r="U178" i="9"/>
  <c r="U179" i="9"/>
  <c r="U180" i="9"/>
  <c r="U181" i="9"/>
  <c r="U182" i="9"/>
  <c r="U183" i="9"/>
  <c r="U142" i="9"/>
  <c r="U97" i="9"/>
  <c r="U98" i="9"/>
  <c r="U99" i="9"/>
  <c r="U100" i="9"/>
  <c r="U101" i="9"/>
  <c r="U102" i="9"/>
  <c r="U103" i="9"/>
  <c r="U104" i="9"/>
  <c r="U105" i="9"/>
  <c r="U106" i="9"/>
  <c r="U107" i="9"/>
  <c r="U108" i="9"/>
  <c r="U109" i="9"/>
  <c r="U110" i="9"/>
  <c r="U111" i="9"/>
  <c r="U112" i="9"/>
  <c r="U113" i="9"/>
  <c r="U114" i="9"/>
  <c r="U115" i="9"/>
  <c r="U116" i="9"/>
  <c r="U117" i="9"/>
  <c r="U118" i="9"/>
  <c r="U119" i="9"/>
  <c r="U120" i="9"/>
  <c r="U121" i="9"/>
  <c r="U122" i="9"/>
  <c r="U123" i="9"/>
  <c r="U124" i="9"/>
  <c r="U125" i="9"/>
  <c r="U126" i="9"/>
  <c r="U127" i="9"/>
  <c r="U128" i="9"/>
  <c r="U129" i="9"/>
  <c r="U130" i="9"/>
  <c r="U131" i="9"/>
  <c r="U132" i="9"/>
  <c r="U133" i="9"/>
  <c r="U134" i="9"/>
  <c r="U135" i="9"/>
  <c r="U136" i="9"/>
  <c r="U137" i="9"/>
  <c r="U96" i="9"/>
  <c r="U51" i="9"/>
  <c r="U52" i="9"/>
  <c r="U53" i="9"/>
  <c r="U54" i="9"/>
  <c r="U55" i="9"/>
  <c r="U56" i="9"/>
  <c r="U57" i="9"/>
  <c r="U58" i="9"/>
  <c r="U59" i="9"/>
  <c r="U60" i="9"/>
  <c r="U61" i="9"/>
  <c r="U62" i="9"/>
  <c r="U63" i="9"/>
  <c r="U64" i="9"/>
  <c r="U65" i="9"/>
  <c r="U66" i="9"/>
  <c r="U67" i="9"/>
  <c r="U68" i="9"/>
  <c r="U69" i="9"/>
  <c r="U70" i="9"/>
  <c r="U71" i="9"/>
  <c r="U72" i="9"/>
  <c r="U73" i="9"/>
  <c r="U74" i="9"/>
  <c r="U75" i="9"/>
  <c r="U76" i="9"/>
  <c r="U77" i="9"/>
  <c r="U78" i="9"/>
  <c r="U79" i="9"/>
  <c r="U80" i="9"/>
  <c r="U81" i="9"/>
  <c r="U82" i="9"/>
  <c r="U83" i="9"/>
  <c r="U84" i="9"/>
  <c r="U85" i="9"/>
  <c r="U86" i="9"/>
  <c r="U87" i="9"/>
  <c r="U88" i="9"/>
  <c r="U89" i="9"/>
  <c r="U90" i="9"/>
  <c r="U91" i="9"/>
  <c r="U50" i="9"/>
  <c r="U5" i="9"/>
  <c r="U6" i="9"/>
  <c r="U7" i="9"/>
  <c r="U8" i="9"/>
  <c r="U9" i="9"/>
  <c r="U10" i="9"/>
  <c r="U11" i="9"/>
  <c r="U12" i="9"/>
  <c r="U13" i="9"/>
  <c r="U14" i="9"/>
  <c r="U15" i="9"/>
  <c r="U16" i="9"/>
  <c r="U17" i="9"/>
  <c r="U18" i="9"/>
  <c r="U19" i="9"/>
  <c r="U20" i="9"/>
  <c r="U21" i="9"/>
  <c r="U22" i="9"/>
  <c r="U23" i="9"/>
  <c r="U24" i="9"/>
  <c r="U25" i="9"/>
  <c r="U26" i="9"/>
  <c r="U27" i="9"/>
  <c r="U28" i="9"/>
  <c r="U29" i="9"/>
  <c r="U30" i="9"/>
  <c r="U31" i="9"/>
  <c r="U32" i="9"/>
  <c r="U33" i="9"/>
  <c r="U34" i="9"/>
  <c r="U35" i="9"/>
  <c r="U36" i="9"/>
  <c r="U37" i="9"/>
  <c r="U38" i="9"/>
  <c r="U39" i="9"/>
  <c r="U40" i="9"/>
  <c r="U41" i="9"/>
  <c r="U42" i="9"/>
  <c r="U43" i="9"/>
  <c r="U44" i="9"/>
  <c r="U45" i="9"/>
  <c r="U4" i="9"/>
  <c r="U189" i="5"/>
  <c r="U190" i="5"/>
  <c r="U191" i="5"/>
  <c r="U192" i="5"/>
  <c r="U193" i="5"/>
  <c r="U194" i="5"/>
  <c r="U195" i="5"/>
  <c r="U196" i="5"/>
  <c r="U197" i="5"/>
  <c r="U198" i="5"/>
  <c r="U199" i="5"/>
  <c r="U200" i="5"/>
  <c r="U201" i="5"/>
  <c r="U202" i="5"/>
  <c r="U203" i="5"/>
  <c r="U204" i="5"/>
  <c r="U205" i="5"/>
  <c r="U206" i="5"/>
  <c r="U207" i="5"/>
  <c r="U208" i="5"/>
  <c r="U209" i="5"/>
  <c r="U210" i="5"/>
  <c r="U211" i="5"/>
  <c r="U212" i="5"/>
  <c r="U213" i="5"/>
  <c r="U214" i="5"/>
  <c r="U215" i="5"/>
  <c r="U216" i="5"/>
  <c r="U217" i="5"/>
  <c r="U218" i="5"/>
  <c r="U219" i="5"/>
  <c r="U220" i="5"/>
  <c r="U221" i="5"/>
  <c r="U222" i="5"/>
  <c r="U223" i="5"/>
  <c r="U224" i="5"/>
  <c r="U225" i="5"/>
  <c r="U226" i="5"/>
  <c r="U227" i="5"/>
  <c r="U228" i="5"/>
  <c r="U229" i="5"/>
  <c r="U188" i="5"/>
  <c r="U143" i="5"/>
  <c r="U144" i="5"/>
  <c r="U145" i="5"/>
  <c r="U146" i="5"/>
  <c r="U147" i="5"/>
  <c r="U148" i="5"/>
  <c r="U149" i="5"/>
  <c r="U150" i="5"/>
  <c r="U151" i="5"/>
  <c r="U152" i="5"/>
  <c r="U153" i="5"/>
  <c r="U154" i="5"/>
  <c r="U155" i="5"/>
  <c r="U156" i="5"/>
  <c r="U157" i="5"/>
  <c r="U158" i="5"/>
  <c r="U159" i="5"/>
  <c r="U160" i="5"/>
  <c r="U161" i="5"/>
  <c r="U162" i="5"/>
  <c r="U163" i="5"/>
  <c r="U164" i="5"/>
  <c r="U165" i="5"/>
  <c r="U166" i="5"/>
  <c r="U167" i="5"/>
  <c r="U168" i="5"/>
  <c r="U169" i="5"/>
  <c r="U170" i="5"/>
  <c r="U171" i="5"/>
  <c r="U172" i="5"/>
  <c r="U173" i="5"/>
  <c r="U174" i="5"/>
  <c r="U175" i="5"/>
  <c r="U176" i="5"/>
  <c r="U177" i="5"/>
  <c r="U178" i="5"/>
  <c r="U179" i="5"/>
  <c r="U180" i="5"/>
  <c r="U181" i="5"/>
  <c r="U182" i="5"/>
  <c r="U183" i="5"/>
  <c r="U142" i="5"/>
  <c r="U97" i="5"/>
  <c r="U98" i="5"/>
  <c r="U99" i="5"/>
  <c r="U100" i="5"/>
  <c r="U101" i="5"/>
  <c r="U102" i="5"/>
  <c r="U103" i="5"/>
  <c r="U104" i="5"/>
  <c r="U105" i="5"/>
  <c r="U106" i="5"/>
  <c r="U107" i="5"/>
  <c r="U108" i="5"/>
  <c r="U109" i="5"/>
  <c r="U110" i="5"/>
  <c r="U111" i="5"/>
  <c r="U112" i="5"/>
  <c r="U113" i="5"/>
  <c r="U114" i="5"/>
  <c r="U115" i="5"/>
  <c r="U116" i="5"/>
  <c r="U117" i="5"/>
  <c r="U118" i="5"/>
  <c r="U119" i="5"/>
  <c r="U120" i="5"/>
  <c r="U121" i="5"/>
  <c r="U122" i="5"/>
  <c r="U123" i="5"/>
  <c r="U124" i="5"/>
  <c r="U125" i="5"/>
  <c r="U126" i="5"/>
  <c r="U127" i="5"/>
  <c r="U128" i="5"/>
  <c r="U129" i="5"/>
  <c r="U130" i="5"/>
  <c r="U131" i="5"/>
  <c r="U132" i="5"/>
  <c r="U133" i="5"/>
  <c r="U134" i="5"/>
  <c r="U135" i="5"/>
  <c r="U136" i="5"/>
  <c r="U137" i="5"/>
  <c r="U96" i="5"/>
  <c r="U51" i="5"/>
  <c r="U52" i="5"/>
  <c r="U53" i="5"/>
  <c r="U54" i="5"/>
  <c r="U55" i="5"/>
  <c r="U56" i="5"/>
  <c r="U57" i="5"/>
  <c r="U58" i="5"/>
  <c r="U59" i="5"/>
  <c r="U60" i="5"/>
  <c r="U61" i="5"/>
  <c r="U62" i="5"/>
  <c r="U63" i="5"/>
  <c r="U64" i="5"/>
  <c r="U65" i="5"/>
  <c r="U66" i="5"/>
  <c r="U67" i="5"/>
  <c r="U68" i="5"/>
  <c r="U69" i="5"/>
  <c r="U70" i="5"/>
  <c r="U71" i="5"/>
  <c r="U72" i="5"/>
  <c r="U73" i="5"/>
  <c r="U74" i="5"/>
  <c r="U75" i="5"/>
  <c r="U76" i="5"/>
  <c r="U77" i="5"/>
  <c r="U78" i="5"/>
  <c r="U79" i="5"/>
  <c r="U80" i="5"/>
  <c r="U81" i="5"/>
  <c r="U82" i="5"/>
  <c r="U83" i="5"/>
  <c r="U84" i="5"/>
  <c r="U85" i="5"/>
  <c r="U86" i="5"/>
  <c r="U87" i="5"/>
  <c r="U88" i="5"/>
  <c r="U89" i="5"/>
  <c r="U90" i="5"/>
  <c r="U91" i="5"/>
  <c r="U50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U5" i="5"/>
  <c r="U4" i="5"/>
  <c r="U201" i="8"/>
  <c r="U202" i="8"/>
  <c r="U203" i="8"/>
  <c r="U204" i="8"/>
  <c r="U205" i="8"/>
  <c r="U206" i="8"/>
  <c r="U207" i="8"/>
  <c r="U208" i="8"/>
  <c r="U209" i="8"/>
  <c r="U210" i="8"/>
  <c r="U211" i="8"/>
  <c r="U212" i="8"/>
  <c r="U213" i="8"/>
  <c r="U214" i="8"/>
  <c r="U215" i="8"/>
  <c r="U216" i="8"/>
  <c r="U217" i="8"/>
  <c r="U218" i="8"/>
  <c r="U219" i="8"/>
  <c r="U220" i="8"/>
  <c r="U221" i="8"/>
  <c r="U222" i="8"/>
  <c r="U223" i="8"/>
  <c r="U224" i="8"/>
  <c r="U225" i="8"/>
  <c r="U226" i="8"/>
  <c r="U227" i="8"/>
  <c r="U228" i="8"/>
  <c r="U229" i="8"/>
  <c r="U200" i="8"/>
  <c r="U188" i="8"/>
  <c r="U166" i="8"/>
  <c r="U167" i="8"/>
  <c r="U168" i="8"/>
  <c r="U169" i="8"/>
  <c r="U170" i="8"/>
  <c r="U171" i="8"/>
  <c r="U172" i="8"/>
  <c r="U173" i="8"/>
  <c r="U174" i="8"/>
  <c r="U175" i="8"/>
  <c r="U176" i="8"/>
  <c r="U177" i="8"/>
  <c r="U178" i="8"/>
  <c r="U179" i="8"/>
  <c r="U180" i="8"/>
  <c r="U181" i="8"/>
  <c r="U182" i="8"/>
  <c r="U183" i="8"/>
  <c r="AH144" i="9"/>
  <c r="AH145" i="9"/>
  <c r="AH146" i="9"/>
  <c r="AH147" i="9"/>
  <c r="AH148" i="9"/>
  <c r="AI145" i="9"/>
  <c r="AH149" i="9"/>
  <c r="AI146" i="9"/>
  <c r="AI147" i="9"/>
  <c r="AI148" i="9"/>
  <c r="AI149" i="9"/>
  <c r="AJ145" i="9"/>
  <c r="AJ146" i="9"/>
  <c r="AJ147" i="9"/>
  <c r="AJ148" i="9"/>
  <c r="AJ149" i="9"/>
  <c r="AK145" i="9"/>
  <c r="AK146" i="9"/>
  <c r="AK147" i="9"/>
  <c r="AK148" i="9"/>
  <c r="AK149" i="9"/>
  <c r="AL145" i="9"/>
  <c r="AL146" i="9"/>
  <c r="AL147" i="9"/>
  <c r="AL148" i="9"/>
  <c r="AL149" i="9"/>
  <c r="AM145" i="9"/>
  <c r="AM146" i="9"/>
  <c r="AM147" i="9"/>
  <c r="AM148" i="9"/>
  <c r="AM149" i="9"/>
  <c r="AN145" i="9"/>
  <c r="AN146" i="9"/>
  <c r="AN147" i="9"/>
  <c r="AN148" i="9"/>
  <c r="AN149" i="9"/>
  <c r="AH98" i="9"/>
  <c r="AH99" i="9"/>
  <c r="AH100" i="9"/>
  <c r="AH101" i="9"/>
  <c r="AH102" i="9"/>
  <c r="AI99" i="9"/>
  <c r="AH103" i="9"/>
  <c r="AI100" i="9"/>
  <c r="AI101" i="9"/>
  <c r="AI102" i="9"/>
  <c r="AI103" i="9"/>
  <c r="AJ99" i="9"/>
  <c r="AJ100" i="9"/>
  <c r="AJ101" i="9"/>
  <c r="AJ102" i="9"/>
  <c r="AJ103" i="9"/>
  <c r="AK99" i="9"/>
  <c r="AK100" i="9"/>
  <c r="AK101" i="9"/>
  <c r="AK102" i="9"/>
  <c r="AK103" i="9"/>
  <c r="AL99" i="9"/>
  <c r="AL100" i="9"/>
  <c r="AL101" i="9"/>
  <c r="AL102" i="9"/>
  <c r="AL103" i="9"/>
  <c r="AM99" i="9"/>
  <c r="AM100" i="9"/>
  <c r="AM101" i="9"/>
  <c r="AM102" i="9"/>
  <c r="AM103" i="9"/>
  <c r="AN99" i="9"/>
  <c r="AN100" i="9"/>
  <c r="AN101" i="9"/>
  <c r="AN102" i="9"/>
  <c r="AN103" i="9"/>
  <c r="AH52" i="9"/>
  <c r="AH53" i="9"/>
  <c r="AH54" i="9"/>
  <c r="AH55" i="9"/>
  <c r="AH56" i="9"/>
  <c r="AI53" i="9"/>
  <c r="AH57" i="9"/>
  <c r="AI54" i="9"/>
  <c r="AI55" i="9"/>
  <c r="AI56" i="9"/>
  <c r="AI57" i="9"/>
  <c r="AJ53" i="9"/>
  <c r="AJ54" i="9"/>
  <c r="AJ55" i="9"/>
  <c r="AJ56" i="9"/>
  <c r="AJ57" i="9"/>
  <c r="AK53" i="9"/>
  <c r="AK54" i="9"/>
  <c r="AK55" i="9"/>
  <c r="AK56" i="9"/>
  <c r="AK57" i="9"/>
  <c r="AL53" i="9"/>
  <c r="AL54" i="9"/>
  <c r="AL55" i="9"/>
  <c r="AL56" i="9"/>
  <c r="AL57" i="9"/>
  <c r="AM53" i="9"/>
  <c r="AM54" i="9"/>
  <c r="AM55" i="9"/>
  <c r="AM56" i="9"/>
  <c r="AM57" i="9"/>
  <c r="AN53" i="9"/>
  <c r="AN54" i="9"/>
  <c r="AN55" i="9"/>
  <c r="AN56" i="9"/>
  <c r="AN57" i="9"/>
  <c r="AH6" i="9"/>
  <c r="AQ6" i="9" s="1"/>
  <c r="AH7" i="9"/>
  <c r="AQ7" i="9" s="1"/>
  <c r="AH8" i="9"/>
  <c r="AQ8" i="9" s="1"/>
  <c r="AH9" i="9"/>
  <c r="AQ9" i="9" s="1"/>
  <c r="AH10" i="9"/>
  <c r="AQ10" i="9" s="1"/>
  <c r="AI7" i="9"/>
  <c r="AR7" i="9" s="1"/>
  <c r="AH11" i="9"/>
  <c r="AQ11" i="9" s="1"/>
  <c r="AI8" i="9"/>
  <c r="AR8" i="9" s="1"/>
  <c r="AI9" i="9"/>
  <c r="AR9" i="9" s="1"/>
  <c r="AI10" i="9"/>
  <c r="AR10" i="9" s="1"/>
  <c r="AI11" i="9"/>
  <c r="AR11" i="9" s="1"/>
  <c r="AJ7" i="9"/>
  <c r="AS7" i="9" s="1"/>
  <c r="AJ8" i="9"/>
  <c r="AS8" i="9" s="1"/>
  <c r="AJ9" i="9"/>
  <c r="AS9" i="9" s="1"/>
  <c r="AJ10" i="9"/>
  <c r="AS10" i="9" s="1"/>
  <c r="AJ11" i="9"/>
  <c r="AS11" i="9" s="1"/>
  <c r="AK7" i="9"/>
  <c r="AT7" i="9" s="1"/>
  <c r="AK8" i="9"/>
  <c r="AT8" i="9" s="1"/>
  <c r="AK9" i="9"/>
  <c r="AT9" i="9" s="1"/>
  <c r="AK10" i="9"/>
  <c r="AT10" i="9" s="1"/>
  <c r="AK11" i="9"/>
  <c r="AT11" i="9" s="1"/>
  <c r="AL7" i="9"/>
  <c r="AU7" i="9" s="1"/>
  <c r="AL8" i="9"/>
  <c r="AU8" i="9" s="1"/>
  <c r="AL9" i="9"/>
  <c r="AU9" i="9" s="1"/>
  <c r="AL10" i="9"/>
  <c r="AU10" i="9" s="1"/>
  <c r="AL11" i="9"/>
  <c r="AU11" i="9" s="1"/>
  <c r="AM7" i="9"/>
  <c r="AV7" i="9" s="1"/>
  <c r="AM8" i="9"/>
  <c r="AV8" i="9" s="1"/>
  <c r="AM9" i="9"/>
  <c r="AV9" i="9" s="1"/>
  <c r="AM10" i="9"/>
  <c r="AV10" i="9" s="1"/>
  <c r="AM11" i="9"/>
  <c r="AV11" i="9" s="1"/>
  <c r="AN7" i="9"/>
  <c r="AW7" i="9" s="1"/>
  <c r="AN8" i="9"/>
  <c r="AW8" i="9" s="1"/>
  <c r="AN9" i="9"/>
  <c r="AW9" i="9" s="1"/>
  <c r="AN10" i="9"/>
  <c r="AW10" i="9" s="1"/>
  <c r="AN11" i="9"/>
  <c r="AW11" i="9" s="1"/>
  <c r="U137" i="8"/>
  <c r="U83" i="8"/>
  <c r="U172" i="7"/>
  <c r="U173" i="7"/>
  <c r="U174" i="7"/>
  <c r="U175" i="7"/>
  <c r="U176" i="7"/>
  <c r="U177" i="7"/>
  <c r="U178" i="7"/>
  <c r="U179" i="7"/>
  <c r="U180" i="7"/>
  <c r="U181" i="7"/>
  <c r="U182" i="7"/>
  <c r="U183" i="7"/>
  <c r="U142" i="7"/>
  <c r="U143" i="7"/>
  <c r="U144" i="7"/>
  <c r="U145" i="7"/>
  <c r="U146" i="7"/>
  <c r="U147" i="7"/>
  <c r="U148" i="7"/>
  <c r="U149" i="7"/>
  <c r="U150" i="7"/>
  <c r="U151" i="7"/>
  <c r="U152" i="7"/>
  <c r="U153" i="7"/>
  <c r="U154" i="7"/>
  <c r="U155" i="7"/>
  <c r="U156" i="7"/>
  <c r="U157" i="7"/>
  <c r="U158" i="7"/>
  <c r="U159" i="7"/>
  <c r="U160" i="7"/>
  <c r="U161" i="7"/>
  <c r="U162" i="7"/>
  <c r="U163" i="7"/>
  <c r="U164" i="7"/>
  <c r="U165" i="7"/>
  <c r="U166" i="7"/>
  <c r="U167" i="7"/>
  <c r="U168" i="7"/>
  <c r="U169" i="7"/>
  <c r="U170" i="7"/>
  <c r="U171" i="7"/>
  <c r="U189" i="8"/>
  <c r="U190" i="8"/>
  <c r="AH190" i="8"/>
  <c r="U191" i="8"/>
  <c r="AH191" i="8"/>
  <c r="U192" i="8"/>
  <c r="AH192" i="8"/>
  <c r="U193" i="8"/>
  <c r="AH193" i="8"/>
  <c r="U194" i="8"/>
  <c r="AH194" i="8"/>
  <c r="U195" i="8"/>
  <c r="AI191" i="8" s="1"/>
  <c r="AH195" i="8"/>
  <c r="U196" i="8"/>
  <c r="AI192" i="8" s="1"/>
  <c r="U197" i="8"/>
  <c r="AI193" i="8" s="1"/>
  <c r="U198" i="8"/>
  <c r="AI194" i="8" s="1"/>
  <c r="U199" i="8"/>
  <c r="AI195" i="8" s="1"/>
  <c r="AJ191" i="8"/>
  <c r="AJ192" i="8"/>
  <c r="AJ193" i="8"/>
  <c r="AJ194" i="8"/>
  <c r="AJ195" i="8"/>
  <c r="AK191" i="8"/>
  <c r="AK192" i="8"/>
  <c r="AK193" i="8"/>
  <c r="AK194" i="8"/>
  <c r="AK195" i="8"/>
  <c r="AL191" i="8"/>
  <c r="AL192" i="8"/>
  <c r="AL193" i="8"/>
  <c r="AL194" i="8"/>
  <c r="AL195" i="8"/>
  <c r="AM191" i="8"/>
  <c r="AM192" i="8"/>
  <c r="AM193" i="8"/>
  <c r="AM194" i="8"/>
  <c r="AM195" i="8"/>
  <c r="AN191" i="8"/>
  <c r="AN192" i="8"/>
  <c r="AN193" i="8"/>
  <c r="AN194" i="8"/>
  <c r="AN195" i="8"/>
  <c r="U142" i="8"/>
  <c r="U143" i="8"/>
  <c r="U144" i="8"/>
  <c r="AH144" i="8"/>
  <c r="U145" i="8"/>
  <c r="AH145" i="8"/>
  <c r="U146" i="8"/>
  <c r="AH146" i="8"/>
  <c r="U147" i="8"/>
  <c r="AH147" i="8"/>
  <c r="U148" i="8"/>
  <c r="AH148" i="8"/>
  <c r="U149" i="8"/>
  <c r="AI145" i="8" s="1"/>
  <c r="AH149" i="8"/>
  <c r="U150" i="8"/>
  <c r="AI146" i="8" s="1"/>
  <c r="U151" i="8"/>
  <c r="AI147" i="8" s="1"/>
  <c r="U152" i="8"/>
  <c r="AI148" i="8" s="1"/>
  <c r="U153" i="8"/>
  <c r="AI149" i="8" s="1"/>
  <c r="U154" i="8"/>
  <c r="U155" i="8"/>
  <c r="AJ145" i="8" s="1"/>
  <c r="U156" i="8"/>
  <c r="AJ146" i="8" s="1"/>
  <c r="U157" i="8"/>
  <c r="AJ147" i="8" s="1"/>
  <c r="U158" i="8"/>
  <c r="AJ148" i="8" s="1"/>
  <c r="U159" i="8"/>
  <c r="AJ149" i="8" s="1"/>
  <c r="U160" i="8"/>
  <c r="U161" i="8"/>
  <c r="AK145" i="8" s="1"/>
  <c r="U162" i="8"/>
  <c r="AK146" i="8" s="1"/>
  <c r="U163" i="8"/>
  <c r="AK147" i="8" s="1"/>
  <c r="U164" i="8"/>
  <c r="AK148" i="8" s="1"/>
  <c r="U165" i="8"/>
  <c r="AK149" i="8" s="1"/>
  <c r="AL145" i="8"/>
  <c r="AL146" i="8"/>
  <c r="AL147" i="8"/>
  <c r="AL148" i="8"/>
  <c r="AL149" i="8"/>
  <c r="AM145" i="8"/>
  <c r="AM146" i="8"/>
  <c r="AM147" i="8"/>
  <c r="AM148" i="8"/>
  <c r="AM149" i="8"/>
  <c r="AN145" i="8"/>
  <c r="AN146" i="8"/>
  <c r="AN147" i="8"/>
  <c r="AN148" i="8"/>
  <c r="AN149" i="8"/>
  <c r="U96" i="8"/>
  <c r="U97" i="8"/>
  <c r="U98" i="8"/>
  <c r="AH98" i="8"/>
  <c r="U99" i="8"/>
  <c r="AH99" i="8"/>
  <c r="U100" i="8"/>
  <c r="AH100" i="8"/>
  <c r="U101" i="8"/>
  <c r="AH101" i="8"/>
  <c r="U102" i="8"/>
  <c r="AH102" i="8"/>
  <c r="U103" i="8"/>
  <c r="AI99" i="8" s="1"/>
  <c r="AH103" i="8"/>
  <c r="U104" i="8"/>
  <c r="AI100" i="8" s="1"/>
  <c r="U105" i="8"/>
  <c r="AI101" i="8" s="1"/>
  <c r="U106" i="8"/>
  <c r="AI102" i="8" s="1"/>
  <c r="U107" i="8"/>
  <c r="AI103" i="8" s="1"/>
  <c r="U108" i="8"/>
  <c r="U109" i="8"/>
  <c r="AJ99" i="8" s="1"/>
  <c r="U110" i="8"/>
  <c r="AJ100" i="8" s="1"/>
  <c r="U111" i="8"/>
  <c r="AJ101" i="8" s="1"/>
  <c r="U112" i="8"/>
  <c r="AJ102" i="8" s="1"/>
  <c r="U113" i="8"/>
  <c r="AJ103" i="8" s="1"/>
  <c r="U114" i="8"/>
  <c r="U115" i="8"/>
  <c r="AK99" i="8" s="1"/>
  <c r="U116" i="8"/>
  <c r="AK100" i="8" s="1"/>
  <c r="U117" i="8"/>
  <c r="AK101" i="8" s="1"/>
  <c r="U118" i="8"/>
  <c r="AK102" i="8" s="1"/>
  <c r="U119" i="8"/>
  <c r="AK103" i="8" s="1"/>
  <c r="U120" i="8"/>
  <c r="U121" i="8"/>
  <c r="AL99" i="8" s="1"/>
  <c r="U122" i="8"/>
  <c r="AL100" i="8" s="1"/>
  <c r="U123" i="8"/>
  <c r="AL101" i="8" s="1"/>
  <c r="U124" i="8"/>
  <c r="AL102" i="8" s="1"/>
  <c r="U125" i="8"/>
  <c r="AL103" i="8" s="1"/>
  <c r="U126" i="8"/>
  <c r="U127" i="8"/>
  <c r="AM99" i="8" s="1"/>
  <c r="U128" i="8"/>
  <c r="AM100" i="8" s="1"/>
  <c r="U129" i="8"/>
  <c r="AM101" i="8" s="1"/>
  <c r="U130" i="8"/>
  <c r="AM102" i="8" s="1"/>
  <c r="U131" i="8"/>
  <c r="AM103" i="8" s="1"/>
  <c r="U132" i="8"/>
  <c r="U133" i="8"/>
  <c r="AN99" i="8" s="1"/>
  <c r="U134" i="8"/>
  <c r="AN100" i="8" s="1"/>
  <c r="U135" i="8"/>
  <c r="AN101" i="8" s="1"/>
  <c r="U136" i="8"/>
  <c r="AN102" i="8" s="1"/>
  <c r="AN103" i="8"/>
  <c r="U50" i="8"/>
  <c r="U51" i="8"/>
  <c r="U52" i="8"/>
  <c r="AH52" i="8"/>
  <c r="U53" i="8"/>
  <c r="AH53" i="8"/>
  <c r="U54" i="8"/>
  <c r="AH54" i="8"/>
  <c r="U55" i="8"/>
  <c r="AH55" i="8"/>
  <c r="U56" i="8"/>
  <c r="AH56" i="8"/>
  <c r="U57" i="8"/>
  <c r="AI53" i="8" s="1"/>
  <c r="AH57" i="8"/>
  <c r="U58" i="8"/>
  <c r="AI54" i="8" s="1"/>
  <c r="U59" i="8"/>
  <c r="AI55" i="8" s="1"/>
  <c r="U60" i="8"/>
  <c r="AI56" i="8" s="1"/>
  <c r="U61" i="8"/>
  <c r="AI57" i="8" s="1"/>
  <c r="U62" i="8"/>
  <c r="U63" i="8"/>
  <c r="AJ53" i="8" s="1"/>
  <c r="U64" i="8"/>
  <c r="AJ54" i="8" s="1"/>
  <c r="U65" i="8"/>
  <c r="AJ55" i="8" s="1"/>
  <c r="U66" i="8"/>
  <c r="AJ56" i="8" s="1"/>
  <c r="U67" i="8"/>
  <c r="AJ57" i="8" s="1"/>
  <c r="U68" i="8"/>
  <c r="U69" i="8"/>
  <c r="AK53" i="8" s="1"/>
  <c r="U70" i="8"/>
  <c r="AK54" i="8" s="1"/>
  <c r="U71" i="8"/>
  <c r="AK55" i="8" s="1"/>
  <c r="U72" i="8"/>
  <c r="AK56" i="8" s="1"/>
  <c r="U73" i="8"/>
  <c r="AK57" i="8" s="1"/>
  <c r="U74" i="8"/>
  <c r="U75" i="8"/>
  <c r="AL53" i="8" s="1"/>
  <c r="U76" i="8"/>
  <c r="AL54" i="8" s="1"/>
  <c r="U77" i="8"/>
  <c r="AL55" i="8" s="1"/>
  <c r="U78" i="8"/>
  <c r="AL56" i="8" s="1"/>
  <c r="U79" i="8"/>
  <c r="AL57" i="8" s="1"/>
  <c r="U80" i="8"/>
  <c r="U81" i="8"/>
  <c r="AM53" i="8" s="1"/>
  <c r="U82" i="8"/>
  <c r="AM54" i="8" s="1"/>
  <c r="AM55" i="8"/>
  <c r="U84" i="8"/>
  <c r="AM56" i="8" s="1"/>
  <c r="U85" i="8"/>
  <c r="AM57" i="8" s="1"/>
  <c r="U86" i="8"/>
  <c r="U87" i="8"/>
  <c r="AN53" i="8" s="1"/>
  <c r="U88" i="8"/>
  <c r="AN54" i="8" s="1"/>
  <c r="U89" i="8"/>
  <c r="AN55" i="8" s="1"/>
  <c r="U90" i="8"/>
  <c r="AN56" i="8" s="1"/>
  <c r="U91" i="8"/>
  <c r="AN57" i="8" s="1"/>
  <c r="U4" i="8"/>
  <c r="U5" i="8"/>
  <c r="U6" i="8"/>
  <c r="AH6" i="8"/>
  <c r="AQ6" i="8"/>
  <c r="U7" i="8"/>
  <c r="AH7" i="8"/>
  <c r="AQ7" i="8"/>
  <c r="U8" i="8"/>
  <c r="AH8" i="8"/>
  <c r="AQ8" i="8"/>
  <c r="U9" i="8"/>
  <c r="AH9" i="8"/>
  <c r="AQ9" i="8"/>
  <c r="U10" i="8"/>
  <c r="AH10" i="8"/>
  <c r="AQ10" i="8"/>
  <c r="U11" i="8"/>
  <c r="AI7" i="8" s="1"/>
  <c r="AR7" i="8" s="1"/>
  <c r="AH11" i="8"/>
  <c r="AQ11" i="8"/>
  <c r="U12" i="8"/>
  <c r="AI8" i="8" s="1"/>
  <c r="AR8" i="8" s="1"/>
  <c r="U13" i="8"/>
  <c r="AI9" i="8" s="1"/>
  <c r="AR9" i="8" s="1"/>
  <c r="U14" i="8"/>
  <c r="AI10" i="8" s="1"/>
  <c r="AR10" i="8" s="1"/>
  <c r="U15" i="8"/>
  <c r="AI11" i="8" s="1"/>
  <c r="AR11" i="8" s="1"/>
  <c r="U16" i="8"/>
  <c r="U17" i="8"/>
  <c r="AJ7" i="8" s="1"/>
  <c r="AS7" i="8" s="1"/>
  <c r="U18" i="8"/>
  <c r="AJ8" i="8" s="1"/>
  <c r="AS8" i="8" s="1"/>
  <c r="U19" i="8"/>
  <c r="AJ9" i="8" s="1"/>
  <c r="AS9" i="8" s="1"/>
  <c r="U20" i="8"/>
  <c r="AJ10" i="8" s="1"/>
  <c r="AS10" i="8" s="1"/>
  <c r="U21" i="8"/>
  <c r="AJ11" i="8" s="1"/>
  <c r="AS11" i="8" s="1"/>
  <c r="U22" i="8"/>
  <c r="U23" i="8"/>
  <c r="AK7" i="8" s="1"/>
  <c r="AT7" i="8" s="1"/>
  <c r="U24" i="8"/>
  <c r="AK8" i="8" s="1"/>
  <c r="AT8" i="8" s="1"/>
  <c r="U25" i="8"/>
  <c r="AK9" i="8" s="1"/>
  <c r="AT9" i="8" s="1"/>
  <c r="U26" i="8"/>
  <c r="AK10" i="8" s="1"/>
  <c r="AT10" i="8" s="1"/>
  <c r="U27" i="8"/>
  <c r="AK11" i="8" s="1"/>
  <c r="AT11" i="8" s="1"/>
  <c r="U28" i="8"/>
  <c r="U29" i="8"/>
  <c r="AL7" i="8" s="1"/>
  <c r="AU7" i="8" s="1"/>
  <c r="U30" i="8"/>
  <c r="AL8" i="8" s="1"/>
  <c r="AU8" i="8" s="1"/>
  <c r="U31" i="8"/>
  <c r="AL9" i="8" s="1"/>
  <c r="AU9" i="8" s="1"/>
  <c r="U32" i="8"/>
  <c r="AL10" i="8" s="1"/>
  <c r="AU10" i="8" s="1"/>
  <c r="U33" i="8"/>
  <c r="AL11" i="8" s="1"/>
  <c r="AU11" i="8" s="1"/>
  <c r="U34" i="8"/>
  <c r="U35" i="8"/>
  <c r="AM7" i="8" s="1"/>
  <c r="AV7" i="8" s="1"/>
  <c r="U36" i="8"/>
  <c r="AM8" i="8" s="1"/>
  <c r="AV8" i="8" s="1"/>
  <c r="U37" i="8"/>
  <c r="AM9" i="8" s="1"/>
  <c r="AV9" i="8" s="1"/>
  <c r="U38" i="8"/>
  <c r="AM10" i="8" s="1"/>
  <c r="AV10" i="8" s="1"/>
  <c r="U39" i="8"/>
  <c r="AM11" i="8" s="1"/>
  <c r="AV11" i="8" s="1"/>
  <c r="U40" i="8"/>
  <c r="U41" i="8"/>
  <c r="AN7" i="8" s="1"/>
  <c r="AW7" i="8" s="1"/>
  <c r="U42" i="8"/>
  <c r="AN8" i="8" s="1"/>
  <c r="AW8" i="8" s="1"/>
  <c r="U43" i="8"/>
  <c r="AN9" i="8" s="1"/>
  <c r="AW9" i="8" s="1"/>
  <c r="U44" i="8"/>
  <c r="AN10" i="8" s="1"/>
  <c r="AW10" i="8" s="1"/>
  <c r="U45" i="8"/>
  <c r="AN11" i="8" s="1"/>
  <c r="AW11" i="8" s="1"/>
  <c r="U50" i="7"/>
  <c r="U51" i="7"/>
  <c r="U52" i="7"/>
  <c r="U53" i="7"/>
  <c r="U54" i="7"/>
  <c r="U55" i="7"/>
  <c r="U56" i="7"/>
  <c r="U57" i="7"/>
  <c r="U58" i="7"/>
  <c r="U59" i="7"/>
  <c r="U60" i="7"/>
  <c r="U61" i="7"/>
  <c r="U62" i="7"/>
  <c r="U63" i="7"/>
  <c r="U64" i="7"/>
  <c r="U65" i="7"/>
  <c r="U66" i="7"/>
  <c r="U67" i="7"/>
  <c r="U68" i="7"/>
  <c r="U69" i="7"/>
  <c r="U70" i="7"/>
  <c r="U71" i="7"/>
  <c r="U72" i="7"/>
  <c r="U73" i="7"/>
  <c r="U74" i="7"/>
  <c r="U75" i="7"/>
  <c r="U76" i="7"/>
  <c r="U77" i="7"/>
  <c r="U78" i="7"/>
  <c r="U79" i="7"/>
  <c r="U80" i="7"/>
  <c r="U81" i="7"/>
  <c r="U82" i="7"/>
  <c r="U83" i="7"/>
  <c r="U84" i="7"/>
  <c r="U85" i="7"/>
  <c r="U86" i="7"/>
  <c r="U87" i="7"/>
  <c r="U88" i="7"/>
  <c r="U89" i="7"/>
  <c r="U90" i="7"/>
  <c r="U91" i="7"/>
  <c r="U3" i="7"/>
  <c r="U4" i="7"/>
  <c r="U5" i="7"/>
  <c r="U6" i="7"/>
  <c r="U7" i="7"/>
  <c r="U8" i="7"/>
  <c r="U9" i="7"/>
  <c r="U10" i="7"/>
  <c r="U11" i="7"/>
  <c r="U12" i="7"/>
  <c r="U13" i="7"/>
  <c r="U14" i="7"/>
  <c r="U15" i="7"/>
  <c r="U16" i="7"/>
  <c r="U17" i="7"/>
  <c r="U18" i="7"/>
  <c r="U19" i="7"/>
  <c r="U20" i="7"/>
  <c r="U21" i="7"/>
  <c r="U22" i="7"/>
  <c r="U23" i="7"/>
  <c r="U24" i="7"/>
  <c r="U25" i="7"/>
  <c r="U26" i="7"/>
  <c r="U27" i="7"/>
  <c r="U28" i="7"/>
  <c r="U29" i="7"/>
  <c r="U30" i="7"/>
  <c r="U31" i="7"/>
  <c r="U32" i="7"/>
  <c r="U33" i="7"/>
  <c r="U34" i="7"/>
  <c r="U35" i="7"/>
  <c r="U36" i="7"/>
  <c r="U37" i="7"/>
  <c r="U38" i="7"/>
  <c r="U39" i="7"/>
  <c r="U40" i="7"/>
  <c r="U41" i="7"/>
  <c r="U42" i="7"/>
  <c r="U43" i="7"/>
  <c r="U44" i="7"/>
  <c r="U45" i="7"/>
  <c r="U46" i="7"/>
  <c r="U47" i="7"/>
  <c r="U48" i="7"/>
  <c r="U49" i="7"/>
  <c r="X7" i="7"/>
  <c r="U229" i="7"/>
  <c r="U228" i="7"/>
  <c r="U227" i="7"/>
  <c r="U226" i="7"/>
  <c r="U225" i="7"/>
  <c r="U224" i="7"/>
  <c r="U223" i="7"/>
  <c r="U222" i="7"/>
  <c r="U221" i="7"/>
  <c r="U220" i="7"/>
  <c r="U219" i="7"/>
  <c r="U218" i="7"/>
  <c r="U217" i="7"/>
  <c r="U216" i="7"/>
  <c r="U215" i="7"/>
  <c r="U214" i="7"/>
  <c r="U213" i="7"/>
  <c r="U212" i="7"/>
  <c r="U211" i="7"/>
  <c r="U210" i="7"/>
  <c r="U209" i="7"/>
  <c r="U208" i="7"/>
  <c r="U207" i="7"/>
  <c r="U206" i="7"/>
  <c r="U205" i="7"/>
  <c r="U204" i="7"/>
  <c r="U203" i="7"/>
  <c r="U202" i="7"/>
  <c r="U201" i="7"/>
  <c r="U200" i="7"/>
  <c r="U199" i="7"/>
  <c r="U198" i="7"/>
  <c r="U197" i="7"/>
  <c r="U196" i="7"/>
  <c r="AN195" i="7"/>
  <c r="AM195" i="7"/>
  <c r="AL195" i="7"/>
  <c r="AK195" i="7"/>
  <c r="AJ195" i="7"/>
  <c r="AI195" i="7"/>
  <c r="X195" i="7"/>
  <c r="U195" i="7"/>
  <c r="AN194" i="7"/>
  <c r="AM194" i="7"/>
  <c r="AL194" i="7"/>
  <c r="AK194" i="7"/>
  <c r="AJ194" i="7"/>
  <c r="AI194" i="7"/>
  <c r="X194" i="7"/>
  <c r="U194" i="7"/>
  <c r="AN193" i="7"/>
  <c r="AM193" i="7"/>
  <c r="AL193" i="7"/>
  <c r="AK193" i="7"/>
  <c r="AJ193" i="7"/>
  <c r="AI193" i="7"/>
  <c r="X193" i="7"/>
  <c r="U193" i="7"/>
  <c r="AH195" i="7" s="1"/>
  <c r="AN192" i="7"/>
  <c r="AM192" i="7"/>
  <c r="AL192" i="7"/>
  <c r="AK192" i="7"/>
  <c r="AJ192" i="7"/>
  <c r="AI192" i="7"/>
  <c r="X192" i="7"/>
  <c r="U192" i="7"/>
  <c r="AH194" i="7" s="1"/>
  <c r="AN191" i="7"/>
  <c r="AM191" i="7"/>
  <c r="AL191" i="7"/>
  <c r="AK191" i="7"/>
  <c r="AJ191" i="7"/>
  <c r="AI191" i="7"/>
  <c r="X191" i="7"/>
  <c r="U191" i="7"/>
  <c r="AH193" i="7" s="1"/>
  <c r="AN190" i="7"/>
  <c r="AM190" i="7"/>
  <c r="AL190" i="7"/>
  <c r="AK190" i="7"/>
  <c r="AJ190" i="7"/>
  <c r="AI190" i="7"/>
  <c r="X190" i="7"/>
  <c r="U190" i="7"/>
  <c r="AH192" i="7" s="1"/>
  <c r="U189" i="7"/>
  <c r="AH191" i="7" s="1"/>
  <c r="U188" i="7"/>
  <c r="AN149" i="7"/>
  <c r="AM149" i="7"/>
  <c r="AL149" i="7"/>
  <c r="AK149" i="7"/>
  <c r="AJ149" i="7"/>
  <c r="AI149" i="7"/>
  <c r="X149" i="7"/>
  <c r="AN148" i="7"/>
  <c r="AM148" i="7"/>
  <c r="AL148" i="7"/>
  <c r="AK148" i="7"/>
  <c r="AJ148" i="7"/>
  <c r="AI148" i="7"/>
  <c r="X148" i="7"/>
  <c r="AN147" i="7"/>
  <c r="AM147" i="7"/>
  <c r="AL147" i="7"/>
  <c r="AK147" i="7"/>
  <c r="AJ147" i="7"/>
  <c r="AI147" i="7"/>
  <c r="X147" i="7"/>
  <c r="AH149" i="7"/>
  <c r="AN146" i="7"/>
  <c r="AM146" i="7"/>
  <c r="AL146" i="7"/>
  <c r="AK146" i="7"/>
  <c r="AJ146" i="7"/>
  <c r="AI146" i="7"/>
  <c r="X146" i="7"/>
  <c r="AH148" i="7"/>
  <c r="AN145" i="7"/>
  <c r="AM145" i="7"/>
  <c r="AL145" i="7"/>
  <c r="AK145" i="7"/>
  <c r="AJ145" i="7"/>
  <c r="AI145" i="7"/>
  <c r="X145" i="7"/>
  <c r="AH147" i="7"/>
  <c r="AN144" i="7"/>
  <c r="AM144" i="7"/>
  <c r="AL144" i="7"/>
  <c r="AK144" i="7"/>
  <c r="AJ144" i="7"/>
  <c r="AI144" i="7"/>
  <c r="X144" i="7"/>
  <c r="AH146" i="7"/>
  <c r="AH145" i="7"/>
  <c r="U137" i="7"/>
  <c r="U136" i="7"/>
  <c r="U135" i="7"/>
  <c r="U134" i="7"/>
  <c r="U133" i="7"/>
  <c r="U132" i="7"/>
  <c r="U131" i="7"/>
  <c r="U130" i="7"/>
  <c r="U129" i="7"/>
  <c r="U128" i="7"/>
  <c r="U127" i="7"/>
  <c r="U126" i="7"/>
  <c r="U125" i="7"/>
  <c r="U124" i="7"/>
  <c r="U123" i="7"/>
  <c r="U122" i="7"/>
  <c r="U121" i="7"/>
  <c r="U120" i="7"/>
  <c r="U119" i="7"/>
  <c r="U118" i="7"/>
  <c r="U117" i="7"/>
  <c r="U116" i="7"/>
  <c r="U115" i="7"/>
  <c r="U114" i="7"/>
  <c r="U113" i="7"/>
  <c r="U112" i="7"/>
  <c r="U111" i="7"/>
  <c r="U110" i="7"/>
  <c r="U109" i="7"/>
  <c r="U108" i="7"/>
  <c r="U107" i="7"/>
  <c r="U106" i="7"/>
  <c r="U105" i="7"/>
  <c r="U104" i="7"/>
  <c r="AN103" i="7"/>
  <c r="AM103" i="7"/>
  <c r="AL103" i="7"/>
  <c r="AK103" i="7"/>
  <c r="AJ103" i="7"/>
  <c r="AI103" i="7"/>
  <c r="X103" i="7"/>
  <c r="U103" i="7"/>
  <c r="AN102" i="7"/>
  <c r="AM102" i="7"/>
  <c r="AL102" i="7"/>
  <c r="AK102" i="7"/>
  <c r="AJ102" i="7"/>
  <c r="AI102" i="7"/>
  <c r="X102" i="7"/>
  <c r="U102" i="7"/>
  <c r="AN101" i="7"/>
  <c r="AM101" i="7"/>
  <c r="AL101" i="7"/>
  <c r="AK101" i="7"/>
  <c r="AJ101" i="7"/>
  <c r="AI101" i="7"/>
  <c r="X101" i="7"/>
  <c r="U101" i="7"/>
  <c r="AH103" i="7" s="1"/>
  <c r="AN100" i="7"/>
  <c r="AM100" i="7"/>
  <c r="AL100" i="7"/>
  <c r="AK100" i="7"/>
  <c r="AJ100" i="7"/>
  <c r="AI100" i="7"/>
  <c r="X100" i="7"/>
  <c r="U100" i="7"/>
  <c r="AH102" i="7" s="1"/>
  <c r="AN99" i="7"/>
  <c r="AM99" i="7"/>
  <c r="AL99" i="7"/>
  <c r="AK99" i="7"/>
  <c r="AJ99" i="7"/>
  <c r="AI99" i="7"/>
  <c r="X99" i="7"/>
  <c r="U99" i="7"/>
  <c r="AH101" i="7" s="1"/>
  <c r="AN98" i="7"/>
  <c r="AM98" i="7"/>
  <c r="AL98" i="7"/>
  <c r="AK98" i="7"/>
  <c r="AJ98" i="7"/>
  <c r="AI98" i="7"/>
  <c r="X98" i="7"/>
  <c r="U98" i="7"/>
  <c r="AH100" i="7" s="1"/>
  <c r="U97" i="7"/>
  <c r="AH99" i="7" s="1"/>
  <c r="U96" i="7"/>
  <c r="AN57" i="7"/>
  <c r="AM57" i="7"/>
  <c r="AL57" i="7"/>
  <c r="AK57" i="7"/>
  <c r="AJ57" i="7"/>
  <c r="AI57" i="7"/>
  <c r="X57" i="7"/>
  <c r="AN56" i="7"/>
  <c r="AM56" i="7"/>
  <c r="AL56" i="7"/>
  <c r="AK56" i="7"/>
  <c r="AJ56" i="7"/>
  <c r="AI56" i="7"/>
  <c r="X56" i="7"/>
  <c r="AN55" i="7"/>
  <c r="AM55" i="7"/>
  <c r="AL55" i="7"/>
  <c r="AK55" i="7"/>
  <c r="AJ55" i="7"/>
  <c r="AI55" i="7"/>
  <c r="X55" i="7"/>
  <c r="AH57" i="7"/>
  <c r="AN54" i="7"/>
  <c r="AM54" i="7"/>
  <c r="AL54" i="7"/>
  <c r="AK54" i="7"/>
  <c r="AJ54" i="7"/>
  <c r="AI54" i="7"/>
  <c r="X54" i="7"/>
  <c r="AH56" i="7"/>
  <c r="AN53" i="7"/>
  <c r="AM53" i="7"/>
  <c r="AL53" i="7"/>
  <c r="AK53" i="7"/>
  <c r="AJ53" i="7"/>
  <c r="AI53" i="7"/>
  <c r="X53" i="7"/>
  <c r="AH55" i="7"/>
  <c r="AN52" i="7"/>
  <c r="AM52" i="7"/>
  <c r="AL52" i="7"/>
  <c r="AK52" i="7"/>
  <c r="AJ52" i="7"/>
  <c r="AI52" i="7"/>
  <c r="X52" i="7"/>
  <c r="AH54" i="7"/>
  <c r="AH53" i="7"/>
  <c r="AN11" i="7"/>
  <c r="AW11" i="7" s="1"/>
  <c r="AM11" i="7"/>
  <c r="AV11" i="7" s="1"/>
  <c r="AL11" i="7"/>
  <c r="AU11" i="7" s="1"/>
  <c r="AK11" i="7"/>
  <c r="AT11" i="7" s="1"/>
  <c r="AJ11" i="7"/>
  <c r="AS11" i="7" s="1"/>
  <c r="AI11" i="7"/>
  <c r="AR11" i="7" s="1"/>
  <c r="X11" i="7"/>
  <c r="AE11" i="7" s="1"/>
  <c r="AN10" i="7"/>
  <c r="AW10" i="7" s="1"/>
  <c r="AM10" i="7"/>
  <c r="AV10" i="7" s="1"/>
  <c r="AL10" i="7"/>
  <c r="AU10" i="7" s="1"/>
  <c r="AK10" i="7"/>
  <c r="AT10" i="7" s="1"/>
  <c r="AJ10" i="7"/>
  <c r="AS10" i="7" s="1"/>
  <c r="AI10" i="7"/>
  <c r="AR10" i="7" s="1"/>
  <c r="X10" i="7"/>
  <c r="AE10" i="7" s="1"/>
  <c r="AN9" i="7"/>
  <c r="AW9" i="7" s="1"/>
  <c r="AM9" i="7"/>
  <c r="AV9" i="7" s="1"/>
  <c r="AL9" i="7"/>
  <c r="AU9" i="7" s="1"/>
  <c r="AK9" i="7"/>
  <c r="AT9" i="7" s="1"/>
  <c r="AJ9" i="7"/>
  <c r="AS9" i="7" s="1"/>
  <c r="AI9" i="7"/>
  <c r="AR9" i="7" s="1"/>
  <c r="X9" i="7"/>
  <c r="AE9" i="7" s="1"/>
  <c r="AH11" i="7"/>
  <c r="AQ11" i="7" s="1"/>
  <c r="AN8" i="7"/>
  <c r="AW8" i="7" s="1"/>
  <c r="AM8" i="7"/>
  <c r="AV8" i="7" s="1"/>
  <c r="AL8" i="7"/>
  <c r="AU8" i="7" s="1"/>
  <c r="AK8" i="7"/>
  <c r="AT8" i="7" s="1"/>
  <c r="AJ8" i="7"/>
  <c r="AS8" i="7" s="1"/>
  <c r="AI8" i="7"/>
  <c r="AR8" i="7" s="1"/>
  <c r="X8" i="7"/>
  <c r="AE8" i="7" s="1"/>
  <c r="AH10" i="7"/>
  <c r="AQ10" i="7" s="1"/>
  <c r="AN7" i="7"/>
  <c r="AW7" i="7" s="1"/>
  <c r="AM7" i="7"/>
  <c r="AV7" i="7" s="1"/>
  <c r="AL7" i="7"/>
  <c r="AU7" i="7" s="1"/>
  <c r="AK7" i="7"/>
  <c r="AT7" i="7" s="1"/>
  <c r="AJ7" i="7"/>
  <c r="AS7" i="7" s="1"/>
  <c r="AI7" i="7"/>
  <c r="AR7" i="7" s="1"/>
  <c r="AE7" i="7"/>
  <c r="AH9" i="7"/>
  <c r="AQ9" i="7" s="1"/>
  <c r="AN6" i="7"/>
  <c r="AW6" i="7" s="1"/>
  <c r="AM6" i="7"/>
  <c r="AV6" i="7" s="1"/>
  <c r="AL6" i="7"/>
  <c r="AU6" i="7" s="1"/>
  <c r="AK6" i="7"/>
  <c r="AT6" i="7" s="1"/>
  <c r="AJ6" i="7"/>
  <c r="AS6" i="7" s="1"/>
  <c r="AI6" i="7"/>
  <c r="AR6" i="7" s="1"/>
  <c r="X6" i="7"/>
  <c r="AE6" i="7" s="1"/>
  <c r="AH8" i="7"/>
  <c r="AQ8" i="7" s="1"/>
  <c r="AH7" i="7"/>
  <c r="AQ7" i="7" s="1"/>
  <c r="U190" i="6"/>
  <c r="U191" i="6"/>
  <c r="U192" i="6"/>
  <c r="U193" i="6"/>
  <c r="U194" i="6"/>
  <c r="U195" i="6"/>
  <c r="U196" i="6"/>
  <c r="U197" i="6"/>
  <c r="U198" i="6"/>
  <c r="U199" i="6"/>
  <c r="U200" i="6"/>
  <c r="U201" i="6"/>
  <c r="U202" i="6"/>
  <c r="U203" i="6"/>
  <c r="U204" i="6"/>
  <c r="U205" i="6"/>
  <c r="U206" i="6"/>
  <c r="U207" i="6"/>
  <c r="U208" i="6"/>
  <c r="U209" i="6"/>
  <c r="U210" i="6"/>
  <c r="U211" i="6"/>
  <c r="U212" i="6"/>
  <c r="U213" i="6"/>
  <c r="U214" i="6"/>
  <c r="U215" i="6"/>
  <c r="U216" i="6"/>
  <c r="U217" i="6"/>
  <c r="U218" i="6"/>
  <c r="U219" i="6"/>
  <c r="U220" i="6"/>
  <c r="U221" i="6"/>
  <c r="U222" i="6"/>
  <c r="U223" i="6"/>
  <c r="U224" i="6"/>
  <c r="U225" i="6"/>
  <c r="U226" i="6"/>
  <c r="U227" i="6"/>
  <c r="U228" i="6"/>
  <c r="U229" i="6"/>
  <c r="U230" i="6"/>
  <c r="U231" i="6"/>
  <c r="AH190" i="5"/>
  <c r="AI190" i="5"/>
  <c r="AJ190" i="5"/>
  <c r="AK190" i="5"/>
  <c r="AL190" i="5"/>
  <c r="AM190" i="5"/>
  <c r="AN190" i="5"/>
  <c r="AH191" i="5"/>
  <c r="AI191" i="5"/>
  <c r="AJ191" i="5"/>
  <c r="AK191" i="5"/>
  <c r="AL191" i="5"/>
  <c r="AM191" i="5"/>
  <c r="AN191" i="5"/>
  <c r="AH192" i="5"/>
  <c r="AI192" i="5"/>
  <c r="AJ192" i="5"/>
  <c r="AK192" i="5"/>
  <c r="AL192" i="5"/>
  <c r="AM192" i="5"/>
  <c r="AN192" i="5"/>
  <c r="AH193" i="5"/>
  <c r="AI193" i="5"/>
  <c r="AJ193" i="5"/>
  <c r="AK193" i="5"/>
  <c r="AL193" i="5"/>
  <c r="AM193" i="5"/>
  <c r="AN193" i="5"/>
  <c r="AH194" i="5"/>
  <c r="AI194" i="5"/>
  <c r="AJ194" i="5"/>
  <c r="AK194" i="5"/>
  <c r="AL194" i="5"/>
  <c r="AM194" i="5"/>
  <c r="AN194" i="5"/>
  <c r="AH195" i="5"/>
  <c r="AI195" i="5"/>
  <c r="AJ195" i="5"/>
  <c r="AK195" i="5"/>
  <c r="AL195" i="5"/>
  <c r="AM195" i="5"/>
  <c r="AN195" i="5"/>
  <c r="AH144" i="5"/>
  <c r="AI144" i="5"/>
  <c r="AJ144" i="5"/>
  <c r="AK144" i="5"/>
  <c r="AL144" i="5"/>
  <c r="AM144" i="5"/>
  <c r="AN144" i="5"/>
  <c r="AH145" i="5"/>
  <c r="AI145" i="5"/>
  <c r="AJ145" i="5"/>
  <c r="AK145" i="5"/>
  <c r="AL145" i="5"/>
  <c r="AM145" i="5"/>
  <c r="AN145" i="5"/>
  <c r="AH146" i="5"/>
  <c r="AI146" i="5"/>
  <c r="AJ146" i="5"/>
  <c r="AK146" i="5"/>
  <c r="AL146" i="5"/>
  <c r="AM146" i="5"/>
  <c r="AN146" i="5"/>
  <c r="AH147" i="5"/>
  <c r="AI147" i="5"/>
  <c r="AJ147" i="5"/>
  <c r="AK147" i="5"/>
  <c r="AL147" i="5"/>
  <c r="AM147" i="5"/>
  <c r="AN147" i="5"/>
  <c r="AH148" i="5"/>
  <c r="AI148" i="5"/>
  <c r="AJ148" i="5"/>
  <c r="AK148" i="5"/>
  <c r="AL148" i="5"/>
  <c r="AM148" i="5"/>
  <c r="AN148" i="5"/>
  <c r="AH149" i="5"/>
  <c r="AI149" i="5"/>
  <c r="AJ149" i="5"/>
  <c r="AK149" i="5"/>
  <c r="AL149" i="5"/>
  <c r="AM149" i="5"/>
  <c r="AN149" i="5"/>
  <c r="AH98" i="5"/>
  <c r="AI98" i="5"/>
  <c r="AJ98" i="5"/>
  <c r="AK98" i="5"/>
  <c r="AL98" i="5"/>
  <c r="AM98" i="5"/>
  <c r="AN98" i="5"/>
  <c r="AH99" i="5"/>
  <c r="AI99" i="5"/>
  <c r="AJ99" i="5"/>
  <c r="AK99" i="5"/>
  <c r="AL99" i="5"/>
  <c r="AM99" i="5"/>
  <c r="AN99" i="5"/>
  <c r="AH100" i="5"/>
  <c r="AI100" i="5"/>
  <c r="AJ100" i="5"/>
  <c r="AK100" i="5"/>
  <c r="AL100" i="5"/>
  <c r="AM100" i="5"/>
  <c r="AN100" i="5"/>
  <c r="AH101" i="5"/>
  <c r="AI101" i="5"/>
  <c r="AJ101" i="5"/>
  <c r="AK101" i="5"/>
  <c r="AL101" i="5"/>
  <c r="AM101" i="5"/>
  <c r="AN101" i="5"/>
  <c r="AH102" i="5"/>
  <c r="AI102" i="5"/>
  <c r="AJ102" i="5"/>
  <c r="AK102" i="5"/>
  <c r="AL102" i="5"/>
  <c r="AM102" i="5"/>
  <c r="AN102" i="5"/>
  <c r="AH103" i="5"/>
  <c r="AI103" i="5"/>
  <c r="AJ103" i="5"/>
  <c r="AK103" i="5"/>
  <c r="AL103" i="5"/>
  <c r="AM103" i="5"/>
  <c r="AN103" i="5"/>
  <c r="AH52" i="5"/>
  <c r="AI52" i="5"/>
  <c r="AJ52" i="5"/>
  <c r="AK52" i="5"/>
  <c r="AL52" i="5"/>
  <c r="AM52" i="5"/>
  <c r="AN52" i="5"/>
  <c r="AH53" i="5"/>
  <c r="AI53" i="5"/>
  <c r="AJ53" i="5"/>
  <c r="AK53" i="5"/>
  <c r="AL53" i="5"/>
  <c r="AM53" i="5"/>
  <c r="AN53" i="5"/>
  <c r="AH54" i="5"/>
  <c r="AI54" i="5"/>
  <c r="AJ54" i="5"/>
  <c r="AK54" i="5"/>
  <c r="AL54" i="5"/>
  <c r="AM54" i="5"/>
  <c r="AN54" i="5"/>
  <c r="AH55" i="5"/>
  <c r="AI55" i="5"/>
  <c r="AJ55" i="5"/>
  <c r="AK55" i="5"/>
  <c r="AL55" i="5"/>
  <c r="AM55" i="5"/>
  <c r="AN55" i="5"/>
  <c r="AH56" i="5"/>
  <c r="AI56" i="5"/>
  <c r="AJ56" i="5"/>
  <c r="AK56" i="5"/>
  <c r="AL56" i="5"/>
  <c r="AM56" i="5"/>
  <c r="AN56" i="5"/>
  <c r="AH57" i="5"/>
  <c r="AI57" i="5"/>
  <c r="AJ57" i="5"/>
  <c r="AK57" i="5"/>
  <c r="AL57" i="5"/>
  <c r="AM57" i="5"/>
  <c r="AN57" i="5"/>
  <c r="AH6" i="5"/>
  <c r="AQ6" i="5" s="1"/>
  <c r="AI6" i="5"/>
  <c r="AR6" i="5" s="1"/>
  <c r="AJ6" i="5"/>
  <c r="AS6" i="5" s="1"/>
  <c r="AK6" i="5"/>
  <c r="AT6" i="5" s="1"/>
  <c r="AL6" i="5"/>
  <c r="AU6" i="5" s="1"/>
  <c r="AM6" i="5"/>
  <c r="AV6" i="5" s="1"/>
  <c r="AN6" i="5"/>
  <c r="AW6" i="5" s="1"/>
  <c r="AH7" i="5"/>
  <c r="AQ7" i="5" s="1"/>
  <c r="AI7" i="5"/>
  <c r="AR7" i="5" s="1"/>
  <c r="AJ7" i="5"/>
  <c r="AS7" i="5" s="1"/>
  <c r="AK7" i="5"/>
  <c r="AT7" i="5" s="1"/>
  <c r="AL7" i="5"/>
  <c r="AU7" i="5" s="1"/>
  <c r="AM7" i="5"/>
  <c r="AV7" i="5" s="1"/>
  <c r="AN7" i="5"/>
  <c r="AW7" i="5" s="1"/>
  <c r="AH8" i="5"/>
  <c r="AQ8" i="5" s="1"/>
  <c r="AI8" i="5"/>
  <c r="AR8" i="5" s="1"/>
  <c r="AJ8" i="5"/>
  <c r="AS8" i="5" s="1"/>
  <c r="AK8" i="5"/>
  <c r="AT8" i="5" s="1"/>
  <c r="AL8" i="5"/>
  <c r="AU8" i="5" s="1"/>
  <c r="AM8" i="5"/>
  <c r="AV8" i="5" s="1"/>
  <c r="AN8" i="5"/>
  <c r="AW8" i="5" s="1"/>
  <c r="AH9" i="5"/>
  <c r="AQ9" i="5" s="1"/>
  <c r="AI9" i="5"/>
  <c r="AR9" i="5" s="1"/>
  <c r="AJ9" i="5"/>
  <c r="AS9" i="5" s="1"/>
  <c r="AK9" i="5"/>
  <c r="AT9" i="5" s="1"/>
  <c r="AL9" i="5"/>
  <c r="AU9" i="5" s="1"/>
  <c r="AM9" i="5"/>
  <c r="AV9" i="5" s="1"/>
  <c r="AN9" i="5"/>
  <c r="AW9" i="5" s="1"/>
  <c r="AH10" i="5"/>
  <c r="AQ10" i="5" s="1"/>
  <c r="AI10" i="5"/>
  <c r="AR10" i="5" s="1"/>
  <c r="AJ10" i="5"/>
  <c r="AS10" i="5" s="1"/>
  <c r="AK10" i="5"/>
  <c r="AT10" i="5" s="1"/>
  <c r="AL10" i="5"/>
  <c r="AU10" i="5" s="1"/>
  <c r="AM10" i="5"/>
  <c r="AV10" i="5" s="1"/>
  <c r="AN10" i="5"/>
  <c r="AW10" i="5" s="1"/>
  <c r="AH11" i="5"/>
  <c r="AQ11" i="5" s="1"/>
  <c r="AI11" i="5"/>
  <c r="AR11" i="5" s="1"/>
  <c r="AJ11" i="5"/>
  <c r="AS11" i="5" s="1"/>
  <c r="AK11" i="5"/>
  <c r="AT11" i="5" s="1"/>
  <c r="AL11" i="5"/>
  <c r="AU11" i="5" s="1"/>
  <c r="AM11" i="5"/>
  <c r="AV11" i="5" s="1"/>
  <c r="AN11" i="5"/>
  <c r="AW11" i="5" s="1"/>
  <c r="U185" i="6"/>
  <c r="AN151" i="6" s="1"/>
  <c r="U184" i="6"/>
  <c r="AN150" i="6" s="1"/>
  <c r="U183" i="6"/>
  <c r="AN149" i="6" s="1"/>
  <c r="U182" i="6"/>
  <c r="AN148" i="6" s="1"/>
  <c r="U181" i="6"/>
  <c r="AN147" i="6" s="1"/>
  <c r="U180" i="6"/>
  <c r="AN146" i="6" s="1"/>
  <c r="U179" i="6"/>
  <c r="AM151" i="6" s="1"/>
  <c r="U178" i="6"/>
  <c r="AM150" i="6" s="1"/>
  <c r="U177" i="6"/>
  <c r="AM149" i="6" s="1"/>
  <c r="U176" i="6"/>
  <c r="AM148" i="6" s="1"/>
  <c r="U175" i="6"/>
  <c r="AM147" i="6" s="1"/>
  <c r="U174" i="6"/>
  <c r="AM146" i="6" s="1"/>
  <c r="U173" i="6"/>
  <c r="AL151" i="6" s="1"/>
  <c r="U172" i="6"/>
  <c r="AL150" i="6" s="1"/>
  <c r="U171" i="6"/>
  <c r="AL149" i="6" s="1"/>
  <c r="U170" i="6"/>
  <c r="AL148" i="6" s="1"/>
  <c r="U169" i="6"/>
  <c r="AL147" i="6" s="1"/>
  <c r="U168" i="6"/>
  <c r="AL146" i="6" s="1"/>
  <c r="U167" i="6"/>
  <c r="AK151" i="6" s="1"/>
  <c r="U166" i="6"/>
  <c r="AK150" i="6" s="1"/>
  <c r="U165" i="6"/>
  <c r="AK149" i="6" s="1"/>
  <c r="U164" i="6"/>
  <c r="AK148" i="6" s="1"/>
  <c r="U163" i="6"/>
  <c r="AK147" i="6" s="1"/>
  <c r="U162" i="6"/>
  <c r="AK146" i="6" s="1"/>
  <c r="U161" i="6"/>
  <c r="AJ151" i="6" s="1"/>
  <c r="U160" i="6"/>
  <c r="AJ150" i="6" s="1"/>
  <c r="U159" i="6"/>
  <c r="AJ149" i="6" s="1"/>
  <c r="U158" i="6"/>
  <c r="AJ148" i="6" s="1"/>
  <c r="U157" i="6"/>
  <c r="AJ147" i="6" s="1"/>
  <c r="U156" i="6"/>
  <c r="AJ146" i="6" s="1"/>
  <c r="U139" i="6"/>
  <c r="AN105" i="6" s="1"/>
  <c r="U138" i="6"/>
  <c r="AN104" i="6" s="1"/>
  <c r="U137" i="6"/>
  <c r="AN103" i="6" s="1"/>
  <c r="U136" i="6"/>
  <c r="AN102" i="6" s="1"/>
  <c r="U135" i="6"/>
  <c r="AN101" i="6" s="1"/>
  <c r="U134" i="6"/>
  <c r="AN100" i="6" s="1"/>
  <c r="U133" i="6"/>
  <c r="AM105" i="6" s="1"/>
  <c r="U132" i="6"/>
  <c r="AM104" i="6" s="1"/>
  <c r="U131" i="6"/>
  <c r="AM103" i="6" s="1"/>
  <c r="U130" i="6"/>
  <c r="AM102" i="6" s="1"/>
  <c r="U129" i="6"/>
  <c r="AM101" i="6" s="1"/>
  <c r="U128" i="6"/>
  <c r="AM100" i="6" s="1"/>
  <c r="U127" i="6"/>
  <c r="AL105" i="6" s="1"/>
  <c r="U126" i="6"/>
  <c r="AL104" i="6" s="1"/>
  <c r="U125" i="6"/>
  <c r="AL103" i="6" s="1"/>
  <c r="U124" i="6"/>
  <c r="AL102" i="6" s="1"/>
  <c r="U123" i="6"/>
  <c r="AL101" i="6" s="1"/>
  <c r="U122" i="6"/>
  <c r="AL100" i="6" s="1"/>
  <c r="U121" i="6"/>
  <c r="AK105" i="6" s="1"/>
  <c r="U120" i="6"/>
  <c r="AK104" i="6" s="1"/>
  <c r="U119" i="6"/>
  <c r="AK103" i="6" s="1"/>
  <c r="U118" i="6"/>
  <c r="AK102" i="6" s="1"/>
  <c r="U117" i="6"/>
  <c r="AK101" i="6" s="1"/>
  <c r="U116" i="6"/>
  <c r="AK100" i="6" s="1"/>
  <c r="U115" i="6"/>
  <c r="AJ105" i="6" s="1"/>
  <c r="U114" i="6"/>
  <c r="AJ104" i="6" s="1"/>
  <c r="U113" i="6"/>
  <c r="AJ103" i="6" s="1"/>
  <c r="U112" i="6"/>
  <c r="AJ102" i="6" s="1"/>
  <c r="U111" i="6"/>
  <c r="AJ101" i="6" s="1"/>
  <c r="U110" i="6"/>
  <c r="AJ100" i="6" s="1"/>
  <c r="U93" i="6"/>
  <c r="AN59" i="6" s="1"/>
  <c r="U92" i="6"/>
  <c r="AN58" i="6" s="1"/>
  <c r="U91" i="6"/>
  <c r="AN57" i="6" s="1"/>
  <c r="U90" i="6"/>
  <c r="AN56" i="6" s="1"/>
  <c r="U89" i="6"/>
  <c r="AN55" i="6" s="1"/>
  <c r="U88" i="6"/>
  <c r="AN54" i="6" s="1"/>
  <c r="U87" i="6"/>
  <c r="AM59" i="6" s="1"/>
  <c r="U86" i="6"/>
  <c r="AM58" i="6" s="1"/>
  <c r="U85" i="6"/>
  <c r="AM57" i="6" s="1"/>
  <c r="U84" i="6"/>
  <c r="AM56" i="6" s="1"/>
  <c r="U83" i="6"/>
  <c r="AM55" i="6" s="1"/>
  <c r="U82" i="6"/>
  <c r="AM54" i="6" s="1"/>
  <c r="U75" i="6"/>
  <c r="AK59" i="6" s="1"/>
  <c r="U74" i="6"/>
  <c r="AK58" i="6" s="1"/>
  <c r="U70" i="6"/>
  <c r="AK54" i="6" s="1"/>
  <c r="U73" i="6"/>
  <c r="AK57" i="6" s="1"/>
  <c r="U72" i="6"/>
  <c r="AK56" i="6" s="1"/>
  <c r="U71" i="6"/>
  <c r="AK55" i="6" s="1"/>
  <c r="U81" i="6"/>
  <c r="AL59" i="6" s="1"/>
  <c r="U80" i="6"/>
  <c r="AL58" i="6" s="1"/>
  <c r="U79" i="6"/>
  <c r="AL57" i="6" s="1"/>
  <c r="U77" i="6"/>
  <c r="AL55" i="6" s="1"/>
  <c r="U76" i="6"/>
  <c r="AL54" i="6" s="1"/>
  <c r="U65" i="6"/>
  <c r="AJ55" i="6" s="1"/>
  <c r="U66" i="6"/>
  <c r="AJ56" i="6" s="1"/>
  <c r="U67" i="6"/>
  <c r="AJ57" i="6" s="1"/>
  <c r="U68" i="6"/>
  <c r="AJ58" i="6" s="1"/>
  <c r="U69" i="6"/>
  <c r="AJ59" i="6" s="1"/>
  <c r="U64" i="6"/>
  <c r="AJ54" i="6" s="1"/>
  <c r="AN197" i="6"/>
  <c r="AN196" i="6"/>
  <c r="AN195" i="6"/>
  <c r="AN194" i="6"/>
  <c r="AN193" i="6"/>
  <c r="AN192" i="6"/>
  <c r="AM197" i="6"/>
  <c r="AM196" i="6"/>
  <c r="AM195" i="6"/>
  <c r="AM194" i="6"/>
  <c r="AM193" i="6"/>
  <c r="AM192" i="6"/>
  <c r="AL197" i="6"/>
  <c r="AL196" i="6"/>
  <c r="AL195" i="6"/>
  <c r="AL194" i="6"/>
  <c r="AL193" i="6"/>
  <c r="AL192" i="6"/>
  <c r="AK197" i="6"/>
  <c r="AK196" i="6"/>
  <c r="AK195" i="6"/>
  <c r="AK194" i="6"/>
  <c r="AK193" i="6"/>
  <c r="AK192" i="6"/>
  <c r="AJ197" i="6"/>
  <c r="AJ196" i="6"/>
  <c r="AJ195" i="6"/>
  <c r="AJ194" i="6"/>
  <c r="AJ193" i="6"/>
  <c r="AJ192" i="6"/>
  <c r="AI197" i="6"/>
  <c r="AI196" i="6"/>
  <c r="AI195" i="6"/>
  <c r="AI194" i="6"/>
  <c r="X197" i="6"/>
  <c r="AI193" i="6"/>
  <c r="X196" i="6"/>
  <c r="AI192" i="6"/>
  <c r="X195" i="6"/>
  <c r="AH197" i="6"/>
  <c r="X194" i="6"/>
  <c r="AH196" i="6"/>
  <c r="X193" i="6"/>
  <c r="AH195" i="6"/>
  <c r="X192" i="6"/>
  <c r="AH194" i="6"/>
  <c r="AH193" i="6"/>
  <c r="U155" i="6"/>
  <c r="AI151" i="6" s="1"/>
  <c r="U154" i="6"/>
  <c r="AI150" i="6" s="1"/>
  <c r="U153" i="6"/>
  <c r="AI149" i="6" s="1"/>
  <c r="U152" i="6"/>
  <c r="AI148" i="6" s="1"/>
  <c r="X151" i="6"/>
  <c r="U151" i="6"/>
  <c r="AI147" i="6" s="1"/>
  <c r="X150" i="6"/>
  <c r="U150" i="6"/>
  <c r="AI146" i="6" s="1"/>
  <c r="X149" i="6"/>
  <c r="U149" i="6"/>
  <c r="AH151" i="6" s="1"/>
  <c r="X148" i="6"/>
  <c r="U148" i="6"/>
  <c r="AH150" i="6" s="1"/>
  <c r="X147" i="6"/>
  <c r="U147" i="6"/>
  <c r="AH149" i="6" s="1"/>
  <c r="X146" i="6"/>
  <c r="U146" i="6"/>
  <c r="AH148" i="6" s="1"/>
  <c r="U145" i="6"/>
  <c r="AH147" i="6" s="1"/>
  <c r="U144" i="6"/>
  <c r="U109" i="6"/>
  <c r="AI105" i="6" s="1"/>
  <c r="U108" i="6"/>
  <c r="AI104" i="6" s="1"/>
  <c r="U107" i="6"/>
  <c r="AI103" i="6" s="1"/>
  <c r="U106" i="6"/>
  <c r="AI102" i="6" s="1"/>
  <c r="X105" i="6"/>
  <c r="U105" i="6"/>
  <c r="AI101" i="6" s="1"/>
  <c r="X104" i="6"/>
  <c r="U104" i="6"/>
  <c r="AI100" i="6" s="1"/>
  <c r="X103" i="6"/>
  <c r="U103" i="6"/>
  <c r="AH105" i="6" s="1"/>
  <c r="X102" i="6"/>
  <c r="U102" i="6"/>
  <c r="AH104" i="6" s="1"/>
  <c r="X101" i="6"/>
  <c r="U101" i="6"/>
  <c r="AH103" i="6" s="1"/>
  <c r="X100" i="6"/>
  <c r="U100" i="6"/>
  <c r="AH102" i="6" s="1"/>
  <c r="U99" i="6"/>
  <c r="AH101" i="6" s="1"/>
  <c r="U98" i="6"/>
  <c r="U78" i="6"/>
  <c r="AL56" i="6" s="1"/>
  <c r="U63" i="6"/>
  <c r="AI59" i="6" s="1"/>
  <c r="U62" i="6"/>
  <c r="AI58" i="6" s="1"/>
  <c r="U61" i="6"/>
  <c r="AI57" i="6" s="1"/>
  <c r="U60" i="6"/>
  <c r="AI56" i="6" s="1"/>
  <c r="X59" i="6"/>
  <c r="U59" i="6"/>
  <c r="AI55" i="6" s="1"/>
  <c r="X58" i="6"/>
  <c r="U58" i="6"/>
  <c r="AI54" i="6" s="1"/>
  <c r="X57" i="6"/>
  <c r="U57" i="6"/>
  <c r="AH59" i="6" s="1"/>
  <c r="X56" i="6"/>
  <c r="U56" i="6"/>
  <c r="AH58" i="6" s="1"/>
  <c r="X55" i="6"/>
  <c r="U55" i="6"/>
  <c r="AH57" i="6" s="1"/>
  <c r="X54" i="6"/>
  <c r="U54" i="6"/>
  <c r="AH56" i="6" s="1"/>
  <c r="U53" i="6"/>
  <c r="AH55" i="6" s="1"/>
  <c r="U52" i="6"/>
  <c r="U47" i="6"/>
  <c r="AN13" i="6" s="1"/>
  <c r="AW13" i="6" s="1"/>
  <c r="U46" i="6"/>
  <c r="AN12" i="6" s="1"/>
  <c r="AW12" i="6" s="1"/>
  <c r="U45" i="6"/>
  <c r="AN11" i="6" s="1"/>
  <c r="AW11" i="6" s="1"/>
  <c r="U44" i="6"/>
  <c r="AN10" i="6" s="1"/>
  <c r="AW10" i="6" s="1"/>
  <c r="U43" i="6"/>
  <c r="AN9" i="6" s="1"/>
  <c r="AW9" i="6" s="1"/>
  <c r="U42" i="6"/>
  <c r="AN8" i="6" s="1"/>
  <c r="AW8" i="6" s="1"/>
  <c r="U41" i="6"/>
  <c r="AM13" i="6" s="1"/>
  <c r="U40" i="6"/>
  <c r="AM12" i="6" s="1"/>
  <c r="U39" i="6"/>
  <c r="AM11" i="6" s="1"/>
  <c r="U38" i="6"/>
  <c r="AM10" i="6" s="1"/>
  <c r="U37" i="6"/>
  <c r="AM9" i="6" s="1"/>
  <c r="U36" i="6"/>
  <c r="AM8" i="6" s="1"/>
  <c r="U35" i="6"/>
  <c r="AL13" i="6" s="1"/>
  <c r="U34" i="6"/>
  <c r="AL12" i="6" s="1"/>
  <c r="U33" i="6"/>
  <c r="AL11" i="6" s="1"/>
  <c r="U32" i="6"/>
  <c r="AL10" i="6" s="1"/>
  <c r="U31" i="6"/>
  <c r="AL9" i="6" s="1"/>
  <c r="U30" i="6"/>
  <c r="AL8" i="6" s="1"/>
  <c r="U29" i="6"/>
  <c r="AK13" i="6" s="1"/>
  <c r="AT13" i="6" s="1"/>
  <c r="U28" i="6"/>
  <c r="AK12" i="6" s="1"/>
  <c r="AT12" i="6" s="1"/>
  <c r="U27" i="6"/>
  <c r="AK11" i="6" s="1"/>
  <c r="AT11" i="6" s="1"/>
  <c r="U26" i="6"/>
  <c r="AK10" i="6" s="1"/>
  <c r="AT10" i="6" s="1"/>
  <c r="U25" i="6"/>
  <c r="AK9" i="6" s="1"/>
  <c r="AT9" i="6" s="1"/>
  <c r="U24" i="6"/>
  <c r="AK8" i="6" s="1"/>
  <c r="AT8" i="6" s="1"/>
  <c r="U23" i="6"/>
  <c r="AJ13" i="6" s="1"/>
  <c r="AS13" i="6" s="1"/>
  <c r="U22" i="6"/>
  <c r="AJ12" i="6" s="1"/>
  <c r="AS12" i="6" s="1"/>
  <c r="U21" i="6"/>
  <c r="AJ11" i="6" s="1"/>
  <c r="AS11" i="6" s="1"/>
  <c r="U20" i="6"/>
  <c r="AJ10" i="6" s="1"/>
  <c r="AS10" i="6" s="1"/>
  <c r="U19" i="6"/>
  <c r="AJ9" i="6" s="1"/>
  <c r="AS9" i="6" s="1"/>
  <c r="U18" i="6"/>
  <c r="AJ8" i="6" s="1"/>
  <c r="AS8" i="6" s="1"/>
  <c r="U17" i="6"/>
  <c r="AI13" i="6" s="1"/>
  <c r="AR13" i="6" s="1"/>
  <c r="U16" i="6"/>
  <c r="AI12" i="6" s="1"/>
  <c r="AR12" i="6" s="1"/>
  <c r="U15" i="6"/>
  <c r="AI11" i="6" s="1"/>
  <c r="AR11" i="6" s="1"/>
  <c r="U14" i="6"/>
  <c r="AI10" i="6" s="1"/>
  <c r="AR10" i="6" s="1"/>
  <c r="X13" i="6"/>
  <c r="AE13" i="6" s="1"/>
  <c r="U13" i="6"/>
  <c r="AI9" i="6" s="1"/>
  <c r="AR9" i="6" s="1"/>
  <c r="X12" i="6"/>
  <c r="AE12" i="6" s="1"/>
  <c r="U12" i="6"/>
  <c r="AI8" i="6" s="1"/>
  <c r="AR8" i="6" s="1"/>
  <c r="X11" i="6"/>
  <c r="AE11" i="6" s="1"/>
  <c r="U11" i="6"/>
  <c r="AH13" i="6" s="1"/>
  <c r="AQ13" i="6" s="1"/>
  <c r="X10" i="6"/>
  <c r="U10" i="6"/>
  <c r="AH12" i="6" s="1"/>
  <c r="AQ12" i="6" s="1"/>
  <c r="X9" i="6"/>
  <c r="U9" i="6"/>
  <c r="AH11" i="6" s="1"/>
  <c r="AQ11" i="6" s="1"/>
  <c r="X8" i="6"/>
  <c r="U8" i="6"/>
  <c r="AH10" i="6" s="1"/>
  <c r="AQ10" i="6" s="1"/>
  <c r="U7" i="6"/>
  <c r="AH9" i="6" s="1"/>
  <c r="AQ9" i="6" s="1"/>
  <c r="U6" i="6"/>
  <c r="X195" i="5"/>
  <c r="X194" i="5"/>
  <c r="X193" i="5"/>
  <c r="X192" i="5"/>
  <c r="X191" i="5"/>
  <c r="X190" i="5"/>
  <c r="X189" i="5"/>
  <c r="X196" i="5" s="1"/>
  <c r="X149" i="5"/>
  <c r="X148" i="5"/>
  <c r="X147" i="5"/>
  <c r="X146" i="5"/>
  <c r="X145" i="5"/>
  <c r="X144" i="5"/>
  <c r="X143" i="5"/>
  <c r="X150" i="5" s="1"/>
  <c r="X103" i="5"/>
  <c r="X102" i="5"/>
  <c r="X101" i="5"/>
  <c r="X100" i="5"/>
  <c r="X99" i="5"/>
  <c r="X98" i="5"/>
  <c r="X97" i="5"/>
  <c r="X104" i="5" s="1"/>
  <c r="X57" i="5"/>
  <c r="X56" i="5"/>
  <c r="X55" i="5"/>
  <c r="X54" i="5"/>
  <c r="X53" i="5"/>
  <c r="X52" i="5"/>
  <c r="X51" i="5"/>
  <c r="X58" i="5" s="1"/>
  <c r="AD136" i="3"/>
  <c r="U136" i="3"/>
  <c r="L136" i="3"/>
  <c r="C136" i="3"/>
  <c r="AR135" i="3"/>
  <c r="AQ135" i="3"/>
  <c r="AP135" i="3"/>
  <c r="AO135" i="3"/>
  <c r="AN135" i="3"/>
  <c r="AI135" i="3"/>
  <c r="AH135" i="3"/>
  <c r="AG135" i="3"/>
  <c r="AF135" i="3"/>
  <c r="AE135" i="3"/>
  <c r="Z135" i="3"/>
  <c r="Y135" i="3"/>
  <c r="X135" i="3"/>
  <c r="W135" i="3"/>
  <c r="V135" i="3"/>
  <c r="AA135" i="3" s="1"/>
  <c r="Q135" i="3"/>
  <c r="P135" i="3"/>
  <c r="O135" i="3"/>
  <c r="N135" i="3"/>
  <c r="R135" i="3" s="1"/>
  <c r="M135" i="3"/>
  <c r="H135" i="3"/>
  <c r="G135" i="3"/>
  <c r="F135" i="3"/>
  <c r="E135" i="3"/>
  <c r="I135" i="3" s="1"/>
  <c r="D135" i="3"/>
  <c r="AR134" i="3"/>
  <c r="AQ134" i="3"/>
  <c r="AP134" i="3"/>
  <c r="AO134" i="3"/>
  <c r="AN134" i="3"/>
  <c r="AI134" i="3"/>
  <c r="AH134" i="3"/>
  <c r="AG134" i="3"/>
  <c r="AJ134" i="3" s="1"/>
  <c r="AF134" i="3"/>
  <c r="AE134" i="3"/>
  <c r="Z134" i="3"/>
  <c r="Y134" i="3"/>
  <c r="X134" i="3"/>
  <c r="W134" i="3"/>
  <c r="AA134" i="3" s="1"/>
  <c r="V134" i="3"/>
  <c r="Q134" i="3"/>
  <c r="P134" i="3"/>
  <c r="O134" i="3"/>
  <c r="N134" i="3"/>
  <c r="M134" i="3"/>
  <c r="H134" i="3"/>
  <c r="G134" i="3"/>
  <c r="F134" i="3"/>
  <c r="I134" i="3" s="1"/>
  <c r="E134" i="3"/>
  <c r="D134" i="3"/>
  <c r="AR133" i="3"/>
  <c r="AQ133" i="3"/>
  <c r="AP133" i="3"/>
  <c r="AO133" i="3"/>
  <c r="AN133" i="3"/>
  <c r="AI133" i="3"/>
  <c r="AH133" i="3"/>
  <c r="AG133" i="3"/>
  <c r="AF133" i="3"/>
  <c r="AJ133" i="3" s="1"/>
  <c r="AE133" i="3"/>
  <c r="Z133" i="3"/>
  <c r="Z136" i="3" s="1"/>
  <c r="Y133" i="3"/>
  <c r="X133" i="3"/>
  <c r="W133" i="3"/>
  <c r="V133" i="3"/>
  <c r="Q133" i="3"/>
  <c r="P133" i="3"/>
  <c r="O133" i="3"/>
  <c r="R133" i="3" s="1"/>
  <c r="N133" i="3"/>
  <c r="M133" i="3"/>
  <c r="H133" i="3"/>
  <c r="G133" i="3"/>
  <c r="F133" i="3"/>
  <c r="E133" i="3"/>
  <c r="D133" i="3"/>
  <c r="I133" i="3" s="1"/>
  <c r="AR132" i="3"/>
  <c r="AQ132" i="3"/>
  <c r="AP132" i="3"/>
  <c r="AO132" i="3"/>
  <c r="AN132" i="3"/>
  <c r="AL132" i="3"/>
  <c r="AI132" i="3"/>
  <c r="AH132" i="3"/>
  <c r="AG132" i="3"/>
  <c r="AF132" i="3"/>
  <c r="AE132" i="3"/>
  <c r="AC132" i="3"/>
  <c r="Z132" i="3"/>
  <c r="Y132" i="3"/>
  <c r="X132" i="3"/>
  <c r="W132" i="3"/>
  <c r="V132" i="3"/>
  <c r="T132" i="3"/>
  <c r="Q132" i="3"/>
  <c r="P132" i="3"/>
  <c r="O132" i="3"/>
  <c r="N132" i="3"/>
  <c r="M132" i="3"/>
  <c r="R132" i="3" s="1"/>
  <c r="K132" i="3"/>
  <c r="H132" i="3"/>
  <c r="G132" i="3"/>
  <c r="F132" i="3"/>
  <c r="E132" i="3"/>
  <c r="D132" i="3"/>
  <c r="B132" i="3"/>
  <c r="AR131" i="3"/>
  <c r="AQ131" i="3"/>
  <c r="AP131" i="3"/>
  <c r="AO131" i="3"/>
  <c r="AN131" i="3"/>
  <c r="AL131" i="3"/>
  <c r="AI131" i="3"/>
  <c r="AH131" i="3"/>
  <c r="AG131" i="3"/>
  <c r="AF131" i="3"/>
  <c r="AE131" i="3"/>
  <c r="AD131" i="3"/>
  <c r="AC131" i="3"/>
  <c r="Z131" i="3"/>
  <c r="Y131" i="3"/>
  <c r="X131" i="3"/>
  <c r="W131" i="3"/>
  <c r="V131" i="3"/>
  <c r="U131" i="3"/>
  <c r="T131" i="3"/>
  <c r="Q131" i="3"/>
  <c r="P131" i="3"/>
  <c r="O131" i="3"/>
  <c r="N131" i="3"/>
  <c r="M131" i="3"/>
  <c r="L131" i="3"/>
  <c r="K131" i="3"/>
  <c r="H131" i="3"/>
  <c r="G131" i="3"/>
  <c r="F131" i="3"/>
  <c r="E131" i="3"/>
  <c r="D131" i="3"/>
  <c r="C131" i="3"/>
  <c r="B131" i="3"/>
  <c r="I131" i="3" s="1"/>
  <c r="AR130" i="3"/>
  <c r="AQ130" i="3"/>
  <c r="AP130" i="3"/>
  <c r="AO130" i="3"/>
  <c r="AN130" i="3"/>
  <c r="AM130" i="3"/>
  <c r="AL130" i="3"/>
  <c r="AS130" i="3" s="1"/>
  <c r="AI130" i="3"/>
  <c r="AH130" i="3"/>
  <c r="AG130" i="3"/>
  <c r="AF130" i="3"/>
  <c r="AE130" i="3"/>
  <c r="AD130" i="3"/>
  <c r="AC130" i="3"/>
  <c r="AJ130" i="3" s="1"/>
  <c r="Z130" i="3"/>
  <c r="Y130" i="3"/>
  <c r="X130" i="3"/>
  <c r="W130" i="3"/>
  <c r="V130" i="3"/>
  <c r="U130" i="3"/>
  <c r="T130" i="3"/>
  <c r="Q130" i="3"/>
  <c r="P130" i="3"/>
  <c r="O130" i="3"/>
  <c r="N130" i="3"/>
  <c r="M130" i="3"/>
  <c r="L130" i="3"/>
  <c r="K130" i="3"/>
  <c r="R130" i="3" s="1"/>
  <c r="H130" i="3"/>
  <c r="G130" i="3"/>
  <c r="F130" i="3"/>
  <c r="E130" i="3"/>
  <c r="D130" i="3"/>
  <c r="C130" i="3"/>
  <c r="B130" i="3"/>
  <c r="AR129" i="3"/>
  <c r="AQ129" i="3"/>
  <c r="AP129" i="3"/>
  <c r="AO129" i="3"/>
  <c r="AN129" i="3"/>
  <c r="AM129" i="3"/>
  <c r="AL129" i="3"/>
  <c r="AI129" i="3"/>
  <c r="AH129" i="3"/>
  <c r="AG129" i="3"/>
  <c r="AF129" i="3"/>
  <c r="AE129" i="3"/>
  <c r="AD129" i="3"/>
  <c r="AC129" i="3"/>
  <c r="Z129" i="3"/>
  <c r="Y129" i="3"/>
  <c r="X129" i="3"/>
  <c r="W129" i="3"/>
  <c r="V129" i="3"/>
  <c r="U129" i="3"/>
  <c r="T129" i="3"/>
  <c r="AA129" i="3" s="1"/>
  <c r="Q129" i="3"/>
  <c r="P129" i="3"/>
  <c r="O129" i="3"/>
  <c r="N129" i="3"/>
  <c r="M129" i="3"/>
  <c r="L129" i="3"/>
  <c r="K129" i="3"/>
  <c r="R129" i="3" s="1"/>
  <c r="H129" i="3"/>
  <c r="G129" i="3"/>
  <c r="F129" i="3"/>
  <c r="E129" i="3"/>
  <c r="D129" i="3"/>
  <c r="C129" i="3"/>
  <c r="B129" i="3"/>
  <c r="I129" i="3" s="1"/>
  <c r="AR128" i="3"/>
  <c r="AQ128" i="3"/>
  <c r="AP128" i="3"/>
  <c r="AO128" i="3"/>
  <c r="AN128" i="3"/>
  <c r="AM128" i="3"/>
  <c r="AL128" i="3"/>
  <c r="AI128" i="3"/>
  <c r="AH128" i="3"/>
  <c r="AG128" i="3"/>
  <c r="AF128" i="3"/>
  <c r="AE128" i="3"/>
  <c r="AD128" i="3"/>
  <c r="AC128" i="3"/>
  <c r="AJ128" i="3" s="1"/>
  <c r="Z128" i="3"/>
  <c r="Y128" i="3"/>
  <c r="X128" i="3"/>
  <c r="W128" i="3"/>
  <c r="W136" i="3" s="1"/>
  <c r="V128" i="3"/>
  <c r="U128" i="3"/>
  <c r="T128" i="3"/>
  <c r="Q128" i="3"/>
  <c r="P128" i="3"/>
  <c r="O128" i="3"/>
  <c r="N128" i="3"/>
  <c r="M128" i="3"/>
  <c r="L128" i="3"/>
  <c r="K128" i="3"/>
  <c r="H128" i="3"/>
  <c r="G128" i="3"/>
  <c r="F128" i="3"/>
  <c r="E128" i="3"/>
  <c r="D128" i="3"/>
  <c r="C128" i="3"/>
  <c r="B128" i="3"/>
  <c r="AR127" i="3"/>
  <c r="AQ127" i="3"/>
  <c r="AP127" i="3"/>
  <c r="AO127" i="3"/>
  <c r="AN127" i="3"/>
  <c r="AM127" i="3"/>
  <c r="AL127" i="3"/>
  <c r="AS127" i="3" s="1"/>
  <c r="AI127" i="3"/>
  <c r="AH127" i="3"/>
  <c r="AG127" i="3"/>
  <c r="AF127" i="3"/>
  <c r="AE127" i="3"/>
  <c r="AD127" i="3"/>
  <c r="AC127" i="3"/>
  <c r="AJ127" i="3" s="1"/>
  <c r="Z127" i="3"/>
  <c r="Y127" i="3"/>
  <c r="X127" i="3"/>
  <c r="W127" i="3"/>
  <c r="V127" i="3"/>
  <c r="U127" i="3"/>
  <c r="T127" i="3"/>
  <c r="AA127" i="3" s="1"/>
  <c r="Q127" i="3"/>
  <c r="P127" i="3"/>
  <c r="O127" i="3"/>
  <c r="N127" i="3"/>
  <c r="M127" i="3"/>
  <c r="L127" i="3"/>
  <c r="K127" i="3"/>
  <c r="H127" i="3"/>
  <c r="G127" i="3"/>
  <c r="F127" i="3"/>
  <c r="E127" i="3"/>
  <c r="D127" i="3"/>
  <c r="C127" i="3"/>
  <c r="B127" i="3"/>
  <c r="I127" i="3" s="1"/>
  <c r="AR126" i="3"/>
  <c r="AQ126" i="3"/>
  <c r="AP126" i="3"/>
  <c r="AO126" i="3"/>
  <c r="AN126" i="3"/>
  <c r="AM126" i="3"/>
  <c r="AL126" i="3"/>
  <c r="AI126" i="3"/>
  <c r="AH126" i="3"/>
  <c r="AG126" i="3"/>
  <c r="AF126" i="3"/>
  <c r="AE126" i="3"/>
  <c r="AD126" i="3"/>
  <c r="AC126" i="3"/>
  <c r="Z126" i="3"/>
  <c r="Y126" i="3"/>
  <c r="X126" i="3"/>
  <c r="W126" i="3"/>
  <c r="V126" i="3"/>
  <c r="U126" i="3"/>
  <c r="T126" i="3"/>
  <c r="Q126" i="3"/>
  <c r="P126" i="3"/>
  <c r="O126" i="3"/>
  <c r="N126" i="3"/>
  <c r="M126" i="3"/>
  <c r="L126" i="3"/>
  <c r="K126" i="3"/>
  <c r="R126" i="3" s="1"/>
  <c r="H126" i="3"/>
  <c r="G126" i="3"/>
  <c r="F126" i="3"/>
  <c r="E126" i="3"/>
  <c r="D126" i="3"/>
  <c r="C126" i="3"/>
  <c r="B126" i="3"/>
  <c r="I126" i="3" s="1"/>
  <c r="AR125" i="3"/>
  <c r="AQ125" i="3"/>
  <c r="AP125" i="3"/>
  <c r="AO125" i="3"/>
  <c r="AN125" i="3"/>
  <c r="AM125" i="3"/>
  <c r="AL125" i="3"/>
  <c r="AS125" i="3" s="1"/>
  <c r="AI125" i="3"/>
  <c r="AH125" i="3"/>
  <c r="AG125" i="3"/>
  <c r="AF125" i="3"/>
  <c r="AE125" i="3"/>
  <c r="AD125" i="3"/>
  <c r="AC125" i="3"/>
  <c r="Z125" i="3"/>
  <c r="Y125" i="3"/>
  <c r="X125" i="3"/>
  <c r="W125" i="3"/>
  <c r="V125" i="3"/>
  <c r="U125" i="3"/>
  <c r="T125" i="3"/>
  <c r="Q125" i="3"/>
  <c r="P125" i="3"/>
  <c r="O125" i="3"/>
  <c r="N125" i="3"/>
  <c r="M125" i="3"/>
  <c r="L125" i="3"/>
  <c r="K125" i="3"/>
  <c r="H125" i="3"/>
  <c r="G125" i="3"/>
  <c r="F125" i="3"/>
  <c r="E125" i="3"/>
  <c r="D125" i="3"/>
  <c r="C125" i="3"/>
  <c r="B125" i="3"/>
  <c r="AR124" i="3"/>
  <c r="AQ124" i="3"/>
  <c r="AP124" i="3"/>
  <c r="AO124" i="3"/>
  <c r="AN124" i="3"/>
  <c r="AM124" i="3"/>
  <c r="AL124" i="3"/>
  <c r="AI124" i="3"/>
  <c r="AH124" i="3"/>
  <c r="AG124" i="3"/>
  <c r="AF124" i="3"/>
  <c r="AE124" i="3"/>
  <c r="AD124" i="3"/>
  <c r="AC124" i="3"/>
  <c r="AJ124" i="3" s="1"/>
  <c r="Z124" i="3"/>
  <c r="Y124" i="3"/>
  <c r="X124" i="3"/>
  <c r="W124" i="3"/>
  <c r="V124" i="3"/>
  <c r="U124" i="3"/>
  <c r="T124" i="3"/>
  <c r="AA124" i="3" s="1"/>
  <c r="Q124" i="3"/>
  <c r="Q136" i="3" s="1"/>
  <c r="P124" i="3"/>
  <c r="O124" i="3"/>
  <c r="N124" i="3"/>
  <c r="M124" i="3"/>
  <c r="L124" i="3"/>
  <c r="K124" i="3"/>
  <c r="H124" i="3"/>
  <c r="G124" i="3"/>
  <c r="F124" i="3"/>
  <c r="E124" i="3"/>
  <c r="D124" i="3"/>
  <c r="C124" i="3"/>
  <c r="B124" i="3"/>
  <c r="AR123" i="3"/>
  <c r="AQ123" i="3"/>
  <c r="AP123" i="3"/>
  <c r="AO123" i="3"/>
  <c r="AN123" i="3"/>
  <c r="AM123" i="3"/>
  <c r="AL123" i="3"/>
  <c r="AI123" i="3"/>
  <c r="AH123" i="3"/>
  <c r="AG123" i="3"/>
  <c r="AF123" i="3"/>
  <c r="AE123" i="3"/>
  <c r="AD123" i="3"/>
  <c r="AC123" i="3"/>
  <c r="Z123" i="3"/>
  <c r="Y123" i="3"/>
  <c r="X123" i="3"/>
  <c r="W123" i="3"/>
  <c r="V123" i="3"/>
  <c r="U123" i="3"/>
  <c r="T123" i="3"/>
  <c r="Q123" i="3"/>
  <c r="P123" i="3"/>
  <c r="O123" i="3"/>
  <c r="N123" i="3"/>
  <c r="M123" i="3"/>
  <c r="L123" i="3"/>
  <c r="K123" i="3"/>
  <c r="H123" i="3"/>
  <c r="G123" i="3"/>
  <c r="F123" i="3"/>
  <c r="E123" i="3"/>
  <c r="D123" i="3"/>
  <c r="C123" i="3"/>
  <c r="B123" i="3"/>
  <c r="I123" i="3" s="1"/>
  <c r="AR122" i="3"/>
  <c r="AQ122" i="3"/>
  <c r="AP122" i="3"/>
  <c r="AO122" i="3"/>
  <c r="AN122" i="3"/>
  <c r="AL122" i="3"/>
  <c r="AS122" i="3" s="1"/>
  <c r="AI122" i="3"/>
  <c r="AH122" i="3"/>
  <c r="AG122" i="3"/>
  <c r="AF122" i="3"/>
  <c r="AE122" i="3"/>
  <c r="AC122" i="3"/>
  <c r="Z122" i="3"/>
  <c r="Y122" i="3"/>
  <c r="X122" i="3"/>
  <c r="W122" i="3"/>
  <c r="V122" i="3"/>
  <c r="T122" i="3"/>
  <c r="Q122" i="3"/>
  <c r="P122" i="3"/>
  <c r="O122" i="3"/>
  <c r="N122" i="3"/>
  <c r="R122" i="3" s="1"/>
  <c r="M122" i="3"/>
  <c r="K122" i="3"/>
  <c r="H122" i="3"/>
  <c r="G122" i="3"/>
  <c r="F122" i="3"/>
  <c r="E122" i="3"/>
  <c r="D122" i="3"/>
  <c r="I122" i="3" s="1"/>
  <c r="B122" i="3"/>
  <c r="B136" i="3" s="1"/>
  <c r="AR121" i="3"/>
  <c r="AQ121" i="3"/>
  <c r="AP121" i="3"/>
  <c r="AO121" i="3"/>
  <c r="AN121" i="3"/>
  <c r="AI121" i="3"/>
  <c r="AH121" i="3"/>
  <c r="AG121" i="3"/>
  <c r="AJ121" i="3" s="1"/>
  <c r="AF121" i="3"/>
  <c r="AE121" i="3"/>
  <c r="Z121" i="3"/>
  <c r="Y121" i="3"/>
  <c r="X121" i="3"/>
  <c r="W121" i="3"/>
  <c r="V121" i="3"/>
  <c r="AA121" i="3" s="1"/>
  <c r="Q121" i="3"/>
  <c r="P121" i="3"/>
  <c r="O121" i="3"/>
  <c r="N121" i="3"/>
  <c r="R121" i="3" s="1"/>
  <c r="M121" i="3"/>
  <c r="H121" i="3"/>
  <c r="G121" i="3"/>
  <c r="F121" i="3"/>
  <c r="E121" i="3"/>
  <c r="D121" i="3"/>
  <c r="AR120" i="3"/>
  <c r="AQ120" i="3"/>
  <c r="AP120" i="3"/>
  <c r="AP136" i="3" s="1"/>
  <c r="AO120" i="3"/>
  <c r="AN120" i="3"/>
  <c r="AN136" i="3" s="1"/>
  <c r="AI120" i="3"/>
  <c r="AH120" i="3"/>
  <c r="AH136" i="3" s="1"/>
  <c r="AG120" i="3"/>
  <c r="AF120" i="3"/>
  <c r="AE120" i="3"/>
  <c r="AE136" i="3" s="1"/>
  <c r="Z120" i="3"/>
  <c r="Y120" i="3"/>
  <c r="X120" i="3"/>
  <c r="W120" i="3"/>
  <c r="V120" i="3"/>
  <c r="Q120" i="3"/>
  <c r="P120" i="3"/>
  <c r="P136" i="3" s="1"/>
  <c r="O120" i="3"/>
  <c r="O136" i="3" s="1"/>
  <c r="N120" i="3"/>
  <c r="R120" i="3" s="1"/>
  <c r="M120" i="3"/>
  <c r="H120" i="3"/>
  <c r="G120" i="3"/>
  <c r="G136" i="3" s="1"/>
  <c r="F120" i="3"/>
  <c r="E120" i="3"/>
  <c r="I120" i="3" s="1"/>
  <c r="D120" i="3"/>
  <c r="D136" i="3" s="1"/>
  <c r="AR117" i="3"/>
  <c r="AQ117" i="3"/>
  <c r="AP117" i="3"/>
  <c r="AO117" i="3"/>
  <c r="AN117" i="3"/>
  <c r="AM117" i="3"/>
  <c r="AL117" i="3"/>
  <c r="AI117" i="3"/>
  <c r="AH117" i="3"/>
  <c r="AG117" i="3"/>
  <c r="AF117" i="3"/>
  <c r="AE117" i="3"/>
  <c r="AJ117" i="3" s="1"/>
  <c r="AD117" i="3"/>
  <c r="AC117" i="3"/>
  <c r="Z117" i="3"/>
  <c r="Y117" i="3"/>
  <c r="X117" i="3"/>
  <c r="W117" i="3"/>
  <c r="V117" i="3"/>
  <c r="T118" i="3" s="1"/>
  <c r="U117" i="3"/>
  <c r="T117" i="3"/>
  <c r="Q117" i="3"/>
  <c r="P117" i="3"/>
  <c r="O117" i="3"/>
  <c r="N117" i="3"/>
  <c r="M117" i="3"/>
  <c r="R117" i="3" s="1"/>
  <c r="L117" i="3"/>
  <c r="K118" i="3" s="1"/>
  <c r="K117" i="3"/>
  <c r="H117" i="3"/>
  <c r="G117" i="3"/>
  <c r="F117" i="3"/>
  <c r="E117" i="3"/>
  <c r="D117" i="3"/>
  <c r="I117" i="3" s="1"/>
  <c r="C117" i="3"/>
  <c r="B117" i="3"/>
  <c r="AS116" i="3"/>
  <c r="AJ116" i="3"/>
  <c r="AA116" i="3"/>
  <c r="R116" i="3"/>
  <c r="I116" i="3"/>
  <c r="AS115" i="3"/>
  <c r="AJ115" i="3"/>
  <c r="AA115" i="3"/>
  <c r="R115" i="3"/>
  <c r="I115" i="3"/>
  <c r="AS114" i="3"/>
  <c r="AJ114" i="3"/>
  <c r="AA114" i="3"/>
  <c r="R114" i="3"/>
  <c r="I114" i="3"/>
  <c r="AS113" i="3"/>
  <c r="AJ113" i="3"/>
  <c r="AA113" i="3"/>
  <c r="R113" i="3"/>
  <c r="I113" i="3"/>
  <c r="AS112" i="3"/>
  <c r="AJ112" i="3"/>
  <c r="AA112" i="3"/>
  <c r="R112" i="3"/>
  <c r="I112" i="3"/>
  <c r="AS111" i="3"/>
  <c r="AJ111" i="3"/>
  <c r="AA111" i="3"/>
  <c r="R111" i="3"/>
  <c r="I111" i="3"/>
  <c r="AS110" i="3"/>
  <c r="AJ110" i="3"/>
  <c r="AA110" i="3"/>
  <c r="R110" i="3"/>
  <c r="I110" i="3"/>
  <c r="AS109" i="3"/>
  <c r="AJ109" i="3"/>
  <c r="AA109" i="3"/>
  <c r="R109" i="3"/>
  <c r="I109" i="3"/>
  <c r="AS108" i="3"/>
  <c r="AJ108" i="3"/>
  <c r="AA108" i="3"/>
  <c r="R108" i="3"/>
  <c r="I108" i="3"/>
  <c r="AS107" i="3"/>
  <c r="AJ107" i="3"/>
  <c r="AA107" i="3"/>
  <c r="R107" i="3"/>
  <c r="I107" i="3"/>
  <c r="AS106" i="3"/>
  <c r="AJ106" i="3"/>
  <c r="AA106" i="3"/>
  <c r="R106" i="3"/>
  <c r="I106" i="3"/>
  <c r="AS105" i="3"/>
  <c r="AJ105" i="3"/>
  <c r="AA105" i="3"/>
  <c r="R105" i="3"/>
  <c r="I105" i="3"/>
  <c r="AS104" i="3"/>
  <c r="AJ104" i="3"/>
  <c r="AA104" i="3"/>
  <c r="R104" i="3"/>
  <c r="I104" i="3"/>
  <c r="AS103" i="3"/>
  <c r="AJ103" i="3"/>
  <c r="AA103" i="3"/>
  <c r="R103" i="3"/>
  <c r="I103" i="3"/>
  <c r="AS102" i="3"/>
  <c r="AJ102" i="3"/>
  <c r="AA102" i="3"/>
  <c r="R102" i="3"/>
  <c r="I102" i="3"/>
  <c r="AS101" i="3"/>
  <c r="AJ101" i="3"/>
  <c r="AA101" i="3"/>
  <c r="R101" i="3"/>
  <c r="I101" i="3"/>
  <c r="AR98" i="3"/>
  <c r="AQ98" i="3"/>
  <c r="AP98" i="3"/>
  <c r="AO98" i="3"/>
  <c r="AN98" i="3"/>
  <c r="AL98" i="3"/>
  <c r="AI98" i="3"/>
  <c r="AH98" i="3"/>
  <c r="AG98" i="3"/>
  <c r="AF98" i="3"/>
  <c r="AE98" i="3"/>
  <c r="AD98" i="3"/>
  <c r="AJ98" i="3" s="1"/>
  <c r="AC98" i="3"/>
  <c r="Z98" i="3"/>
  <c r="Y98" i="3"/>
  <c r="X98" i="3"/>
  <c r="W98" i="3"/>
  <c r="V98" i="3"/>
  <c r="U98" i="3"/>
  <c r="AA98" i="3" s="1"/>
  <c r="T98" i="3"/>
  <c r="Q98" i="3"/>
  <c r="P98" i="3"/>
  <c r="O98" i="3"/>
  <c r="N98" i="3"/>
  <c r="M98" i="3"/>
  <c r="L98" i="3"/>
  <c r="K99" i="3" s="1"/>
  <c r="K98" i="3"/>
  <c r="H98" i="3"/>
  <c r="G98" i="3"/>
  <c r="F98" i="3"/>
  <c r="E98" i="3"/>
  <c r="D98" i="3"/>
  <c r="C98" i="3"/>
  <c r="I98" i="3" s="1"/>
  <c r="B98" i="3"/>
  <c r="AS97" i="3"/>
  <c r="AJ97" i="3"/>
  <c r="AA97" i="3"/>
  <c r="R97" i="3"/>
  <c r="I97" i="3"/>
  <c r="AS96" i="3"/>
  <c r="AJ96" i="3"/>
  <c r="AA96" i="3"/>
  <c r="R96" i="3"/>
  <c r="I96" i="3"/>
  <c r="AS95" i="3"/>
  <c r="AJ95" i="3"/>
  <c r="AA95" i="3"/>
  <c r="R95" i="3"/>
  <c r="I95" i="3"/>
  <c r="AS94" i="3"/>
  <c r="AJ94" i="3"/>
  <c r="AA94" i="3"/>
  <c r="R94" i="3"/>
  <c r="I94" i="3"/>
  <c r="AJ93" i="3"/>
  <c r="AA93" i="3"/>
  <c r="R93" i="3"/>
  <c r="I93" i="3"/>
  <c r="AS92" i="3"/>
  <c r="AJ92" i="3"/>
  <c r="AA92" i="3"/>
  <c r="R92" i="3"/>
  <c r="I92" i="3"/>
  <c r="AS91" i="3"/>
  <c r="AJ91" i="3"/>
  <c r="AA91" i="3"/>
  <c r="R91" i="3"/>
  <c r="I91" i="3"/>
  <c r="AS90" i="3"/>
  <c r="AJ90" i="3"/>
  <c r="AA90" i="3"/>
  <c r="R90" i="3"/>
  <c r="I90" i="3"/>
  <c r="AS89" i="3"/>
  <c r="AJ89" i="3"/>
  <c r="AA89" i="3"/>
  <c r="R89" i="3"/>
  <c r="I89" i="3"/>
  <c r="AS88" i="3"/>
  <c r="AJ88" i="3"/>
  <c r="AA88" i="3"/>
  <c r="R88" i="3"/>
  <c r="I88" i="3"/>
  <c r="AS87" i="3"/>
  <c r="AJ87" i="3"/>
  <c r="AA87" i="3"/>
  <c r="R87" i="3"/>
  <c r="I87" i="3"/>
  <c r="AS86" i="3"/>
  <c r="AJ86" i="3"/>
  <c r="AA86" i="3"/>
  <c r="R86" i="3"/>
  <c r="I86" i="3"/>
  <c r="AS85" i="3"/>
  <c r="AJ85" i="3"/>
  <c r="AA85" i="3"/>
  <c r="R85" i="3"/>
  <c r="I85" i="3"/>
  <c r="AS84" i="3"/>
  <c r="AJ84" i="3"/>
  <c r="AA84" i="3"/>
  <c r="R84" i="3"/>
  <c r="I84" i="3"/>
  <c r="AS83" i="3"/>
  <c r="AJ83" i="3"/>
  <c r="AA83" i="3"/>
  <c r="R83" i="3"/>
  <c r="I83" i="3"/>
  <c r="AS82" i="3"/>
  <c r="AJ82" i="3"/>
  <c r="AA82" i="3"/>
  <c r="R82" i="3"/>
  <c r="I82" i="3"/>
  <c r="AR79" i="3"/>
  <c r="AQ79" i="3"/>
  <c r="AP79" i="3"/>
  <c r="AO79" i="3"/>
  <c r="AN79" i="3"/>
  <c r="AM79" i="3"/>
  <c r="AL79" i="3"/>
  <c r="AI79" i="3"/>
  <c r="AH79" i="3"/>
  <c r="AG79" i="3"/>
  <c r="AF79" i="3"/>
  <c r="AE79" i="3"/>
  <c r="AD79" i="3"/>
  <c r="AC79" i="3"/>
  <c r="Z79" i="3"/>
  <c r="Y79" i="3"/>
  <c r="X79" i="3"/>
  <c r="W79" i="3"/>
  <c r="V79" i="3"/>
  <c r="U79" i="3"/>
  <c r="T79" i="3"/>
  <c r="AA79" i="3" s="1"/>
  <c r="Q79" i="3"/>
  <c r="P79" i="3"/>
  <c r="O79" i="3"/>
  <c r="N79" i="3"/>
  <c r="M79" i="3"/>
  <c r="L79" i="3"/>
  <c r="K80" i="3" s="1"/>
  <c r="K79" i="3"/>
  <c r="H79" i="3"/>
  <c r="G79" i="3"/>
  <c r="F79" i="3"/>
  <c r="E79" i="3"/>
  <c r="D79" i="3"/>
  <c r="C79" i="3"/>
  <c r="B79" i="3"/>
  <c r="I79" i="3" s="1"/>
  <c r="AS78" i="3"/>
  <c r="AJ78" i="3"/>
  <c r="AA78" i="3"/>
  <c r="R78" i="3"/>
  <c r="I78" i="3"/>
  <c r="AS77" i="3"/>
  <c r="AJ77" i="3"/>
  <c r="AA77" i="3"/>
  <c r="R77" i="3"/>
  <c r="I77" i="3"/>
  <c r="AS76" i="3"/>
  <c r="AJ76" i="3"/>
  <c r="AA76" i="3"/>
  <c r="R76" i="3"/>
  <c r="I76" i="3"/>
  <c r="AS75" i="3"/>
  <c r="AJ75" i="3"/>
  <c r="AA75" i="3"/>
  <c r="R75" i="3"/>
  <c r="I75" i="3"/>
  <c r="AS74" i="3"/>
  <c r="AJ74" i="3"/>
  <c r="AA74" i="3"/>
  <c r="R74" i="3"/>
  <c r="I74" i="3"/>
  <c r="AS73" i="3"/>
  <c r="AJ73" i="3"/>
  <c r="AA73" i="3"/>
  <c r="R73" i="3"/>
  <c r="I73" i="3"/>
  <c r="AS72" i="3"/>
  <c r="AJ72" i="3"/>
  <c r="AA72" i="3"/>
  <c r="R72" i="3"/>
  <c r="I72" i="3"/>
  <c r="AS71" i="3"/>
  <c r="AJ71" i="3"/>
  <c r="AA71" i="3"/>
  <c r="R71" i="3"/>
  <c r="I71" i="3"/>
  <c r="AS70" i="3"/>
  <c r="AJ70" i="3"/>
  <c r="AA70" i="3"/>
  <c r="R70" i="3"/>
  <c r="I70" i="3"/>
  <c r="AS69" i="3"/>
  <c r="AJ69" i="3"/>
  <c r="AA69" i="3"/>
  <c r="R69" i="3"/>
  <c r="I69" i="3"/>
  <c r="AS68" i="3"/>
  <c r="AJ68" i="3"/>
  <c r="AA68" i="3"/>
  <c r="R68" i="3"/>
  <c r="I68" i="3"/>
  <c r="AS67" i="3"/>
  <c r="AJ67" i="3"/>
  <c r="AA67" i="3"/>
  <c r="R67" i="3"/>
  <c r="I67" i="3"/>
  <c r="AS66" i="3"/>
  <c r="AJ66" i="3"/>
  <c r="AA66" i="3"/>
  <c r="R66" i="3"/>
  <c r="I66" i="3"/>
  <c r="AS65" i="3"/>
  <c r="AJ65" i="3"/>
  <c r="AA65" i="3"/>
  <c r="R65" i="3"/>
  <c r="I65" i="3"/>
  <c r="AS64" i="3"/>
  <c r="AJ64" i="3"/>
  <c r="AA64" i="3"/>
  <c r="R64" i="3"/>
  <c r="I64" i="3"/>
  <c r="AS63" i="3"/>
  <c r="AJ63" i="3"/>
  <c r="AA63" i="3"/>
  <c r="R63" i="3"/>
  <c r="I63" i="3"/>
  <c r="AR60" i="3"/>
  <c r="AQ60" i="3"/>
  <c r="AP60" i="3"/>
  <c r="AO60" i="3"/>
  <c r="AN60" i="3"/>
  <c r="AM60" i="3"/>
  <c r="AL60" i="3"/>
  <c r="AI60" i="3"/>
  <c r="AH60" i="3"/>
  <c r="AG60" i="3"/>
  <c r="AF60" i="3"/>
  <c r="AE60" i="3"/>
  <c r="AD60" i="3"/>
  <c r="AC61" i="3" s="1"/>
  <c r="AC60" i="3"/>
  <c r="AJ60" i="3" s="1"/>
  <c r="Z60" i="3"/>
  <c r="Y60" i="3"/>
  <c r="X60" i="3"/>
  <c r="W60" i="3"/>
  <c r="V60" i="3"/>
  <c r="U60" i="3"/>
  <c r="T60" i="3"/>
  <c r="T61" i="3" s="1"/>
  <c r="Q60" i="3"/>
  <c r="K61" i="3" s="1"/>
  <c r="P60" i="3"/>
  <c r="O60" i="3"/>
  <c r="N60" i="3"/>
  <c r="M60" i="3"/>
  <c r="L60" i="3"/>
  <c r="K60" i="3"/>
  <c r="H60" i="3"/>
  <c r="G60" i="3"/>
  <c r="F60" i="3"/>
  <c r="E60" i="3"/>
  <c r="D60" i="3"/>
  <c r="C60" i="3"/>
  <c r="B60" i="3"/>
  <c r="AS59" i="3"/>
  <c r="AJ59" i="3"/>
  <c r="AA59" i="3"/>
  <c r="R59" i="3"/>
  <c r="I59" i="3"/>
  <c r="AS58" i="3"/>
  <c r="AJ58" i="3"/>
  <c r="AA58" i="3"/>
  <c r="R58" i="3"/>
  <c r="I58" i="3"/>
  <c r="AS57" i="3"/>
  <c r="AJ57" i="3"/>
  <c r="AA57" i="3"/>
  <c r="R57" i="3"/>
  <c r="I57" i="3"/>
  <c r="AS56" i="3"/>
  <c r="AJ56" i="3"/>
  <c r="AA56" i="3"/>
  <c r="R56" i="3"/>
  <c r="I56" i="3"/>
  <c r="AS55" i="3"/>
  <c r="AJ55" i="3"/>
  <c r="AA55" i="3"/>
  <c r="R55" i="3"/>
  <c r="I55" i="3"/>
  <c r="AS54" i="3"/>
  <c r="AJ54" i="3"/>
  <c r="AA54" i="3"/>
  <c r="R54" i="3"/>
  <c r="I54" i="3"/>
  <c r="AS53" i="3"/>
  <c r="AJ53" i="3"/>
  <c r="AA53" i="3"/>
  <c r="R53" i="3"/>
  <c r="I53" i="3"/>
  <c r="AS52" i="3"/>
  <c r="AJ52" i="3"/>
  <c r="AA52" i="3"/>
  <c r="R52" i="3"/>
  <c r="I52" i="3"/>
  <c r="AS51" i="3"/>
  <c r="AJ51" i="3"/>
  <c r="AA51" i="3"/>
  <c r="R51" i="3"/>
  <c r="I51" i="3"/>
  <c r="AS50" i="3"/>
  <c r="AJ50" i="3"/>
  <c r="AA50" i="3"/>
  <c r="R50" i="3"/>
  <c r="I50" i="3"/>
  <c r="AS49" i="3"/>
  <c r="AJ49" i="3"/>
  <c r="AA49" i="3"/>
  <c r="R49" i="3"/>
  <c r="I49" i="3"/>
  <c r="AS48" i="3"/>
  <c r="AJ48" i="3"/>
  <c r="AA48" i="3"/>
  <c r="R48" i="3"/>
  <c r="I48" i="3"/>
  <c r="AS47" i="3"/>
  <c r="AJ47" i="3"/>
  <c r="AA47" i="3"/>
  <c r="R47" i="3"/>
  <c r="I47" i="3"/>
  <c r="AS46" i="3"/>
  <c r="AJ46" i="3"/>
  <c r="AA46" i="3"/>
  <c r="R46" i="3"/>
  <c r="I46" i="3"/>
  <c r="AS45" i="3"/>
  <c r="AJ45" i="3"/>
  <c r="AA45" i="3"/>
  <c r="R45" i="3"/>
  <c r="I45" i="3"/>
  <c r="AS44" i="3"/>
  <c r="AJ44" i="3"/>
  <c r="AA44" i="3"/>
  <c r="R44" i="3"/>
  <c r="I44" i="3"/>
  <c r="AR41" i="3"/>
  <c r="AQ41" i="3"/>
  <c r="AP41" i="3"/>
  <c r="AO41" i="3"/>
  <c r="AN41" i="3"/>
  <c r="AM41" i="3"/>
  <c r="AL41" i="3"/>
  <c r="AI41" i="3"/>
  <c r="AH41" i="3"/>
  <c r="AG41" i="3"/>
  <c r="AF41" i="3"/>
  <c r="AE41" i="3"/>
  <c r="AD41" i="3"/>
  <c r="AC41" i="3"/>
  <c r="AC42" i="3" s="1"/>
  <c r="Z41" i="3"/>
  <c r="T42" i="3" s="1"/>
  <c r="Y41" i="3"/>
  <c r="X41" i="3"/>
  <c r="W41" i="3"/>
  <c r="V41" i="3"/>
  <c r="U41" i="3"/>
  <c r="T41" i="3"/>
  <c r="Q41" i="3"/>
  <c r="P41" i="3"/>
  <c r="O41" i="3"/>
  <c r="N41" i="3"/>
  <c r="M41" i="3"/>
  <c r="L41" i="3"/>
  <c r="K41" i="3"/>
  <c r="H41" i="3"/>
  <c r="G41" i="3"/>
  <c r="F41" i="3"/>
  <c r="E41" i="3"/>
  <c r="B42" i="3" s="1"/>
  <c r="D41" i="3"/>
  <c r="C41" i="3"/>
  <c r="B41" i="3"/>
  <c r="AS40" i="3"/>
  <c r="AJ40" i="3"/>
  <c r="AA40" i="3"/>
  <c r="R40" i="3"/>
  <c r="I40" i="3"/>
  <c r="AS39" i="3"/>
  <c r="AJ39" i="3"/>
  <c r="AA39" i="3"/>
  <c r="R39" i="3"/>
  <c r="I39" i="3"/>
  <c r="AS38" i="3"/>
  <c r="AJ38" i="3"/>
  <c r="AA38" i="3"/>
  <c r="R38" i="3"/>
  <c r="I38" i="3"/>
  <c r="AS37" i="3"/>
  <c r="AJ37" i="3"/>
  <c r="AA37" i="3"/>
  <c r="R37" i="3"/>
  <c r="I37" i="3"/>
  <c r="AS36" i="3"/>
  <c r="AJ36" i="3"/>
  <c r="AA36" i="3"/>
  <c r="R36" i="3"/>
  <c r="I36" i="3"/>
  <c r="AS35" i="3"/>
  <c r="AJ35" i="3"/>
  <c r="AA35" i="3"/>
  <c r="R35" i="3"/>
  <c r="I35" i="3"/>
  <c r="AS34" i="3"/>
  <c r="AJ34" i="3"/>
  <c r="AA34" i="3"/>
  <c r="R34" i="3"/>
  <c r="I34" i="3"/>
  <c r="AS33" i="3"/>
  <c r="AJ33" i="3"/>
  <c r="AA33" i="3"/>
  <c r="R33" i="3"/>
  <c r="I33" i="3"/>
  <c r="AS32" i="3"/>
  <c r="AJ32" i="3"/>
  <c r="AA32" i="3"/>
  <c r="R32" i="3"/>
  <c r="I32" i="3"/>
  <c r="AS31" i="3"/>
  <c r="AJ31" i="3"/>
  <c r="AA31" i="3"/>
  <c r="R31" i="3"/>
  <c r="I31" i="3"/>
  <c r="AS30" i="3"/>
  <c r="AJ30" i="3"/>
  <c r="AA30" i="3"/>
  <c r="R30" i="3"/>
  <c r="I30" i="3"/>
  <c r="AS29" i="3"/>
  <c r="AJ29" i="3"/>
  <c r="AA29" i="3"/>
  <c r="R29" i="3"/>
  <c r="I29" i="3"/>
  <c r="AS28" i="3"/>
  <c r="AJ28" i="3"/>
  <c r="AA28" i="3"/>
  <c r="R28" i="3"/>
  <c r="I28" i="3"/>
  <c r="AS27" i="3"/>
  <c r="AJ27" i="3"/>
  <c r="AA27" i="3"/>
  <c r="R27" i="3"/>
  <c r="I27" i="3"/>
  <c r="AS26" i="3"/>
  <c r="AJ26" i="3"/>
  <c r="AA26" i="3"/>
  <c r="R26" i="3"/>
  <c r="I26" i="3"/>
  <c r="AS25" i="3"/>
  <c r="AJ25" i="3"/>
  <c r="AA25" i="3"/>
  <c r="R25" i="3"/>
  <c r="I25" i="3"/>
  <c r="AL23" i="3"/>
  <c r="AC23" i="3"/>
  <c r="T23" i="3"/>
  <c r="K23" i="3"/>
  <c r="B23" i="3"/>
  <c r="AR21" i="3"/>
  <c r="AQ21" i="3"/>
  <c r="AP21" i="3"/>
  <c r="AO21" i="3"/>
  <c r="AN21" i="3"/>
  <c r="AM21" i="3"/>
  <c r="AL21" i="3"/>
  <c r="AI21" i="3"/>
  <c r="AH21" i="3"/>
  <c r="AG21" i="3"/>
  <c r="AF21" i="3"/>
  <c r="AE21" i="3"/>
  <c r="AD21" i="3"/>
  <c r="AC21" i="3"/>
  <c r="Z21" i="3"/>
  <c r="Y21" i="3"/>
  <c r="X21" i="3"/>
  <c r="W21" i="3"/>
  <c r="V21" i="3"/>
  <c r="U21" i="3"/>
  <c r="T21" i="3"/>
  <c r="AA21" i="3" s="1"/>
  <c r="Q21" i="3"/>
  <c r="P21" i="3"/>
  <c r="O21" i="3"/>
  <c r="N21" i="3"/>
  <c r="M21" i="3"/>
  <c r="L21" i="3"/>
  <c r="K21" i="3"/>
  <c r="H21" i="3"/>
  <c r="G21" i="3"/>
  <c r="F21" i="3"/>
  <c r="E21" i="3"/>
  <c r="D21" i="3"/>
  <c r="C21" i="3"/>
  <c r="B21" i="3"/>
  <c r="AS20" i="3"/>
  <c r="AJ20" i="3"/>
  <c r="AA20" i="3"/>
  <c r="R20" i="3"/>
  <c r="I20" i="3"/>
  <c r="AS19" i="3"/>
  <c r="AJ19" i="3"/>
  <c r="AA19" i="3"/>
  <c r="R19" i="3"/>
  <c r="I19" i="3"/>
  <c r="AS18" i="3"/>
  <c r="AJ18" i="3"/>
  <c r="AA18" i="3"/>
  <c r="R18" i="3"/>
  <c r="I18" i="3"/>
  <c r="AS17" i="3"/>
  <c r="AJ17" i="3"/>
  <c r="AA17" i="3"/>
  <c r="R17" i="3"/>
  <c r="I17" i="3"/>
  <c r="AS16" i="3"/>
  <c r="AJ16" i="3"/>
  <c r="AA16" i="3"/>
  <c r="R16" i="3"/>
  <c r="I16" i="3"/>
  <c r="AS15" i="3"/>
  <c r="AJ15" i="3"/>
  <c r="AA15" i="3"/>
  <c r="R15" i="3"/>
  <c r="I15" i="3"/>
  <c r="AS14" i="3"/>
  <c r="AJ14" i="3"/>
  <c r="AA14" i="3"/>
  <c r="R14" i="3"/>
  <c r="I14" i="3"/>
  <c r="AS13" i="3"/>
  <c r="AJ13" i="3"/>
  <c r="AA13" i="3"/>
  <c r="R13" i="3"/>
  <c r="I13" i="3"/>
  <c r="AS12" i="3"/>
  <c r="AJ12" i="3"/>
  <c r="AA12" i="3"/>
  <c r="R12" i="3"/>
  <c r="I12" i="3"/>
  <c r="AS11" i="3"/>
  <c r="AJ11" i="3"/>
  <c r="AA11" i="3"/>
  <c r="R11" i="3"/>
  <c r="I11" i="3"/>
  <c r="AS10" i="3"/>
  <c r="AJ10" i="3"/>
  <c r="AA10" i="3"/>
  <c r="R10" i="3"/>
  <c r="I10" i="3"/>
  <c r="AS9" i="3"/>
  <c r="AJ9" i="3"/>
  <c r="AA9" i="3"/>
  <c r="R9" i="3"/>
  <c r="I9" i="3"/>
  <c r="AS8" i="3"/>
  <c r="AJ8" i="3"/>
  <c r="AA8" i="3"/>
  <c r="R8" i="3"/>
  <c r="I8" i="3"/>
  <c r="AS7" i="3"/>
  <c r="AJ7" i="3"/>
  <c r="AA7" i="3"/>
  <c r="R7" i="3"/>
  <c r="I7" i="3"/>
  <c r="AS6" i="3"/>
  <c r="AJ6" i="3"/>
  <c r="AA6" i="3"/>
  <c r="R6" i="3"/>
  <c r="I6" i="3"/>
  <c r="AS5" i="3"/>
  <c r="AJ5" i="3"/>
  <c r="AA5" i="3"/>
  <c r="R5" i="3"/>
  <c r="I5" i="3"/>
  <c r="AH6" i="18" l="1"/>
  <c r="X5" i="18"/>
  <c r="AH52" i="18"/>
  <c r="X51" i="18"/>
  <c r="X58" i="18" s="1"/>
  <c r="AH98" i="18"/>
  <c r="X97" i="18"/>
  <c r="X104" i="18" s="1"/>
  <c r="AH144" i="18"/>
  <c r="X143" i="18"/>
  <c r="X150" i="18" s="1"/>
  <c r="AH190" i="18"/>
  <c r="X189" i="18"/>
  <c r="X196" i="18" s="1"/>
  <c r="AH6" i="17"/>
  <c r="X5" i="17"/>
  <c r="AH52" i="17"/>
  <c r="X51" i="17"/>
  <c r="X58" i="17" s="1"/>
  <c r="AH98" i="17"/>
  <c r="X97" i="17"/>
  <c r="X104" i="17" s="1"/>
  <c r="AH144" i="17"/>
  <c r="X143" i="17"/>
  <c r="X150" i="17" s="1"/>
  <c r="AH190" i="17"/>
  <c r="X189" i="17"/>
  <c r="X196" i="17" s="1"/>
  <c r="AH6" i="15"/>
  <c r="X5" i="15"/>
  <c r="AH52" i="15"/>
  <c r="X51" i="15"/>
  <c r="X58" i="15" s="1"/>
  <c r="AH98" i="15"/>
  <c r="X97" i="15"/>
  <c r="X104" i="15" s="1"/>
  <c r="AH144" i="15"/>
  <c r="X143" i="15"/>
  <c r="X150" i="15" s="1"/>
  <c r="AH190" i="15"/>
  <c r="X189" i="15"/>
  <c r="X196" i="15" s="1"/>
  <c r="AH6" i="13"/>
  <c r="X5" i="13"/>
  <c r="AH52" i="13"/>
  <c r="X51" i="13"/>
  <c r="X58" i="13" s="1"/>
  <c r="AH98" i="13"/>
  <c r="X97" i="13"/>
  <c r="X104" i="13" s="1"/>
  <c r="AH144" i="13"/>
  <c r="X143" i="13"/>
  <c r="X150" i="13" s="1"/>
  <c r="AH190" i="13"/>
  <c r="X189" i="13"/>
  <c r="X196" i="13" s="1"/>
  <c r="X98" i="12"/>
  <c r="AI99" i="12"/>
  <c r="AR7" i="12" s="1"/>
  <c r="AV11" i="12"/>
  <c r="AV10" i="12"/>
  <c r="X56" i="12"/>
  <c r="AE10" i="12" s="1"/>
  <c r="AV9" i="12"/>
  <c r="AV8" i="12"/>
  <c r="AV7" i="12"/>
  <c r="AV6" i="12"/>
  <c r="AR11" i="12"/>
  <c r="AR8" i="12"/>
  <c r="AR10" i="12"/>
  <c r="AR9" i="12"/>
  <c r="X52" i="12"/>
  <c r="AI52" i="12"/>
  <c r="AR6" i="12" s="1"/>
  <c r="AH6" i="12"/>
  <c r="X5" i="12"/>
  <c r="AH52" i="12"/>
  <c r="X51" i="12"/>
  <c r="AH98" i="12"/>
  <c r="X97" i="12"/>
  <c r="AH144" i="12"/>
  <c r="X143" i="12"/>
  <c r="X150" i="12" s="1"/>
  <c r="AH190" i="12"/>
  <c r="X189" i="12"/>
  <c r="X196" i="12" s="1"/>
  <c r="AW11" i="11"/>
  <c r="AW10" i="11"/>
  <c r="AW9" i="11"/>
  <c r="X103" i="11"/>
  <c r="AE11" i="11" s="1"/>
  <c r="AN100" i="11"/>
  <c r="AW8" i="11" s="1"/>
  <c r="AW7" i="11"/>
  <c r="AW6" i="11"/>
  <c r="AE12" i="9"/>
  <c r="AH6" i="11"/>
  <c r="X5" i="11"/>
  <c r="AH52" i="11"/>
  <c r="X51" i="11"/>
  <c r="X58" i="11" s="1"/>
  <c r="AH98" i="11"/>
  <c r="X97" i="11"/>
  <c r="AH144" i="11"/>
  <c r="X143" i="11"/>
  <c r="X150" i="11" s="1"/>
  <c r="AH190" i="11"/>
  <c r="X189" i="11"/>
  <c r="X196" i="11" s="1"/>
  <c r="AN6" i="9"/>
  <c r="X11" i="9"/>
  <c r="AM6" i="9"/>
  <c r="X10" i="9"/>
  <c r="AL6" i="9"/>
  <c r="X9" i="9"/>
  <c r="AK6" i="9"/>
  <c r="X8" i="9"/>
  <c r="AJ6" i="9"/>
  <c r="X7" i="9"/>
  <c r="X6" i="9"/>
  <c r="AI6" i="9"/>
  <c r="X5" i="9"/>
  <c r="AN52" i="9"/>
  <c r="X57" i="9"/>
  <c r="AM52" i="9"/>
  <c r="X56" i="9"/>
  <c r="AL52" i="9"/>
  <c r="X55" i="9"/>
  <c r="AK52" i="9"/>
  <c r="X54" i="9"/>
  <c r="AJ52" i="9"/>
  <c r="X53" i="9"/>
  <c r="X52" i="9"/>
  <c r="AI52" i="9"/>
  <c r="X51" i="9"/>
  <c r="X58" i="9" s="1"/>
  <c r="AN98" i="9"/>
  <c r="X103" i="9"/>
  <c r="AM98" i="9"/>
  <c r="X102" i="9"/>
  <c r="AL98" i="9"/>
  <c r="X101" i="9"/>
  <c r="AK98" i="9"/>
  <c r="X100" i="9"/>
  <c r="AJ98" i="9"/>
  <c r="X99" i="9"/>
  <c r="X98" i="9"/>
  <c r="AI98" i="9"/>
  <c r="X97" i="9"/>
  <c r="X104" i="9" s="1"/>
  <c r="AN144" i="9"/>
  <c r="X149" i="9"/>
  <c r="AM144" i="9"/>
  <c r="X148" i="9"/>
  <c r="AL144" i="9"/>
  <c r="X147" i="9"/>
  <c r="AK144" i="9"/>
  <c r="X146" i="9"/>
  <c r="AJ144" i="9"/>
  <c r="X145" i="9"/>
  <c r="X144" i="9"/>
  <c r="AI144" i="9"/>
  <c r="X143" i="9"/>
  <c r="X150" i="9" s="1"/>
  <c r="AN6" i="8"/>
  <c r="X11" i="8"/>
  <c r="AM6" i="8"/>
  <c r="X10" i="8"/>
  <c r="AL6" i="8"/>
  <c r="X9" i="8"/>
  <c r="AK6" i="8"/>
  <c r="X8" i="8"/>
  <c r="AJ6" i="8"/>
  <c r="X7" i="8"/>
  <c r="X6" i="8"/>
  <c r="AI6" i="8"/>
  <c r="X5" i="8"/>
  <c r="AN52" i="8"/>
  <c r="X57" i="8"/>
  <c r="AM52" i="8"/>
  <c r="X56" i="8"/>
  <c r="AL52" i="8"/>
  <c r="X55" i="8"/>
  <c r="AK52" i="8"/>
  <c r="X54" i="8"/>
  <c r="AJ52" i="8"/>
  <c r="X53" i="8"/>
  <c r="X52" i="8"/>
  <c r="AI52" i="8"/>
  <c r="X51" i="8"/>
  <c r="X58" i="8" s="1"/>
  <c r="AN98" i="8"/>
  <c r="X103" i="8"/>
  <c r="AM98" i="8"/>
  <c r="X102" i="8"/>
  <c r="AL98" i="8"/>
  <c r="X101" i="8"/>
  <c r="AK98" i="8"/>
  <c r="X100" i="8"/>
  <c r="AJ98" i="8"/>
  <c r="X99" i="8"/>
  <c r="X98" i="8"/>
  <c r="AI98" i="8"/>
  <c r="X97" i="8"/>
  <c r="X104" i="8" s="1"/>
  <c r="AN144" i="8"/>
  <c r="X149" i="8"/>
  <c r="AM144" i="8"/>
  <c r="X148" i="8"/>
  <c r="AL144" i="8"/>
  <c r="X147" i="8"/>
  <c r="AK144" i="8"/>
  <c r="X146" i="8"/>
  <c r="AJ144" i="8"/>
  <c r="X145" i="8"/>
  <c r="X144" i="8"/>
  <c r="AI144" i="8"/>
  <c r="X143" i="8"/>
  <c r="X150" i="8" s="1"/>
  <c r="AN190" i="8"/>
  <c r="X195" i="8"/>
  <c r="AM190" i="8"/>
  <c r="X194" i="8"/>
  <c r="AL190" i="8"/>
  <c r="X193" i="8"/>
  <c r="AK190" i="8"/>
  <c r="X192" i="8"/>
  <c r="AJ190" i="8"/>
  <c r="X191" i="8"/>
  <c r="X190" i="8"/>
  <c r="AI190" i="8"/>
  <c r="X189" i="8"/>
  <c r="X196" i="8" s="1"/>
  <c r="AH6" i="7"/>
  <c r="X5" i="7"/>
  <c r="AH52" i="7"/>
  <c r="X51" i="7"/>
  <c r="X58" i="7" s="1"/>
  <c r="AH98" i="7"/>
  <c r="X97" i="7"/>
  <c r="X104" i="7" s="1"/>
  <c r="AH144" i="7"/>
  <c r="X143" i="7"/>
  <c r="X150" i="7" s="1"/>
  <c r="AH190" i="7"/>
  <c r="X189" i="7"/>
  <c r="X196" i="7" s="1"/>
  <c r="X7" i="6"/>
  <c r="X14" i="6" s="1"/>
  <c r="AH8" i="6"/>
  <c r="X53" i="6"/>
  <c r="AH54" i="6"/>
  <c r="AE8" i="6"/>
  <c r="X99" i="6"/>
  <c r="X106" i="6" s="1"/>
  <c r="J1" i="6" s="1"/>
  <c r="AH100" i="6"/>
  <c r="X145" i="6"/>
  <c r="X152" i="6" s="1"/>
  <c r="M1" i="6" s="1"/>
  <c r="AH146" i="6"/>
  <c r="X191" i="6"/>
  <c r="X198" i="6" s="1"/>
  <c r="P1" i="6" s="1"/>
  <c r="AH192" i="6"/>
  <c r="AU8" i="6"/>
  <c r="AU9" i="6"/>
  <c r="AU10" i="6"/>
  <c r="AU11" i="6"/>
  <c r="AU12" i="6"/>
  <c r="AU13" i="6"/>
  <c r="AV8" i="6"/>
  <c r="AV9" i="6"/>
  <c r="AV10" i="6"/>
  <c r="AV11" i="6"/>
  <c r="AV12" i="6"/>
  <c r="AV13" i="6"/>
  <c r="AE9" i="6"/>
  <c r="AE10" i="6"/>
  <c r="AS134" i="3"/>
  <c r="AS133" i="3"/>
  <c r="AS117" i="3"/>
  <c r="AL118" i="3"/>
  <c r="AL80" i="3"/>
  <c r="X60" i="6"/>
  <c r="G1" i="6" s="1"/>
  <c r="AE7" i="6"/>
  <c r="AB6" i="6"/>
  <c r="D1" i="6"/>
  <c r="X5" i="5"/>
  <c r="AE5" i="5" s="1"/>
  <c r="X8" i="5"/>
  <c r="AE8" i="5" s="1"/>
  <c r="X7" i="5"/>
  <c r="AE7" i="5" s="1"/>
  <c r="X6" i="5"/>
  <c r="AE6" i="5" s="1"/>
  <c r="X11" i="5"/>
  <c r="AE11" i="5" s="1"/>
  <c r="X10" i="5"/>
  <c r="AE10" i="5" s="1"/>
  <c r="X9" i="5"/>
  <c r="AE9" i="5" s="1"/>
  <c r="AJ132" i="3"/>
  <c r="AJ135" i="3"/>
  <c r="AJ122" i="3"/>
  <c r="AF136" i="3"/>
  <c r="H136" i="3"/>
  <c r="E136" i="3"/>
  <c r="K22" i="3"/>
  <c r="R2" i="3" s="1"/>
  <c r="R21" i="3"/>
  <c r="AS41" i="3"/>
  <c r="AL42" i="3"/>
  <c r="AQ136" i="3"/>
  <c r="R124" i="3"/>
  <c r="AA41" i="3"/>
  <c r="B61" i="3"/>
  <c r="AG136" i="3"/>
  <c r="AC136" i="3"/>
  <c r="AI136" i="3"/>
  <c r="R127" i="3"/>
  <c r="AS128" i="3"/>
  <c r="AS79" i="3"/>
  <c r="R98" i="3"/>
  <c r="V136" i="3"/>
  <c r="AS120" i="3"/>
  <c r="AS121" i="3"/>
  <c r="AS123" i="3"/>
  <c r="AA125" i="3"/>
  <c r="I21" i="3"/>
  <c r="AJ41" i="3"/>
  <c r="R60" i="3"/>
  <c r="F136" i="3"/>
  <c r="I136" i="3" s="1"/>
  <c r="I124" i="3"/>
  <c r="AJ125" i="3"/>
  <c r="AA130" i="3"/>
  <c r="I132" i="3"/>
  <c r="R134" i="3"/>
  <c r="K42" i="3"/>
  <c r="R41" i="3"/>
  <c r="B22" i="3"/>
  <c r="I41" i="3"/>
  <c r="AJ79" i="3"/>
  <c r="B99" i="3"/>
  <c r="AA120" i="3"/>
  <c r="AA122" i="3"/>
  <c r="T136" i="3"/>
  <c r="AJ123" i="3"/>
  <c r="R125" i="3"/>
  <c r="AS126" i="3"/>
  <c r="AA128" i="3"/>
  <c r="I130" i="3"/>
  <c r="AJ131" i="3"/>
  <c r="AS135" i="3"/>
  <c r="N136" i="3"/>
  <c r="AO136" i="3"/>
  <c r="AS21" i="3"/>
  <c r="T22" i="3"/>
  <c r="T99" i="3"/>
  <c r="AC99" i="3"/>
  <c r="AA117" i="3"/>
  <c r="X136" i="3"/>
  <c r="AJ120" i="3"/>
  <c r="I121" i="3"/>
  <c r="AA123" i="3"/>
  <c r="I125" i="3"/>
  <c r="AJ126" i="3"/>
  <c r="R128" i="3"/>
  <c r="AS129" i="3"/>
  <c r="AA131" i="3"/>
  <c r="AS132" i="3"/>
  <c r="AA133" i="3"/>
  <c r="AC22" i="3"/>
  <c r="AJ21" i="3"/>
  <c r="AL22" i="3"/>
  <c r="AL61" i="3"/>
  <c r="R79" i="3"/>
  <c r="B118" i="3"/>
  <c r="AC118" i="3"/>
  <c r="M136" i="3"/>
  <c r="Y136" i="3"/>
  <c r="AR136" i="3"/>
  <c r="K136" i="3"/>
  <c r="R123" i="3"/>
  <c r="AS124" i="3"/>
  <c r="AA126" i="3"/>
  <c r="I128" i="3"/>
  <c r="AJ129" i="3"/>
  <c r="R131" i="3"/>
  <c r="AA132" i="3"/>
  <c r="B80" i="3"/>
  <c r="I60" i="3"/>
  <c r="AA60" i="3"/>
  <c r="AS60" i="3"/>
  <c r="T80" i="3"/>
  <c r="AC80" i="3"/>
  <c r="AL136" i="3"/>
  <c r="X12" i="18" l="1"/>
  <c r="AB4" i="18" s="1"/>
  <c r="AE5" i="18"/>
  <c r="AE12" i="18" s="1"/>
  <c r="AQ6" i="18"/>
  <c r="X12" i="17"/>
  <c r="AB4" i="17" s="1"/>
  <c r="AE5" i="17"/>
  <c r="AE12" i="17" s="1"/>
  <c r="AQ6" i="17"/>
  <c r="X12" i="15"/>
  <c r="AB4" i="15" s="1"/>
  <c r="AE5" i="15"/>
  <c r="AE12" i="15" s="1"/>
  <c r="AQ6" i="15"/>
  <c r="X12" i="13"/>
  <c r="AB4" i="13" s="1"/>
  <c r="AE5" i="13"/>
  <c r="AE12" i="13" s="1"/>
  <c r="AQ6" i="13"/>
  <c r="AE6" i="12"/>
  <c r="X104" i="12"/>
  <c r="X58" i="12"/>
  <c r="X12" i="12"/>
  <c r="AE5" i="12"/>
  <c r="AQ6" i="12"/>
  <c r="X104" i="11"/>
  <c r="X12" i="11"/>
  <c r="AE5" i="11"/>
  <c r="AE12" i="11" s="1"/>
  <c r="AQ6" i="11"/>
  <c r="AR6" i="9"/>
  <c r="AS6" i="9"/>
  <c r="AT6" i="9"/>
  <c r="AU6" i="9"/>
  <c r="AV6" i="9"/>
  <c r="AW6" i="9"/>
  <c r="X12" i="9"/>
  <c r="AB4" i="9" s="1"/>
  <c r="AE5" i="8"/>
  <c r="X12" i="8"/>
  <c r="AB4" i="8" s="1"/>
  <c r="AR6" i="8"/>
  <c r="AE6" i="8"/>
  <c r="AE7" i="8"/>
  <c r="AS6" i="8"/>
  <c r="AE8" i="8"/>
  <c r="AT6" i="8"/>
  <c r="AE9" i="8"/>
  <c r="AU6" i="8"/>
  <c r="AE10" i="8"/>
  <c r="AV6" i="8"/>
  <c r="AE11" i="8"/>
  <c r="AW6" i="8"/>
  <c r="X12" i="7"/>
  <c r="AB4" i="7" s="1"/>
  <c r="AE5" i="7"/>
  <c r="AE12" i="7" s="1"/>
  <c r="AQ6" i="7"/>
  <c r="AQ8" i="6"/>
  <c r="AE12" i="5"/>
  <c r="AE14" i="6"/>
  <c r="S1" i="6"/>
  <c r="X12" i="5"/>
  <c r="AB4" i="5" s="1"/>
  <c r="AJ2" i="3"/>
  <c r="AA2" i="3"/>
  <c r="I2" i="3"/>
  <c r="AJ136" i="3"/>
  <c r="AA136" i="3"/>
  <c r="R136" i="3"/>
  <c r="AE12" i="12" l="1"/>
  <c r="AB4" i="12"/>
  <c r="AB4" i="11"/>
  <c r="AE12" i="8"/>
  <c r="AM98" i="3"/>
  <c r="AL99" i="3" s="1"/>
  <c r="AS2" i="3" s="1"/>
  <c r="C2" i="3" s="1"/>
  <c r="AS98" i="3"/>
  <c r="AM131" i="3"/>
  <c r="AM136" i="3" s="1"/>
  <c r="AS136" i="3" s="1"/>
  <c r="AS131" i="3"/>
  <c r="AS93" i="3"/>
</calcChain>
</file>

<file path=xl/sharedStrings.xml><?xml version="1.0" encoding="utf-8"?>
<sst xmlns="http://schemas.openxmlformats.org/spreadsheetml/2006/main" count="9741" uniqueCount="150">
  <si>
    <t>Wellness - Hourly Member Count</t>
  </si>
  <si>
    <t>AM Shifts</t>
  </si>
  <si>
    <t>Week of:</t>
  </si>
  <si>
    <t>Time</t>
  </si>
  <si>
    <t>Section</t>
  </si>
  <si>
    <t>Saturday</t>
  </si>
  <si>
    <t>Sunday</t>
  </si>
  <si>
    <t>Monday</t>
  </si>
  <si>
    <t>Tuesday</t>
  </si>
  <si>
    <t>Wednesday</t>
  </si>
  <si>
    <t>Thursday</t>
  </si>
  <si>
    <t>Friday</t>
  </si>
  <si>
    <t>5-6am</t>
  </si>
  <si>
    <t>Cardio</t>
  </si>
  <si>
    <t>eGym</t>
  </si>
  <si>
    <t>Free Weight</t>
  </si>
  <si>
    <t>Track</t>
  </si>
  <si>
    <t>Stretch &amp; Core</t>
  </si>
  <si>
    <t>SPC</t>
  </si>
  <si>
    <t>6-7am</t>
  </si>
  <si>
    <t>7-8am</t>
  </si>
  <si>
    <t>8-9am</t>
  </si>
  <si>
    <t>9-10am</t>
  </si>
  <si>
    <t>10-11am</t>
  </si>
  <si>
    <t>11-12pm</t>
  </si>
  <si>
    <t>12-1pm</t>
  </si>
  <si>
    <t>PM Shifts</t>
  </si>
  <si>
    <t>1-2pm</t>
  </si>
  <si>
    <t>2-3pm</t>
  </si>
  <si>
    <t>3-4pm</t>
  </si>
  <si>
    <t>4-5pm</t>
  </si>
  <si>
    <t>5-6pm</t>
  </si>
  <si>
    <t>6-7pm</t>
  </si>
  <si>
    <t>7-8pm</t>
  </si>
  <si>
    <t>8-9pm</t>
  </si>
  <si>
    <t>Day</t>
  </si>
  <si>
    <t>March 2025 Wellness Room Head Count</t>
  </si>
  <si>
    <t>Cumulative Monthly Total:</t>
  </si>
  <si>
    <t>Cumulative Weekly Total:</t>
  </si>
  <si>
    <t xml:space="preserve">Week of: </t>
  </si>
  <si>
    <t>Weekly AVG</t>
  </si>
  <si>
    <t>Cardio AVG</t>
  </si>
  <si>
    <t>Daily Total</t>
  </si>
  <si>
    <t>Week Total:</t>
  </si>
  <si>
    <t>eGym AVG</t>
  </si>
  <si>
    <t>Weight AVG</t>
  </si>
  <si>
    <t>Track AVG</t>
  </si>
  <si>
    <t>Stretch + Core</t>
  </si>
  <si>
    <t>S+C AVG</t>
  </si>
  <si>
    <t>SPC AVG</t>
  </si>
  <si>
    <t xml:space="preserve">ALL </t>
  </si>
  <si>
    <t>ALL AVG</t>
  </si>
  <si>
    <t>Totals</t>
  </si>
  <si>
    <t>Month</t>
  </si>
  <si>
    <t>Week of: 3/29/25</t>
  </si>
  <si>
    <t>Total</t>
  </si>
  <si>
    <t>Month total:</t>
  </si>
  <si>
    <t>Month AVG by Day:</t>
  </si>
  <si>
    <t>Weekly Totals by Room</t>
  </si>
  <si>
    <t xml:space="preserve"> Monthly Totals by Room</t>
  </si>
  <si>
    <t>Busiest Day of the Week</t>
  </si>
  <si>
    <t xml:space="preserve">Tuesday </t>
  </si>
  <si>
    <t>Busiest Time of Day</t>
  </si>
  <si>
    <t>Total for Week</t>
  </si>
  <si>
    <t>Week of: 4/5/2025</t>
  </si>
  <si>
    <t>n/a</t>
  </si>
  <si>
    <t>Week of: 4/12/2025</t>
  </si>
  <si>
    <t>12+</t>
  </si>
  <si>
    <t>Week of: 4/19/2025</t>
  </si>
  <si>
    <t>Easter Sunday - Branch Closed</t>
  </si>
  <si>
    <t>Week of: 4/26/2025</t>
  </si>
  <si>
    <t>Week of: 4/26/25</t>
  </si>
  <si>
    <t>Week of: 5/3/2025</t>
  </si>
  <si>
    <t>Tues</t>
  </si>
  <si>
    <t>Busiest Section</t>
  </si>
  <si>
    <t>Week of: 5/10/2025</t>
  </si>
  <si>
    <t>Week of: 5/17/2025</t>
  </si>
  <si>
    <t>Week of: 5/17</t>
  </si>
  <si>
    <t>NC</t>
  </si>
  <si>
    <t>Week of: 5/24</t>
  </si>
  <si>
    <t>Memorial Day - hours altered</t>
  </si>
  <si>
    <t>Week of: 05/31/25</t>
  </si>
  <si>
    <t>Week of: 06/07/25</t>
  </si>
  <si>
    <t>Week of: 06/14/25</t>
  </si>
  <si>
    <t>Week of: 06/21/25</t>
  </si>
  <si>
    <t>Week of: 06/28/25</t>
  </si>
  <si>
    <t xml:space="preserve">Week of: 06/28/25		</t>
  </si>
  <si>
    <t>Week of: 7/5/25</t>
  </si>
  <si>
    <t>Week of: 7/12/25</t>
  </si>
  <si>
    <t>\7</t>
  </si>
  <si>
    <t>Week of: 7/19/25</t>
  </si>
  <si>
    <t>Week of: 7/26/25</t>
  </si>
  <si>
    <t>Week of: 8/2/25</t>
  </si>
  <si>
    <t>Week of: 8/9/2025</t>
  </si>
  <si>
    <t>Week of: 08/9/2025</t>
  </si>
  <si>
    <t>Week of: 8/09/2025</t>
  </si>
  <si>
    <t>Week of: 8/16/2025</t>
  </si>
  <si>
    <t>Week of: 8/23/2025</t>
  </si>
  <si>
    <t>GO TO SEPTEMBER</t>
  </si>
  <si>
    <t>Week of: 09/01/25</t>
  </si>
  <si>
    <t>L</t>
  </si>
  <si>
    <t>A</t>
  </si>
  <si>
    <t>B</t>
  </si>
  <si>
    <t>O</t>
  </si>
  <si>
    <t>R</t>
  </si>
  <si>
    <t>D</t>
  </si>
  <si>
    <t>Y</t>
  </si>
  <si>
    <t>Week of: 09/6/25</t>
  </si>
  <si>
    <t>Week of: 9/6/25</t>
  </si>
  <si>
    <t>Week of: 9/13/2025</t>
  </si>
  <si>
    <t>Week of: 9/20/2025</t>
  </si>
  <si>
    <t>Week of: 9/27/2025</t>
  </si>
  <si>
    <t xml:space="preserve">GO </t>
  </si>
  <si>
    <t>TO</t>
  </si>
  <si>
    <t>C</t>
  </si>
  <si>
    <t>T</t>
  </si>
  <si>
    <t>E</t>
  </si>
  <si>
    <t>Week of: 10/1/2025</t>
  </si>
  <si>
    <t>Week of: 10/04/2025</t>
  </si>
  <si>
    <t>Week of: 10/4/2025</t>
  </si>
  <si>
    <t>Week of:10/12/25</t>
  </si>
  <si>
    <t>Week of:10/18/25-10/24/25</t>
  </si>
  <si>
    <t>Week of: 10/18/25-10/24/25</t>
  </si>
  <si>
    <t>Week of:10/25/25-10/31/25</t>
  </si>
  <si>
    <t>Week of: 10/25/25-10/31/25</t>
  </si>
  <si>
    <t>Week of: 11/8/2025</t>
  </si>
  <si>
    <t>Week  of 11/15/2025</t>
  </si>
  <si>
    <t>Week of: 11/15/2025</t>
  </si>
  <si>
    <t>Week of: 11/22/25</t>
  </si>
  <si>
    <t>NA</t>
  </si>
  <si>
    <t>Week of: 11/29/25</t>
  </si>
  <si>
    <t>][0o9i</t>
  </si>
  <si>
    <t>Week of: 12/27-1/2</t>
  </si>
  <si>
    <t>wr 3Zx1D</t>
  </si>
  <si>
    <t>12/27/25-1/2/26</t>
  </si>
  <si>
    <t>Week of: 1/3/2026</t>
  </si>
  <si>
    <t>2025 Trends</t>
  </si>
  <si>
    <t>Q2</t>
  </si>
  <si>
    <t xml:space="preserve"> Monthly Totals by Room - April 2025</t>
  </si>
  <si>
    <t>Sum</t>
  </si>
  <si>
    <t xml:space="preserve"> Monthly Totals by Room - May 2025</t>
  </si>
  <si>
    <t xml:space="preserve"> Monthly Totals by Room - June 2025</t>
  </si>
  <si>
    <t>Q3</t>
  </si>
  <si>
    <t xml:space="preserve"> Monthly Totals by Room - July 2025</t>
  </si>
  <si>
    <t xml:space="preserve"> Monthly Totals by Room - August 2025</t>
  </si>
  <si>
    <t xml:space="preserve"> Monthly Totals by Room - September 2025</t>
  </si>
  <si>
    <t>Q4</t>
  </si>
  <si>
    <t xml:space="preserve"> Monthly Totals by Room - October 2025</t>
  </si>
  <si>
    <t xml:space="preserve"> Monthly Totals by Room - November 2025</t>
  </si>
  <si>
    <t xml:space="preserve"> Monthly Totals by Room - December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</si>
</sst>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"/>
  </numFmts>
  <fonts count="17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sz val="10"/>
      <name val="Arial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b/>
      <sz val="16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rgb="FF000000"/>
      <name val="Arial"/>
      <scheme val="minor"/>
    </font>
    <font>
      <b/>
      <sz val="12"/>
      <color rgb="FF000000"/>
      <name val="Arial"/>
      <scheme val="minor"/>
    </font>
    <font>
      <b/>
      <sz val="12"/>
      <color theme="1"/>
      <name val="Arial"/>
      <scheme val="major"/>
    </font>
    <font>
      <sz val="10"/>
      <name val="Arial"/>
      <scheme val="major"/>
    </font>
    <font>
      <sz val="14"/>
      <color theme="1"/>
      <name val="Arial"/>
      <scheme val="minor"/>
    </font>
    <font>
      <sz val="12"/>
      <name val="Arial"/>
    </font>
    <font>
      <sz val="11"/>
      <color theme="1"/>
      <name val="Arial"/>
      <scheme val="minor"/>
    </font>
    <font>
      <b/>
      <sz val="16"/>
      <color rgb="FF000000"/>
      <name val="Arial"/>
      <scheme val="minor"/>
    </font>
    <font>
      <sz val="12"/>
      <color rgb="FFFF0000"/>
      <name val="Arial"/>
      <scheme val="minor"/>
    </font>
    <font>
      <sz val="12"/>
      <color theme="1"/>
      <name val="Arial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93C47D"/>
        <bgColor rgb="FF93C47D"/>
      </patternFill>
    </fill>
    <fill>
      <patternFill patternType="solid">
        <fgColor rgb="FF76A5AF"/>
        <bgColor rgb="FF76A5AF"/>
      </patternFill>
    </fill>
    <fill>
      <patternFill patternType="solid">
        <fgColor rgb="FF6D9EEB"/>
        <bgColor rgb="FF6D9EEB"/>
      </patternFill>
    </fill>
    <fill>
      <patternFill patternType="solid">
        <fgColor rgb="FF8E7CC3"/>
        <bgColor rgb="FF8E7CC3"/>
      </patternFill>
    </fill>
    <fill>
      <patternFill patternType="solid">
        <fgColor rgb="FFC27BA0"/>
        <bgColor rgb="FFC27BA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2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4" xfId="0" applyFont="1" applyBorder="1"/>
    <xf numFmtId="0" fontId="4" fillId="3" borderId="4" xfId="0" applyFont="1" applyFill="1" applyBorder="1"/>
    <xf numFmtId="0" fontId="6" fillId="5" borderId="4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6" fillId="6" borderId="1" xfId="0" applyFont="1" applyFill="1" applyBorder="1"/>
    <xf numFmtId="0" fontId="6" fillId="7" borderId="8" xfId="0" applyFont="1" applyFill="1" applyBorder="1" applyAlignment="1">
      <alignment horizontal="center"/>
    </xf>
    <xf numFmtId="0" fontId="6" fillId="7" borderId="10" xfId="0" applyFont="1" applyFill="1" applyBorder="1" applyAlignment="1">
      <alignment horizontal="center"/>
    </xf>
    <xf numFmtId="0" fontId="6" fillId="7" borderId="0" xfId="0" applyFont="1" applyFill="1" applyAlignment="1">
      <alignment horizontal="center"/>
    </xf>
    <xf numFmtId="0" fontId="4" fillId="6" borderId="11" xfId="0" applyFont="1" applyFill="1" applyBorder="1"/>
    <xf numFmtId="0" fontId="6" fillId="7" borderId="12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"/>
    </xf>
    <xf numFmtId="164" fontId="6" fillId="2" borderId="13" xfId="0" applyNumberFormat="1" applyFont="1" applyFill="1" applyBorder="1" applyAlignment="1">
      <alignment horizontal="center"/>
    </xf>
    <xf numFmtId="0" fontId="4" fillId="0" borderId="14" xfId="0" applyFont="1" applyBorder="1"/>
    <xf numFmtId="0" fontId="6" fillId="2" borderId="15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8" borderId="11" xfId="0" applyFont="1" applyFill="1" applyBorder="1"/>
    <xf numFmtId="0" fontId="6" fillId="2" borderId="16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0" borderId="11" xfId="0" applyFont="1" applyBorder="1"/>
    <xf numFmtId="0" fontId="4" fillId="0" borderId="17" xfId="0" applyFont="1" applyBorder="1" applyAlignment="1">
      <alignment horizontal="center" vertical="center"/>
    </xf>
    <xf numFmtId="0" fontId="6" fillId="0" borderId="4" xfId="0" applyFont="1" applyBorder="1"/>
    <xf numFmtId="0" fontId="6" fillId="0" borderId="17" xfId="0" applyFont="1" applyBorder="1"/>
    <xf numFmtId="0" fontId="6" fillId="9" borderId="4" xfId="0" applyFont="1" applyFill="1" applyBorder="1"/>
    <xf numFmtId="0" fontId="4" fillId="9" borderId="4" xfId="0" applyFont="1" applyFill="1" applyBorder="1"/>
    <xf numFmtId="0" fontId="6" fillId="9" borderId="17" xfId="0" applyFont="1" applyFill="1" applyBorder="1"/>
    <xf numFmtId="0" fontId="6" fillId="10" borderId="4" xfId="0" applyFont="1" applyFill="1" applyBorder="1" applyAlignment="1">
      <alignment horizontal="center" vertical="center"/>
    </xf>
    <xf numFmtId="0" fontId="6" fillId="10" borderId="17" xfId="0" applyFont="1" applyFill="1" applyBorder="1" applyAlignment="1">
      <alignment horizontal="center" vertical="center"/>
    </xf>
    <xf numFmtId="0" fontId="6" fillId="11" borderId="4" xfId="0" applyFont="1" applyFill="1" applyBorder="1" applyAlignment="1">
      <alignment horizontal="center" vertical="center"/>
    </xf>
    <xf numFmtId="0" fontId="6" fillId="11" borderId="17" xfId="0" applyFont="1" applyFill="1" applyBorder="1" applyAlignment="1">
      <alignment horizontal="center" vertical="center"/>
    </xf>
    <xf numFmtId="0" fontId="6" fillId="12" borderId="4" xfId="0" applyFont="1" applyFill="1" applyBorder="1" applyAlignment="1">
      <alignment horizontal="center" vertical="center"/>
    </xf>
    <xf numFmtId="0" fontId="6" fillId="12" borderId="17" xfId="0" applyFont="1" applyFill="1" applyBorder="1" applyAlignment="1">
      <alignment horizontal="center" vertical="center"/>
    </xf>
    <xf numFmtId="0" fontId="6" fillId="13" borderId="4" xfId="0" applyFont="1" applyFill="1" applyBorder="1" applyAlignment="1">
      <alignment horizontal="center" vertical="center"/>
    </xf>
    <xf numFmtId="0" fontId="6" fillId="13" borderId="17" xfId="0" applyFont="1" applyFill="1" applyBorder="1" applyAlignment="1">
      <alignment horizontal="center" vertical="center"/>
    </xf>
    <xf numFmtId="0" fontId="6" fillId="14" borderId="4" xfId="0" applyFont="1" applyFill="1" applyBorder="1" applyAlignment="1">
      <alignment horizontal="center" vertical="center"/>
    </xf>
    <xf numFmtId="0" fontId="6" fillId="14" borderId="17" xfId="0" applyFont="1" applyFill="1" applyBorder="1" applyAlignment="1">
      <alignment horizontal="center" vertical="center"/>
    </xf>
    <xf numFmtId="0" fontId="4" fillId="0" borderId="18" xfId="0" applyFont="1" applyBorder="1"/>
    <xf numFmtId="0" fontId="3" fillId="3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4" xfId="0" applyBorder="1"/>
    <xf numFmtId="0" fontId="3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/>
    <xf numFmtId="0" fontId="4" fillId="3" borderId="1" xfId="0" applyFont="1" applyFill="1" applyBorder="1"/>
    <xf numFmtId="0" fontId="1" fillId="2" borderId="5" xfId="0" applyFont="1" applyFill="1" applyBorder="1" applyAlignment="1">
      <alignment horizontal="center" vertical="center"/>
    </xf>
    <xf numFmtId="0" fontId="0" fillId="15" borderId="4" xfId="0" applyFill="1" applyBorder="1"/>
    <xf numFmtId="0" fontId="3" fillId="3" borderId="20" xfId="0" applyFont="1" applyFill="1" applyBorder="1" applyAlignment="1">
      <alignment horizontal="center" vertical="center"/>
    </xf>
    <xf numFmtId="0" fontId="3" fillId="4" borderId="20" xfId="0" applyFont="1" applyFill="1" applyBorder="1" applyAlignment="1">
      <alignment horizontal="center" vertical="center"/>
    </xf>
    <xf numFmtId="0" fontId="3" fillId="4" borderId="22" xfId="0" applyFont="1" applyFill="1" applyBorder="1" applyAlignment="1">
      <alignment horizontal="center" vertical="center"/>
    </xf>
    <xf numFmtId="0" fontId="0" fillId="0" borderId="23" xfId="0" applyBorder="1"/>
    <xf numFmtId="0" fontId="0" fillId="0" borderId="25" xfId="0" applyBorder="1"/>
    <xf numFmtId="0" fontId="3" fillId="3" borderId="27" xfId="0" applyFont="1" applyFill="1" applyBorder="1" applyAlignment="1">
      <alignment horizontal="center" vertical="center"/>
    </xf>
    <xf numFmtId="0" fontId="0" fillId="0" borderId="30" xfId="0" applyBorder="1"/>
    <xf numFmtId="0" fontId="3" fillId="0" borderId="20" xfId="0" applyFont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0" fillId="0" borderId="31" xfId="0" applyBorder="1"/>
    <xf numFmtId="0" fontId="3" fillId="3" borderId="22" xfId="0" applyFont="1" applyFill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0" borderId="20" xfId="0" applyFont="1" applyBorder="1"/>
    <xf numFmtId="0" fontId="4" fillId="0" borderId="22" xfId="0" applyFont="1" applyBorder="1"/>
    <xf numFmtId="0" fontId="4" fillId="3" borderId="20" xfId="0" applyFont="1" applyFill="1" applyBorder="1"/>
    <xf numFmtId="0" fontId="4" fillId="3" borderId="22" xfId="0" applyFont="1" applyFill="1" applyBorder="1"/>
    <xf numFmtId="0" fontId="4" fillId="3" borderId="27" xfId="0" applyFont="1" applyFill="1" applyBorder="1"/>
    <xf numFmtId="0" fontId="4" fillId="3" borderId="29" xfId="0" applyFont="1" applyFill="1" applyBorder="1"/>
    <xf numFmtId="0" fontId="4" fillId="0" borderId="5" xfId="0" applyFont="1" applyBorder="1"/>
    <xf numFmtId="0" fontId="4" fillId="0" borderId="8" xfId="0" applyFont="1" applyBorder="1"/>
    <xf numFmtId="0" fontId="7" fillId="15" borderId="4" xfId="0" applyFont="1" applyFill="1" applyBorder="1"/>
    <xf numFmtId="0" fontId="0" fillId="0" borderId="5" xfId="0" applyBorder="1"/>
    <xf numFmtId="0" fontId="0" fillId="15" borderId="5" xfId="0" applyFill="1" applyBorder="1"/>
    <xf numFmtId="0" fontId="0" fillId="16" borderId="4" xfId="0" applyFill="1" applyBorder="1"/>
    <xf numFmtId="0" fontId="0" fillId="0" borderId="13" xfId="0" applyBorder="1"/>
    <xf numFmtId="0" fontId="7" fillId="15" borderId="0" xfId="0" applyFont="1" applyFill="1"/>
    <xf numFmtId="0" fontId="8" fillId="16" borderId="13" xfId="0" applyFont="1" applyFill="1" applyBorder="1"/>
    <xf numFmtId="0" fontId="7" fillId="16" borderId="4" xfId="0" applyFont="1" applyFill="1" applyBorder="1"/>
    <xf numFmtId="16" fontId="7" fillId="16" borderId="4" xfId="0" applyNumberFormat="1" applyFont="1" applyFill="1" applyBorder="1"/>
    <xf numFmtId="0" fontId="3" fillId="3" borderId="29" xfId="0" applyFont="1" applyFill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7" fillId="0" borderId="4" xfId="0" applyFont="1" applyBorder="1"/>
    <xf numFmtId="0" fontId="7" fillId="0" borderId="7" xfId="0" applyFont="1" applyBorder="1"/>
    <xf numFmtId="0" fontId="3" fillId="0" borderId="20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35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7" xfId="0" applyBorder="1" applyAlignment="1">
      <alignment horizontal="center"/>
    </xf>
    <xf numFmtId="0" fontId="13" fillId="3" borderId="20" xfId="0" applyFont="1" applyFill="1" applyBorder="1"/>
    <xf numFmtId="0" fontId="13" fillId="3" borderId="7" xfId="0" applyFont="1" applyFill="1" applyBorder="1"/>
    <xf numFmtId="0" fontId="13" fillId="3" borderId="4" xfId="0" applyFont="1" applyFill="1" applyBorder="1"/>
    <xf numFmtId="0" fontId="13" fillId="3" borderId="27" xfId="0" applyFont="1" applyFill="1" applyBorder="1"/>
    <xf numFmtId="0" fontId="13" fillId="3" borderId="20" xfId="0" applyFont="1" applyFill="1" applyBorder="1" applyAlignment="1">
      <alignment horizontal="center"/>
    </xf>
    <xf numFmtId="0" fontId="13" fillId="3" borderId="4" xfId="0" applyFont="1" applyFill="1" applyBorder="1" applyAlignment="1">
      <alignment horizontal="center"/>
    </xf>
    <xf numFmtId="0" fontId="13" fillId="3" borderId="27" xfId="0" applyFont="1" applyFill="1" applyBorder="1" applyAlignment="1">
      <alignment horizontal="center"/>
    </xf>
    <xf numFmtId="0" fontId="13" fillId="3" borderId="22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13" fillId="3" borderId="29" xfId="0" applyFont="1" applyFill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3" borderId="20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27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29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2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15" borderId="4" xfId="0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7" fillId="15" borderId="4" xfId="0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15" borderId="5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16" borderId="4" xfId="0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30" xfId="0" applyBorder="1" applyAlignment="1">
      <alignment horizontal="center"/>
    </xf>
    <xf numFmtId="0" fontId="7" fillId="17" borderId="4" xfId="0" applyFont="1" applyFill="1" applyBorder="1"/>
    <xf numFmtId="0" fontId="14" fillId="0" borderId="0" xfId="0" applyFont="1" applyAlignment="1">
      <alignment horizontal="center"/>
    </xf>
    <xf numFmtId="0" fontId="7" fillId="0" borderId="37" xfId="0" applyFont="1" applyBorder="1"/>
    <xf numFmtId="0" fontId="0" fillId="0" borderId="1" xfId="0" applyBorder="1"/>
    <xf numFmtId="0" fontId="0" fillId="18" borderId="0" xfId="0" applyFill="1"/>
    <xf numFmtId="0" fontId="3" fillId="18" borderId="4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15" fillId="18" borderId="20" xfId="0" applyFont="1" applyFill="1" applyBorder="1" applyAlignment="1">
      <alignment horizontal="center" vertical="center"/>
    </xf>
    <xf numFmtId="0" fontId="3" fillId="18" borderId="22" xfId="0" applyFont="1" applyFill="1" applyBorder="1" applyAlignment="1">
      <alignment horizontal="center" vertical="center"/>
    </xf>
    <xf numFmtId="0" fontId="16" fillId="0" borderId="20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3" fillId="3" borderId="20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27" xfId="0" applyFont="1" applyFill="1" applyBorder="1" applyAlignment="1">
      <alignment horizontal="center"/>
    </xf>
    <xf numFmtId="0" fontId="3" fillId="3" borderId="22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29" xfId="0" applyFont="1" applyFill="1" applyBorder="1" applyAlignment="1">
      <alignment horizontal="center"/>
    </xf>
    <xf numFmtId="0" fontId="3" fillId="4" borderId="20" xfId="0" applyFont="1" applyFill="1" applyBorder="1" applyAlignment="1">
      <alignment vertical="center"/>
    </xf>
    <xf numFmtId="0" fontId="3" fillId="3" borderId="20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3" fillId="4" borderId="5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3" borderId="27" xfId="0" applyFont="1" applyFill="1" applyBorder="1" applyAlignment="1">
      <alignment vertical="center"/>
    </xf>
    <xf numFmtId="0" fontId="4" fillId="0" borderId="20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7" fillId="16" borderId="32" xfId="0" applyFont="1" applyFill="1" applyBorder="1" applyAlignment="1">
      <alignment horizontal="center"/>
    </xf>
    <xf numFmtId="0" fontId="7" fillId="16" borderId="34" xfId="0" applyFont="1" applyFill="1" applyBorder="1" applyAlignment="1">
      <alignment horizontal="center"/>
    </xf>
    <xf numFmtId="0" fontId="7" fillId="16" borderId="33" xfId="0" applyFont="1" applyFill="1" applyBorder="1" applyAlignment="1">
      <alignment horizontal="center"/>
    </xf>
    <xf numFmtId="0" fontId="3" fillId="0" borderId="19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left" vertical="center"/>
    </xf>
    <xf numFmtId="0" fontId="1" fillId="2" borderId="33" xfId="0" applyFont="1" applyFill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1" fillId="2" borderId="34" xfId="0" applyFont="1" applyFill="1" applyBorder="1" applyAlignment="1">
      <alignment horizontal="left" vertical="center"/>
    </xf>
    <xf numFmtId="0" fontId="2" fillId="0" borderId="2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2" borderId="32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34" xfId="0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0" fontId="3" fillId="3" borderId="21" xfId="0" applyFont="1" applyFill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7" fillId="0" borderId="32" xfId="0" applyFont="1" applyBorder="1" applyAlignment="1">
      <alignment horizontal="center"/>
    </xf>
    <xf numFmtId="0" fontId="7" fillId="0" borderId="34" xfId="0" applyFont="1" applyBorder="1" applyAlignment="1">
      <alignment horizontal="center"/>
    </xf>
    <xf numFmtId="0" fontId="7" fillId="0" borderId="33" xfId="0" applyFont="1" applyBorder="1" applyAlignment="1">
      <alignment horizontal="center"/>
    </xf>
    <xf numFmtId="0" fontId="2" fillId="0" borderId="2" xfId="0" applyFont="1" applyBorder="1" applyAlignment="1"/>
    <xf numFmtId="0" fontId="2" fillId="0" borderId="3" xfId="0" applyFont="1" applyBorder="1" applyAlignment="1"/>
    <xf numFmtId="0" fontId="2" fillId="0" borderId="6" xfId="0" applyFont="1" applyBorder="1" applyAlignment="1"/>
    <xf numFmtId="0" fontId="2" fillId="0" borderId="7" xfId="0" applyFont="1" applyBorder="1" applyAlignment="1"/>
    <xf numFmtId="0" fontId="2" fillId="0" borderId="9" xfId="0" applyFont="1" applyBorder="1" applyAlignment="1"/>
    <xf numFmtId="0" fontId="2" fillId="0" borderId="24" xfId="0" applyFont="1" applyBorder="1" applyAlignment="1"/>
    <xf numFmtId="0" fontId="2" fillId="0" borderId="26" xfId="0" applyFont="1" applyBorder="1" applyAlignment="1"/>
    <xf numFmtId="0" fontId="2" fillId="0" borderId="28" xfId="0" applyFont="1" applyBorder="1" applyAlignment="1"/>
    <xf numFmtId="0" fontId="10" fillId="0" borderId="2" xfId="0" applyFont="1" applyBorder="1" applyAlignment="1"/>
    <xf numFmtId="0" fontId="10" fillId="0" borderId="3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6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87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90.xml.rels><?xml version="1.0" encoding="UTF-8" standalone="yes"?>
<Relationships xmlns="http://schemas.openxmlformats.org/package/2006/relationships"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91.xml.rels><?xml version="1.0" encoding="UTF-8" standalone="yes"?>
<Relationships xmlns="http://schemas.openxmlformats.org/package/2006/relationships"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92.xml.rels><?xml version="1.0" encoding="UTF-8" standalone="yes"?>
<Relationships xmlns="http://schemas.openxmlformats.org/package/2006/relationships"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_rels/chart93.xml.rels><?xml version="1.0" encoding="UTF-8" standalone="yes"?>
<Relationships xmlns="http://schemas.openxmlformats.org/package/2006/relationships"><Relationship Id="rId2" Type="http://schemas.microsoft.com/office/2011/relationships/chartColorStyle" Target="colors92.xml"/><Relationship Id="rId1" Type="http://schemas.microsoft.com/office/2011/relationships/chartStyle" Target="style92.xml"/></Relationships>
</file>

<file path=xl/charts/_rels/chart94.xml.rels><?xml version="1.0" encoding="UTF-8" standalone="yes"?>
<Relationships xmlns="http://schemas.openxmlformats.org/package/2006/relationships"><Relationship Id="rId2" Type="http://schemas.microsoft.com/office/2011/relationships/chartColorStyle" Target="colors93.xml"/><Relationship Id="rId1" Type="http://schemas.microsoft.com/office/2011/relationships/chartStyle" Target="style93.xml"/></Relationships>
</file>

<file path=xl/charts/_rels/chart95.xml.rels><?xml version="1.0" encoding="UTF-8" standalone="yes"?>
<Relationships xmlns="http://schemas.openxmlformats.org/package/2006/relationships"><Relationship Id="rId2" Type="http://schemas.microsoft.com/office/2011/relationships/chartColorStyle" Target="colors94.xml"/><Relationship Id="rId1" Type="http://schemas.microsoft.com/office/2011/relationships/chartStyle" Target="style94.xml"/></Relationships>
</file>

<file path=xl/charts/_rels/chart96.xml.rels><?xml version="1.0" encoding="UTF-8" standalone="yes"?>
<Relationships xmlns="http://schemas.openxmlformats.org/package/2006/relationships"><Relationship Id="rId2" Type="http://schemas.microsoft.com/office/2011/relationships/chartColorStyle" Target="colors95.xml"/><Relationship Id="rId1" Type="http://schemas.microsoft.com/office/2011/relationships/chartStyle" Target="style95.xml"/></Relationships>
</file>

<file path=xl/charts/_rels/chart97.xml.rels><?xml version="1.0" encoding="UTF-8" standalone="yes"?>
<Relationships xmlns="http://schemas.openxmlformats.org/package/2006/relationships"><Relationship Id="rId2" Type="http://schemas.microsoft.com/office/2011/relationships/chartColorStyle" Target="colors96.xml"/><Relationship Id="rId1" Type="http://schemas.microsoft.com/office/2011/relationships/chartStyle" Target="style96.xml"/></Relationships>
</file>

<file path=xl/charts/_rels/chart98.xml.rels><?xml version="1.0" encoding="UTF-8" standalone="yes"?>
<Relationships xmlns="http://schemas.openxmlformats.org/package/2006/relationships"><Relationship Id="rId2" Type="http://schemas.microsoft.com/office/2011/relationships/chartColorStyle" Target="colors97.xml"/><Relationship Id="rId1" Type="http://schemas.microsoft.com/office/2011/relationships/chartStyle" Target="style97.xml"/></Relationships>
</file>

<file path=xl/charts/_rels/chart99.xml.rels><?xml version="1.0" encoding="UTF-8" standalone="yes"?>
<Relationships xmlns="http://schemas.openxmlformats.org/package/2006/relationships"><Relationship Id="rId2" Type="http://schemas.microsoft.com/office/2011/relationships/chartColorStyle" Target="colors98.xml"/><Relationship Id="rId1" Type="http://schemas.microsoft.com/office/2011/relationships/chartStyle" Target="style98.xml"/></Relationships>
</file>

<file path=xl/charts/_rels/chart100.xml.rels><?xml version="1.0" encoding="UTF-8" standalone="yes"?>
<Relationships xmlns="http://schemas.openxmlformats.org/package/2006/relationships"><Relationship Id="rId2" Type="http://schemas.microsoft.com/office/2011/relationships/chartColorStyle" Target="colors99.xml"/><Relationship Id="rId1" Type="http://schemas.microsoft.com/office/2011/relationships/chartStyle" Target="style99.xml"/></Relationships>
</file>

<file path=xl/charts/_rels/chart101.xml.rels><?xml version="1.0" encoding="UTF-8" standalone="yes"?>
<Relationships xmlns="http://schemas.openxmlformats.org/package/2006/relationships"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_rels/chart102.xml.rels><?xml version="1.0" encoding="UTF-8" standalone="yes"?>
<Relationships xmlns="http://schemas.openxmlformats.org/package/2006/relationships"><Relationship Id="rId2" Type="http://schemas.microsoft.com/office/2011/relationships/chartColorStyle" Target="colors101.xml"/><Relationship Id="rId1" Type="http://schemas.microsoft.com/office/2011/relationships/chartStyle" Target="style101.xml"/></Relationships>
</file>

<file path=xl/charts/_rels/chart103.xml.rels><?xml version="1.0" encoding="UTF-8" standalone="yes"?>
<Relationships xmlns="http://schemas.openxmlformats.org/package/2006/relationships"><Relationship Id="rId2" Type="http://schemas.microsoft.com/office/2011/relationships/chartColorStyle" Target="colors102.xml"/><Relationship Id="rId1" Type="http://schemas.microsoft.com/office/2011/relationships/chartStyle" Target="style102.xml"/></Relationships>
</file>

<file path=xl/charts/_rels/chart104.xml.rels><?xml version="1.0" encoding="UTF-8" standalone="yes"?>
<Relationships xmlns="http://schemas.openxmlformats.org/package/2006/relationships"><Relationship Id="rId2" Type="http://schemas.microsoft.com/office/2011/relationships/chartColorStyle" Target="colors103.xml"/><Relationship Id="rId1" Type="http://schemas.microsoft.com/office/2011/relationships/chartStyle" Target="style103.xml"/></Relationships>
</file>

<file path=xl/charts/_rels/chart105.xml.rels><?xml version="1.0" encoding="UTF-8" standalone="yes"?>
<Relationships xmlns="http://schemas.openxmlformats.org/package/2006/relationships"><Relationship Id="rId2" Type="http://schemas.microsoft.com/office/2011/relationships/chartColorStyle" Target="colors104.xml"/><Relationship Id="rId1" Type="http://schemas.microsoft.com/office/2011/relationships/chartStyle" Target="style104.xml"/></Relationships>
</file>

<file path=xl/charts/_rels/chart106.xml.rels><?xml version="1.0" encoding="UTF-8" standalone="yes"?>
<Relationships xmlns="http://schemas.openxmlformats.org/package/2006/relationships"><Relationship Id="rId2" Type="http://schemas.microsoft.com/office/2011/relationships/chartColorStyle" Target="colors105.xml"/><Relationship Id="rId1" Type="http://schemas.microsoft.com/office/2011/relationships/chartStyle" Target="style105.xml"/></Relationships>
</file>

<file path=xl/charts/_rels/chart107.xml.rels><?xml version="1.0" encoding="UTF-8" standalone="yes"?>
<Relationships xmlns="http://schemas.openxmlformats.org/package/2006/relationships"><Relationship Id="rId2" Type="http://schemas.microsoft.com/office/2011/relationships/chartColorStyle" Target="colors106.xml"/><Relationship Id="rId1" Type="http://schemas.microsoft.com/office/2011/relationships/chartStyle" Target="style106.xml"/></Relationships>
</file>

<file path=xl/charts/_rels/chart108.xml.rels><?xml version="1.0" encoding="UTF-8" standalone="yes"?>
<Relationships xmlns="http://schemas.openxmlformats.org/package/2006/relationships"><Relationship Id="rId2" Type="http://schemas.microsoft.com/office/2011/relationships/chartColorStyle" Target="colors107.xml"/><Relationship Id="rId1" Type="http://schemas.microsoft.com/office/2011/relationships/chartStyle" Target="style107.xml"/></Relationships>
</file>

<file path=xl/charts/_rels/chart109.xml.rels><?xml version="1.0" encoding="UTF-8" standalone="yes"?>
<Relationships xmlns="http://schemas.openxmlformats.org/package/2006/relationships"><Relationship Id="rId2" Type="http://schemas.microsoft.com/office/2011/relationships/chartColorStyle" Target="colors108.xml"/><Relationship Id="rId1" Type="http://schemas.microsoft.com/office/2011/relationships/chartStyle" Target="style108.xml"/></Relationships>
</file>

<file path=xl/charts/_rels/chart110.xml.rels><?xml version="1.0" encoding="UTF-8" standalone="yes"?>
<Relationships xmlns="http://schemas.openxmlformats.org/package/2006/relationships"><Relationship Id="rId2" Type="http://schemas.microsoft.com/office/2011/relationships/chartColorStyle" Target="colors109.xml"/><Relationship Id="rId1" Type="http://schemas.microsoft.com/office/2011/relationships/chartStyle" Target="style109.xml"/></Relationships>
</file>

<file path=xl/charts/_rels/chart111.xml.rels><?xml version="1.0" encoding="UTF-8" standalone="yes"?>
<Relationships xmlns="http://schemas.openxmlformats.org/package/2006/relationships"><Relationship Id="rId2" Type="http://schemas.microsoft.com/office/2011/relationships/chartColorStyle" Target="colors110.xml"/><Relationship Id="rId1" Type="http://schemas.microsoft.com/office/2011/relationships/chartStyle" Target="style110.xml"/></Relationships>
</file>

<file path=xl/charts/_rels/chart112.xml.rels><?xml version="1.0" encoding="UTF-8" standalone="yes"?>
<Relationships xmlns="http://schemas.openxmlformats.org/package/2006/relationships"><Relationship Id="rId2" Type="http://schemas.microsoft.com/office/2011/relationships/chartColorStyle" Target="colors111.xml"/><Relationship Id="rId1" Type="http://schemas.microsoft.com/office/2011/relationships/chartStyle" Target="style111.xml"/></Relationships>
</file>

<file path=xl/charts/_rels/chart113.xml.rels><?xml version="1.0" encoding="UTF-8" standalone="yes"?>
<Relationships xmlns="http://schemas.openxmlformats.org/package/2006/relationships"><Relationship Id="rId2" Type="http://schemas.microsoft.com/office/2011/relationships/chartColorStyle" Target="colors112.xml"/><Relationship Id="rId1" Type="http://schemas.microsoft.com/office/2011/relationships/chartStyle" Target="style112.xml"/></Relationships>
</file>

<file path=xl/charts/_rels/chart114.xml.rels><?xml version="1.0" encoding="UTF-8" standalone="yes"?>
<Relationships xmlns="http://schemas.openxmlformats.org/package/2006/relationships"><Relationship Id="rId2" Type="http://schemas.microsoft.com/office/2011/relationships/chartColorStyle" Target="colors113.xml"/><Relationship Id="rId1" Type="http://schemas.microsoft.com/office/2011/relationships/chartStyle" Target="style113.xml"/></Relationships>
</file>

<file path=xl/charts/_rels/chart115.xml.rels><?xml version="1.0" encoding="UTF-8" standalone="yes"?>
<Relationships xmlns="http://schemas.openxmlformats.org/package/2006/relationships"><Relationship Id="rId2" Type="http://schemas.microsoft.com/office/2011/relationships/chartColorStyle" Target="colors114.xml"/><Relationship Id="rId1" Type="http://schemas.microsoft.com/office/2011/relationships/chartStyle" Target="style114.xml"/></Relationships>
</file>

<file path=xl/charts/_rels/chart116.xml.rels><?xml version="1.0" encoding="UTF-8" standalone="yes"?>
<Relationships xmlns="http://schemas.openxmlformats.org/package/2006/relationships"><Relationship Id="rId2" Type="http://schemas.microsoft.com/office/2011/relationships/chartColorStyle" Target="colors115.xml"/><Relationship Id="rId1" Type="http://schemas.microsoft.com/office/2011/relationships/chartStyle" Target="style115.xml"/></Relationships>
</file>

<file path=xl/charts/_rels/chart117.xml.rels><?xml version="1.0" encoding="UTF-8" standalone="yes"?>
<Relationships xmlns="http://schemas.openxmlformats.org/package/2006/relationships"><Relationship Id="rId2" Type="http://schemas.microsoft.com/office/2011/relationships/chartColorStyle" Target="colors116.xml"/><Relationship Id="rId1" Type="http://schemas.microsoft.com/office/2011/relationships/chartStyle" Target="style116.xml"/></Relationships>
</file>

<file path=xl/charts/_rels/chart118.xml.rels><?xml version="1.0" encoding="UTF-8" standalone="yes"?>
<Relationships xmlns="http://schemas.openxmlformats.org/package/2006/relationships"><Relationship Id="rId2" Type="http://schemas.microsoft.com/office/2011/relationships/chartColorStyle" Target="colors117.xml"/><Relationship Id="rId1" Type="http://schemas.microsoft.com/office/2011/relationships/chartStyle" Target="style117.xml"/></Relationships>
</file>

<file path=xl/charts/_rels/chart119.xml.rels><?xml version="1.0" encoding="UTF-8" standalone="yes"?>
<Relationships xmlns="http://schemas.openxmlformats.org/package/2006/relationships"><Relationship Id="rId2" Type="http://schemas.microsoft.com/office/2011/relationships/chartColorStyle" Target="colors118.xml"/><Relationship Id="rId1" Type="http://schemas.microsoft.com/office/2011/relationships/chartStyle" Target="style118.xml"/></Relationships>
</file>

<file path=xl/charts/_rels/chart120.xml.rels><?xml version="1.0" encoding="UTF-8" standalone="yes"?>
<Relationships xmlns="http://schemas.openxmlformats.org/package/2006/relationships"><Relationship Id="rId2" Type="http://schemas.microsoft.com/office/2011/relationships/chartColorStyle" Target="colors119.xml"/><Relationship Id="rId1" Type="http://schemas.microsoft.com/office/2011/relationships/chartStyle" Target="style119.xml"/></Relationships>
</file>

<file path=xl/charts/_rels/chart121.xml.rels><?xml version="1.0" encoding="UTF-8" standalone="yes"?>
<Relationships xmlns="http://schemas.openxmlformats.org/package/2006/relationships"><Relationship Id="rId2" Type="http://schemas.microsoft.com/office/2011/relationships/chartColorStyle" Target="colors120.xml"/><Relationship Id="rId1" Type="http://schemas.microsoft.com/office/2011/relationships/chartStyle" Target="style120.xml"/></Relationships>
</file>

<file path=xl/charts/_rels/chart122.xml.rels><?xml version="1.0" encoding="UTF-8" standalone="yes"?>
<Relationships xmlns="http://schemas.openxmlformats.org/package/2006/relationships"><Relationship Id="rId2" Type="http://schemas.microsoft.com/office/2011/relationships/chartColorStyle" Target="colors121.xml"/><Relationship Id="rId1" Type="http://schemas.microsoft.com/office/2011/relationships/chartStyle" Target="style121.xml"/></Relationships>
</file>

<file path=xl/charts/_rels/chart123.xml.rels><?xml version="1.0" encoding="UTF-8" standalone="yes"?>
<Relationships xmlns="http://schemas.openxmlformats.org/package/2006/relationships"><Relationship Id="rId2" Type="http://schemas.microsoft.com/office/2011/relationships/chartColorStyle" Target="colors122.xml"/><Relationship Id="rId1" Type="http://schemas.microsoft.com/office/2011/relationships/chartStyle" Target="style122.xml"/></Relationships>
</file>

<file path=xl/charts/_rels/chart124.xml.rels><?xml version="1.0" encoding="UTF-8" standalone="yes"?>
<Relationships xmlns="http://schemas.openxmlformats.org/package/2006/relationships"><Relationship Id="rId2" Type="http://schemas.microsoft.com/office/2011/relationships/chartColorStyle" Target="colors123.xml"/><Relationship Id="rId1" Type="http://schemas.microsoft.com/office/2011/relationships/chartStyle" Target="style123.xml"/></Relationships>
</file>

<file path=xl/charts/_rels/chart125.xml.rels><?xml version="1.0" encoding="UTF-8" standalone="yes"?>
<Relationships xmlns="http://schemas.openxmlformats.org/package/2006/relationships"><Relationship Id="rId2" Type="http://schemas.microsoft.com/office/2011/relationships/chartColorStyle" Target="colors124.xml"/><Relationship Id="rId1" Type="http://schemas.microsoft.com/office/2011/relationships/chartStyle" Target="style124.xml"/></Relationships>
</file>

<file path=xl/charts/_rels/chart126.xml.rels><?xml version="1.0" encoding="UTF-8" standalone="yes"?>
<Relationships xmlns="http://schemas.openxmlformats.org/package/2006/relationships"><Relationship Id="rId2" Type="http://schemas.microsoft.com/office/2011/relationships/chartColorStyle" Target="colors125.xml"/><Relationship Id="rId1" Type="http://schemas.microsoft.com/office/2011/relationships/chartStyle" Target="style125.xml"/></Relationships>
</file>

<file path=xl/charts/_rels/chart127.xml.rels><?xml version="1.0" encoding="UTF-8" standalone="yes"?>
<Relationships xmlns="http://schemas.openxmlformats.org/package/2006/relationships"><Relationship Id="rId2" Type="http://schemas.microsoft.com/office/2011/relationships/chartColorStyle" Target="colors126.xml"/><Relationship Id="rId1" Type="http://schemas.microsoft.com/office/2011/relationships/chartStyle" Target="style126.xml"/></Relationships>
</file>

<file path=xl/charts/_rels/chart128.xml.rels><?xml version="1.0" encoding="UTF-8" standalone="yes"?>
<Relationships xmlns="http://schemas.openxmlformats.org/package/2006/relationships"><Relationship Id="rId2" Type="http://schemas.microsoft.com/office/2011/relationships/chartColorStyle" Target="colors127.xml"/><Relationship Id="rId1" Type="http://schemas.microsoft.com/office/2011/relationships/chartStyle" Target="style127.xml"/></Relationships>
</file>

<file path=xl/charts/_rels/chart129.xml.rels><?xml version="1.0" encoding="UTF-8" standalone="yes"?>
<Relationships xmlns="http://schemas.openxmlformats.org/package/2006/relationships"><Relationship Id="rId2" Type="http://schemas.microsoft.com/office/2011/relationships/chartColorStyle" Target="colors128.xml"/><Relationship Id="rId1" Type="http://schemas.microsoft.com/office/2011/relationships/chartStyle" Target="style12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Weekly Average by Room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'March 2025 (trial run)'!$AJ$4</c:f>
              <c:strCache>
                <c:ptCount val="1"/>
                <c:pt idx="0">
                  <c:v>Cardio AVG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'March 2025 (trial run)'!$AB$121:$AB$135</c:f>
              <c:strCache>
                <c:ptCount val="15"/>
                <c:pt idx="0">
                  <c:v>6-7am</c:v>
                </c:pt>
                <c:pt idx="1">
                  <c:v>7-8am</c:v>
                </c:pt>
                <c:pt idx="2">
                  <c:v>8-9am</c:v>
                </c:pt>
                <c:pt idx="3">
                  <c:v>9-10am</c:v>
                </c:pt>
                <c:pt idx="4">
                  <c:v>10-11am</c:v>
                </c:pt>
                <c:pt idx="5">
                  <c:v>11-12pm</c:v>
                </c:pt>
                <c:pt idx="6">
                  <c:v>12-1pm</c:v>
                </c:pt>
                <c:pt idx="7">
                  <c:v>1-2pm</c:v>
                </c:pt>
                <c:pt idx="8">
                  <c:v>2-3pm</c:v>
                </c:pt>
                <c:pt idx="9">
                  <c:v>3-4pm</c:v>
                </c:pt>
                <c:pt idx="10">
                  <c:v>4-5pm</c:v>
                </c:pt>
                <c:pt idx="11">
                  <c:v>5-6pm</c:v>
                </c:pt>
                <c:pt idx="12">
                  <c:v>6-7pm</c:v>
                </c:pt>
                <c:pt idx="13">
                  <c:v>7-8pm</c:v>
                </c:pt>
                <c:pt idx="14">
                  <c:v>8-9pm</c:v>
                </c:pt>
              </c:strCache>
            </c:strRef>
          </c:cat>
          <c:val>
            <c:numRef>
              <c:f>'March 2025 (trial run)'!$AJ$5:$AJ$19</c:f>
              <c:numCache>
                <c:formatCode>General</c:formatCode>
                <c:ptCount val="15"/>
                <c:pt idx="0">
                  <c:v>13.666666666666666</c:v>
                </c:pt>
                <c:pt idx="1">
                  <c:v>22.5</c:v>
                </c:pt>
                <c:pt idx="2">
                  <c:v>16.333333333333332</c:v>
                </c:pt>
                <c:pt idx="3">
                  <c:v>22.333333333333332</c:v>
                </c:pt>
                <c:pt idx="4">
                  <c:v>30.25</c:v>
                </c:pt>
                <c:pt idx="5">
                  <c:v>32</c:v>
                </c:pt>
                <c:pt idx="6">
                  <c:v>19.5</c:v>
                </c:pt>
                <c:pt idx="7">
                  <c:v>23.75</c:v>
                </c:pt>
                <c:pt idx="8">
                  <c:v>20.25</c:v>
                </c:pt>
                <c:pt idx="9">
                  <c:v>26.25</c:v>
                </c:pt>
                <c:pt idx="10">
                  <c:v>24</c:v>
                </c:pt>
                <c:pt idx="11">
                  <c:v>30.75</c:v>
                </c:pt>
                <c:pt idx="12">
                  <c:v>34</c:v>
                </c:pt>
                <c:pt idx="13">
                  <c:v>29</c:v>
                </c:pt>
                <c:pt idx="14">
                  <c:v>19.5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D5-4D6C-B2A9-24474CD7B1DD}"/>
            </c:ext>
          </c:extLst>
        </c:ser>
        <c:ser>
          <c:idx val="1"/>
          <c:order val="1"/>
          <c:tx>
            <c:strRef>
              <c:f>'March 2025 (trial run)'!$AJ$24</c:f>
              <c:strCache>
                <c:ptCount val="1"/>
                <c:pt idx="0">
                  <c:v>eGym AVG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'March 2025 (trial run)'!$AB$121:$AB$135</c:f>
              <c:strCache>
                <c:ptCount val="15"/>
                <c:pt idx="0">
                  <c:v>6-7am</c:v>
                </c:pt>
                <c:pt idx="1">
                  <c:v>7-8am</c:v>
                </c:pt>
                <c:pt idx="2">
                  <c:v>8-9am</c:v>
                </c:pt>
                <c:pt idx="3">
                  <c:v>9-10am</c:v>
                </c:pt>
                <c:pt idx="4">
                  <c:v>10-11am</c:v>
                </c:pt>
                <c:pt idx="5">
                  <c:v>11-12pm</c:v>
                </c:pt>
                <c:pt idx="6">
                  <c:v>12-1pm</c:v>
                </c:pt>
                <c:pt idx="7">
                  <c:v>1-2pm</c:v>
                </c:pt>
                <c:pt idx="8">
                  <c:v>2-3pm</c:v>
                </c:pt>
                <c:pt idx="9">
                  <c:v>3-4pm</c:v>
                </c:pt>
                <c:pt idx="10">
                  <c:v>4-5pm</c:v>
                </c:pt>
                <c:pt idx="11">
                  <c:v>5-6pm</c:v>
                </c:pt>
                <c:pt idx="12">
                  <c:v>6-7pm</c:v>
                </c:pt>
                <c:pt idx="13">
                  <c:v>7-8pm</c:v>
                </c:pt>
                <c:pt idx="14">
                  <c:v>8-9pm</c:v>
                </c:pt>
              </c:strCache>
            </c:strRef>
          </c:cat>
          <c:val>
            <c:numRef>
              <c:f>'March 2025 (trial run)'!$AJ$25:$AJ$40</c:f>
              <c:numCache>
                <c:formatCode>General</c:formatCode>
                <c:ptCount val="16"/>
                <c:pt idx="0">
                  <c:v>6</c:v>
                </c:pt>
                <c:pt idx="1">
                  <c:v>9.3333333333333339</c:v>
                </c:pt>
                <c:pt idx="2">
                  <c:v>9.3333333333333339</c:v>
                </c:pt>
                <c:pt idx="3">
                  <c:v>10</c:v>
                </c:pt>
                <c:pt idx="4">
                  <c:v>16.75</c:v>
                </c:pt>
                <c:pt idx="5">
                  <c:v>19.5</c:v>
                </c:pt>
                <c:pt idx="6">
                  <c:v>12.5</c:v>
                </c:pt>
                <c:pt idx="7">
                  <c:v>9</c:v>
                </c:pt>
                <c:pt idx="8">
                  <c:v>13.5</c:v>
                </c:pt>
                <c:pt idx="9">
                  <c:v>11</c:v>
                </c:pt>
                <c:pt idx="10">
                  <c:v>9.75</c:v>
                </c:pt>
                <c:pt idx="11">
                  <c:v>8</c:v>
                </c:pt>
                <c:pt idx="12">
                  <c:v>9.75</c:v>
                </c:pt>
                <c:pt idx="13">
                  <c:v>6.75</c:v>
                </c:pt>
                <c:pt idx="14">
                  <c:v>6.25</c:v>
                </c:pt>
                <c:pt idx="15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D5-4D6C-B2A9-24474CD7B1DD}"/>
            </c:ext>
          </c:extLst>
        </c:ser>
        <c:ser>
          <c:idx val="2"/>
          <c:order val="2"/>
          <c:tx>
            <c:strRef>
              <c:f>'March 2025 (trial run)'!$AJ$43</c:f>
              <c:strCache>
                <c:ptCount val="1"/>
                <c:pt idx="0">
                  <c:v>Weight AVG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'March 2025 (trial run)'!$AB$121:$AB$135</c:f>
              <c:strCache>
                <c:ptCount val="15"/>
                <c:pt idx="0">
                  <c:v>6-7am</c:v>
                </c:pt>
                <c:pt idx="1">
                  <c:v>7-8am</c:v>
                </c:pt>
                <c:pt idx="2">
                  <c:v>8-9am</c:v>
                </c:pt>
                <c:pt idx="3">
                  <c:v>9-10am</c:v>
                </c:pt>
                <c:pt idx="4">
                  <c:v>10-11am</c:v>
                </c:pt>
                <c:pt idx="5">
                  <c:v>11-12pm</c:v>
                </c:pt>
                <c:pt idx="6">
                  <c:v>12-1pm</c:v>
                </c:pt>
                <c:pt idx="7">
                  <c:v>1-2pm</c:v>
                </c:pt>
                <c:pt idx="8">
                  <c:v>2-3pm</c:v>
                </c:pt>
                <c:pt idx="9">
                  <c:v>3-4pm</c:v>
                </c:pt>
                <c:pt idx="10">
                  <c:v>4-5pm</c:v>
                </c:pt>
                <c:pt idx="11">
                  <c:v>5-6pm</c:v>
                </c:pt>
                <c:pt idx="12">
                  <c:v>6-7pm</c:v>
                </c:pt>
                <c:pt idx="13">
                  <c:v>7-8pm</c:v>
                </c:pt>
                <c:pt idx="14">
                  <c:v>8-9pm</c:v>
                </c:pt>
              </c:strCache>
            </c:strRef>
          </c:cat>
          <c:val>
            <c:numRef>
              <c:f>'March 2025 (trial run)'!$AJ$44:$AJ$59</c:f>
              <c:numCache>
                <c:formatCode>General</c:formatCode>
                <c:ptCount val="16"/>
                <c:pt idx="0">
                  <c:v>15.666666666666666</c:v>
                </c:pt>
                <c:pt idx="1">
                  <c:v>20</c:v>
                </c:pt>
                <c:pt idx="2">
                  <c:v>16.666666666666668</c:v>
                </c:pt>
                <c:pt idx="3">
                  <c:v>16.666666666666668</c:v>
                </c:pt>
                <c:pt idx="4">
                  <c:v>23.75</c:v>
                </c:pt>
                <c:pt idx="5">
                  <c:v>22.5</c:v>
                </c:pt>
                <c:pt idx="6">
                  <c:v>23.5</c:v>
                </c:pt>
                <c:pt idx="7">
                  <c:v>21</c:v>
                </c:pt>
                <c:pt idx="8">
                  <c:v>15.25</c:v>
                </c:pt>
                <c:pt idx="9">
                  <c:v>14</c:v>
                </c:pt>
                <c:pt idx="10">
                  <c:v>20.25</c:v>
                </c:pt>
                <c:pt idx="11">
                  <c:v>22.5</c:v>
                </c:pt>
                <c:pt idx="12">
                  <c:v>28</c:v>
                </c:pt>
                <c:pt idx="13">
                  <c:v>32</c:v>
                </c:pt>
                <c:pt idx="14">
                  <c:v>28.75</c:v>
                </c:pt>
                <c:pt idx="15">
                  <c:v>17.25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FD5-4D6C-B2A9-24474CD7B1DD}"/>
            </c:ext>
          </c:extLst>
        </c:ser>
        <c:ser>
          <c:idx val="3"/>
          <c:order val="3"/>
          <c:tx>
            <c:strRef>
              <c:f>'March 2025 (trial run)'!$AJ$62</c:f>
              <c:strCache>
                <c:ptCount val="1"/>
                <c:pt idx="0">
                  <c:v>Track AVG</c:v>
                </c:pt>
              </c:strCache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'March 2025 (trial run)'!$AB$121:$AB$135</c:f>
              <c:strCache>
                <c:ptCount val="15"/>
                <c:pt idx="0">
                  <c:v>6-7am</c:v>
                </c:pt>
                <c:pt idx="1">
                  <c:v>7-8am</c:v>
                </c:pt>
                <c:pt idx="2">
                  <c:v>8-9am</c:v>
                </c:pt>
                <c:pt idx="3">
                  <c:v>9-10am</c:v>
                </c:pt>
                <c:pt idx="4">
                  <c:v>10-11am</c:v>
                </c:pt>
                <c:pt idx="5">
                  <c:v>11-12pm</c:v>
                </c:pt>
                <c:pt idx="6">
                  <c:v>12-1pm</c:v>
                </c:pt>
                <c:pt idx="7">
                  <c:v>1-2pm</c:v>
                </c:pt>
                <c:pt idx="8">
                  <c:v>2-3pm</c:v>
                </c:pt>
                <c:pt idx="9">
                  <c:v>3-4pm</c:v>
                </c:pt>
                <c:pt idx="10">
                  <c:v>4-5pm</c:v>
                </c:pt>
                <c:pt idx="11">
                  <c:v>5-6pm</c:v>
                </c:pt>
                <c:pt idx="12">
                  <c:v>6-7pm</c:v>
                </c:pt>
                <c:pt idx="13">
                  <c:v>7-8pm</c:v>
                </c:pt>
                <c:pt idx="14">
                  <c:v>8-9pm</c:v>
                </c:pt>
              </c:strCache>
            </c:strRef>
          </c:cat>
          <c:val>
            <c:numRef>
              <c:f>'March 2025 (trial run)'!$AJ$63:$AJ$78</c:f>
              <c:numCache>
                <c:formatCode>General</c:formatCode>
                <c:ptCount val="16"/>
                <c:pt idx="0">
                  <c:v>4</c:v>
                </c:pt>
                <c:pt idx="1">
                  <c:v>2.6666666666666665</c:v>
                </c:pt>
                <c:pt idx="2">
                  <c:v>11.666666666666666</c:v>
                </c:pt>
                <c:pt idx="3">
                  <c:v>11.333333333333334</c:v>
                </c:pt>
                <c:pt idx="4">
                  <c:v>21.5</c:v>
                </c:pt>
                <c:pt idx="5">
                  <c:v>15.5</c:v>
                </c:pt>
                <c:pt idx="6">
                  <c:v>14</c:v>
                </c:pt>
                <c:pt idx="7">
                  <c:v>10</c:v>
                </c:pt>
                <c:pt idx="8">
                  <c:v>10.25</c:v>
                </c:pt>
                <c:pt idx="9">
                  <c:v>10</c:v>
                </c:pt>
                <c:pt idx="10">
                  <c:v>10.5</c:v>
                </c:pt>
                <c:pt idx="11">
                  <c:v>8.25</c:v>
                </c:pt>
                <c:pt idx="12">
                  <c:v>9.25</c:v>
                </c:pt>
                <c:pt idx="13">
                  <c:v>9.25</c:v>
                </c:pt>
                <c:pt idx="14">
                  <c:v>8.5</c:v>
                </c:pt>
                <c:pt idx="15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FD5-4D6C-B2A9-24474CD7B1DD}"/>
            </c:ext>
          </c:extLst>
        </c:ser>
        <c:ser>
          <c:idx val="4"/>
          <c:order val="4"/>
          <c:tx>
            <c:strRef>
              <c:f>'March 2025 (trial run)'!$AJ$81</c:f>
              <c:strCache>
                <c:ptCount val="1"/>
                <c:pt idx="0">
                  <c:v>S+C AVG</c:v>
                </c:pt>
              </c:strCache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'March 2025 (trial run)'!$AB$121:$AB$135</c:f>
              <c:strCache>
                <c:ptCount val="15"/>
                <c:pt idx="0">
                  <c:v>6-7am</c:v>
                </c:pt>
                <c:pt idx="1">
                  <c:v>7-8am</c:v>
                </c:pt>
                <c:pt idx="2">
                  <c:v>8-9am</c:v>
                </c:pt>
                <c:pt idx="3">
                  <c:v>9-10am</c:v>
                </c:pt>
                <c:pt idx="4">
                  <c:v>10-11am</c:v>
                </c:pt>
                <c:pt idx="5">
                  <c:v>11-12pm</c:v>
                </c:pt>
                <c:pt idx="6">
                  <c:v>12-1pm</c:v>
                </c:pt>
                <c:pt idx="7">
                  <c:v>1-2pm</c:v>
                </c:pt>
                <c:pt idx="8">
                  <c:v>2-3pm</c:v>
                </c:pt>
                <c:pt idx="9">
                  <c:v>3-4pm</c:v>
                </c:pt>
                <c:pt idx="10">
                  <c:v>4-5pm</c:v>
                </c:pt>
                <c:pt idx="11">
                  <c:v>5-6pm</c:v>
                </c:pt>
                <c:pt idx="12">
                  <c:v>6-7pm</c:v>
                </c:pt>
                <c:pt idx="13">
                  <c:v>7-8pm</c:v>
                </c:pt>
                <c:pt idx="14">
                  <c:v>8-9pm</c:v>
                </c:pt>
              </c:strCache>
            </c:strRef>
          </c:cat>
          <c:val>
            <c:numRef>
              <c:f>'March 2025 (trial run)'!$AJ$82:$AJ$97</c:f>
              <c:numCache>
                <c:formatCode>General</c:formatCode>
                <c:ptCount val="16"/>
                <c:pt idx="0">
                  <c:v>4</c:v>
                </c:pt>
                <c:pt idx="1">
                  <c:v>6.333333333333333</c:v>
                </c:pt>
                <c:pt idx="2">
                  <c:v>6.666666666666667</c:v>
                </c:pt>
                <c:pt idx="3">
                  <c:v>6</c:v>
                </c:pt>
                <c:pt idx="4">
                  <c:v>10</c:v>
                </c:pt>
                <c:pt idx="5">
                  <c:v>15.5</c:v>
                </c:pt>
                <c:pt idx="6">
                  <c:v>8.5</c:v>
                </c:pt>
                <c:pt idx="7">
                  <c:v>10.5</c:v>
                </c:pt>
                <c:pt idx="8">
                  <c:v>7.25</c:v>
                </c:pt>
                <c:pt idx="9">
                  <c:v>4.5</c:v>
                </c:pt>
                <c:pt idx="10">
                  <c:v>7.75</c:v>
                </c:pt>
                <c:pt idx="11">
                  <c:v>8</c:v>
                </c:pt>
                <c:pt idx="12">
                  <c:v>11.5</c:v>
                </c:pt>
                <c:pt idx="13">
                  <c:v>8.75</c:v>
                </c:pt>
                <c:pt idx="14">
                  <c:v>7</c:v>
                </c:pt>
                <c:pt idx="15">
                  <c:v>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FD5-4D6C-B2A9-24474CD7B1DD}"/>
            </c:ext>
          </c:extLst>
        </c:ser>
        <c:ser>
          <c:idx val="5"/>
          <c:order val="5"/>
          <c:tx>
            <c:strRef>
              <c:f>'March 2025 (trial run)'!$AJ$100</c:f>
              <c:strCache>
                <c:ptCount val="1"/>
                <c:pt idx="0">
                  <c:v>SPC AVG</c:v>
                </c:pt>
              </c:strCache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'March 2025 (trial run)'!$AB$121:$AB$135</c:f>
              <c:strCache>
                <c:ptCount val="15"/>
                <c:pt idx="0">
                  <c:v>6-7am</c:v>
                </c:pt>
                <c:pt idx="1">
                  <c:v>7-8am</c:v>
                </c:pt>
                <c:pt idx="2">
                  <c:v>8-9am</c:v>
                </c:pt>
                <c:pt idx="3">
                  <c:v>9-10am</c:v>
                </c:pt>
                <c:pt idx="4">
                  <c:v>10-11am</c:v>
                </c:pt>
                <c:pt idx="5">
                  <c:v>11-12pm</c:v>
                </c:pt>
                <c:pt idx="6">
                  <c:v>12-1pm</c:v>
                </c:pt>
                <c:pt idx="7">
                  <c:v>1-2pm</c:v>
                </c:pt>
                <c:pt idx="8">
                  <c:v>2-3pm</c:v>
                </c:pt>
                <c:pt idx="9">
                  <c:v>3-4pm</c:v>
                </c:pt>
                <c:pt idx="10">
                  <c:v>4-5pm</c:v>
                </c:pt>
                <c:pt idx="11">
                  <c:v>5-6pm</c:v>
                </c:pt>
                <c:pt idx="12">
                  <c:v>6-7pm</c:v>
                </c:pt>
                <c:pt idx="13">
                  <c:v>7-8pm</c:v>
                </c:pt>
                <c:pt idx="14">
                  <c:v>8-9pm</c:v>
                </c:pt>
              </c:strCache>
            </c:strRef>
          </c:cat>
          <c:val>
            <c:numRef>
              <c:f>'March 2025 (trial run)'!$AJ$101:$AJ$116</c:f>
              <c:numCache>
                <c:formatCode>General</c:formatCode>
                <c:ptCount val="16"/>
                <c:pt idx="0">
                  <c:v>10</c:v>
                </c:pt>
                <c:pt idx="1">
                  <c:v>9</c:v>
                </c:pt>
                <c:pt idx="2">
                  <c:v>4.333333333333333</c:v>
                </c:pt>
                <c:pt idx="3">
                  <c:v>4</c:v>
                </c:pt>
                <c:pt idx="4">
                  <c:v>9.5</c:v>
                </c:pt>
                <c:pt idx="5">
                  <c:v>10</c:v>
                </c:pt>
                <c:pt idx="6">
                  <c:v>13.5</c:v>
                </c:pt>
                <c:pt idx="7">
                  <c:v>7.5</c:v>
                </c:pt>
                <c:pt idx="8">
                  <c:v>6</c:v>
                </c:pt>
                <c:pt idx="9">
                  <c:v>5.5</c:v>
                </c:pt>
                <c:pt idx="10">
                  <c:v>4.25</c:v>
                </c:pt>
                <c:pt idx="11">
                  <c:v>9.5</c:v>
                </c:pt>
                <c:pt idx="12">
                  <c:v>8.5</c:v>
                </c:pt>
                <c:pt idx="13">
                  <c:v>13</c:v>
                </c:pt>
                <c:pt idx="14">
                  <c:v>7.25</c:v>
                </c:pt>
                <c:pt idx="15">
                  <c:v>4.25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FD5-4D6C-B2A9-24474CD7B1DD}"/>
            </c:ext>
          </c:extLst>
        </c:ser>
        <c:ser>
          <c:idx val="6"/>
          <c:order val="6"/>
          <c:tx>
            <c:strRef>
              <c:f>'March 2025 (trial run)'!$AJ$119</c:f>
              <c:strCache>
                <c:ptCount val="1"/>
                <c:pt idx="0">
                  <c:v>ALL AVG</c:v>
                </c:pt>
              </c:strCache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'March 2025 (trial run)'!$AB$121:$AB$135</c:f>
              <c:strCache>
                <c:ptCount val="15"/>
                <c:pt idx="0">
                  <c:v>6-7am</c:v>
                </c:pt>
                <c:pt idx="1">
                  <c:v>7-8am</c:v>
                </c:pt>
                <c:pt idx="2">
                  <c:v>8-9am</c:v>
                </c:pt>
                <c:pt idx="3">
                  <c:v>9-10am</c:v>
                </c:pt>
                <c:pt idx="4">
                  <c:v>10-11am</c:v>
                </c:pt>
                <c:pt idx="5">
                  <c:v>11-12pm</c:v>
                </c:pt>
                <c:pt idx="6">
                  <c:v>12-1pm</c:v>
                </c:pt>
                <c:pt idx="7">
                  <c:v>1-2pm</c:v>
                </c:pt>
                <c:pt idx="8">
                  <c:v>2-3pm</c:v>
                </c:pt>
                <c:pt idx="9">
                  <c:v>3-4pm</c:v>
                </c:pt>
                <c:pt idx="10">
                  <c:v>4-5pm</c:v>
                </c:pt>
                <c:pt idx="11">
                  <c:v>5-6pm</c:v>
                </c:pt>
                <c:pt idx="12">
                  <c:v>6-7pm</c:v>
                </c:pt>
                <c:pt idx="13">
                  <c:v>7-8pm</c:v>
                </c:pt>
                <c:pt idx="14">
                  <c:v>8-9pm</c:v>
                </c:pt>
              </c:strCache>
            </c:strRef>
          </c:cat>
          <c:val>
            <c:numRef>
              <c:f>'March 2025 (trial run)'!$AJ$120:$AJ$135</c:f>
              <c:numCache>
                <c:formatCode>General</c:formatCode>
                <c:ptCount val="16"/>
                <c:pt idx="0">
                  <c:v>32</c:v>
                </c:pt>
                <c:pt idx="1">
                  <c:v>37.4</c:v>
                </c:pt>
                <c:pt idx="2">
                  <c:v>32.5</c:v>
                </c:pt>
                <c:pt idx="3">
                  <c:v>29.571428571428573</c:v>
                </c:pt>
                <c:pt idx="4">
                  <c:v>63.857142857142854</c:v>
                </c:pt>
                <c:pt idx="5">
                  <c:v>32.857142857142854</c:v>
                </c:pt>
                <c:pt idx="6">
                  <c:v>26.142857142857142</c:v>
                </c:pt>
                <c:pt idx="7">
                  <c:v>46.714285714285715</c:v>
                </c:pt>
                <c:pt idx="8">
                  <c:v>41.428571428571431</c:v>
                </c:pt>
                <c:pt idx="9">
                  <c:v>40.714285714285715</c:v>
                </c:pt>
                <c:pt idx="10">
                  <c:v>43.714285714285715</c:v>
                </c:pt>
                <c:pt idx="11">
                  <c:v>49.714285714285715</c:v>
                </c:pt>
                <c:pt idx="12">
                  <c:v>67.333333333333329</c:v>
                </c:pt>
                <c:pt idx="13">
                  <c:v>79</c:v>
                </c:pt>
                <c:pt idx="14">
                  <c:v>61.8</c:v>
                </c:pt>
                <c:pt idx="15">
                  <c:v>36.4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FD5-4D6C-B2A9-24474CD7B1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9801769"/>
        <c:axId val="1435860003"/>
      </c:lineChart>
      <c:catAx>
        <c:axId val="19798017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35860003"/>
        <c:crosses val="autoZero"/>
        <c:auto val="1"/>
        <c:lblAlgn val="ctr"/>
        <c:lblOffset val="100"/>
        <c:noMultiLvlLbl val="1"/>
      </c:catAx>
      <c:valAx>
        <c:axId val="14358600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7980176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Room Attendance: Week of 3/29/25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April 2025'!$AG$8</c:f>
              <c:strCache>
                <c:ptCount val="1"/>
                <c:pt idx="0">
                  <c:v>Cardio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'Monthly April 2025'!$AH$6:$AN$7</c:f>
              <c:multiLvlStrCache>
                <c:ptCount val="7"/>
                <c:lvl>
                  <c:pt idx="0">
                    <c:v>Saturday</c:v>
                  </c:pt>
                  <c:pt idx="1">
                    <c:v>Sunday</c:v>
                  </c:pt>
                  <c:pt idx="2">
                    <c:v>Monday</c:v>
                  </c:pt>
                  <c:pt idx="3">
                    <c:v>Tuesday</c:v>
                  </c:pt>
                  <c:pt idx="4">
                    <c:v>Wednesday</c:v>
                  </c:pt>
                  <c:pt idx="5">
                    <c:v>Thursday</c:v>
                  </c:pt>
                  <c:pt idx="6">
                    <c:v>Friday</c:v>
                  </c:pt>
                </c:lvl>
                <c:lvl/>
              </c:multiLvlStrCache>
            </c:multiLvlStrRef>
          </c:cat>
          <c:val>
            <c:numRef>
              <c:f>'Monthly April 2025'!$AH$8:$AN$8</c:f>
              <c:numCache>
                <c:formatCode>General</c:formatCode>
                <c:ptCount val="7"/>
                <c:pt idx="0">
                  <c:v>325</c:v>
                </c:pt>
                <c:pt idx="1">
                  <c:v>292</c:v>
                </c:pt>
                <c:pt idx="2">
                  <c:v>346</c:v>
                </c:pt>
                <c:pt idx="3">
                  <c:v>333</c:v>
                </c:pt>
                <c:pt idx="4">
                  <c:v>359</c:v>
                </c:pt>
                <c:pt idx="5">
                  <c:v>256</c:v>
                </c:pt>
                <c:pt idx="6">
                  <c:v>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F1C-41CE-8FAB-B5D41B24F1DE}"/>
            </c:ext>
          </c:extLst>
        </c:ser>
        <c:ser>
          <c:idx val="1"/>
          <c:order val="1"/>
          <c:tx>
            <c:strRef>
              <c:f>'Monthly April 2025'!$AG$9</c:f>
              <c:strCache>
                <c:ptCount val="1"/>
                <c:pt idx="0">
                  <c:v>eGym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'Monthly April 2025'!$AH$6:$AN$7</c:f>
              <c:multiLvlStrCache>
                <c:ptCount val="7"/>
                <c:lvl>
                  <c:pt idx="0">
                    <c:v>Saturday</c:v>
                  </c:pt>
                  <c:pt idx="1">
                    <c:v>Sunday</c:v>
                  </c:pt>
                  <c:pt idx="2">
                    <c:v>Monday</c:v>
                  </c:pt>
                  <c:pt idx="3">
                    <c:v>Tuesday</c:v>
                  </c:pt>
                  <c:pt idx="4">
                    <c:v>Wednesday</c:v>
                  </c:pt>
                  <c:pt idx="5">
                    <c:v>Thursday</c:v>
                  </c:pt>
                  <c:pt idx="6">
                    <c:v>Friday</c:v>
                  </c:pt>
                </c:lvl>
                <c:lvl/>
              </c:multiLvlStrCache>
            </c:multiLvlStrRef>
          </c:cat>
          <c:val>
            <c:numRef>
              <c:f>'Monthly April 2025'!$AH$9:$AN$9</c:f>
              <c:numCache>
                <c:formatCode>General</c:formatCode>
                <c:ptCount val="7"/>
                <c:pt idx="0">
                  <c:v>97</c:v>
                </c:pt>
                <c:pt idx="1">
                  <c:v>88</c:v>
                </c:pt>
                <c:pt idx="2">
                  <c:v>147</c:v>
                </c:pt>
                <c:pt idx="3">
                  <c:v>154</c:v>
                </c:pt>
                <c:pt idx="4">
                  <c:v>166</c:v>
                </c:pt>
                <c:pt idx="5">
                  <c:v>125</c:v>
                </c:pt>
                <c:pt idx="6">
                  <c:v>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F1C-41CE-8FAB-B5D41B24F1DE}"/>
            </c:ext>
          </c:extLst>
        </c:ser>
        <c:ser>
          <c:idx val="2"/>
          <c:order val="2"/>
          <c:tx>
            <c:strRef>
              <c:f>'Monthly April 2025'!$AG$10</c:f>
              <c:strCache>
                <c:ptCount val="1"/>
                <c:pt idx="0">
                  <c:v>Free Weight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'Monthly April 2025'!$AH$6:$AN$7</c:f>
              <c:multiLvlStrCache>
                <c:ptCount val="7"/>
                <c:lvl>
                  <c:pt idx="0">
                    <c:v>Saturday</c:v>
                  </c:pt>
                  <c:pt idx="1">
                    <c:v>Sunday</c:v>
                  </c:pt>
                  <c:pt idx="2">
                    <c:v>Monday</c:v>
                  </c:pt>
                  <c:pt idx="3">
                    <c:v>Tuesday</c:v>
                  </c:pt>
                  <c:pt idx="4">
                    <c:v>Wednesday</c:v>
                  </c:pt>
                  <c:pt idx="5">
                    <c:v>Thursday</c:v>
                  </c:pt>
                  <c:pt idx="6">
                    <c:v>Friday</c:v>
                  </c:pt>
                </c:lvl>
                <c:lvl/>
              </c:multiLvlStrCache>
            </c:multiLvlStrRef>
          </c:cat>
          <c:val>
            <c:numRef>
              <c:f>'Monthly April 2025'!$AH$10:$AN$10</c:f>
              <c:numCache>
                <c:formatCode>General</c:formatCode>
                <c:ptCount val="7"/>
                <c:pt idx="0">
                  <c:v>241</c:v>
                </c:pt>
                <c:pt idx="1">
                  <c:v>195</c:v>
                </c:pt>
                <c:pt idx="2">
                  <c:v>265</c:v>
                </c:pt>
                <c:pt idx="3">
                  <c:v>260</c:v>
                </c:pt>
                <c:pt idx="4">
                  <c:v>243</c:v>
                </c:pt>
                <c:pt idx="5">
                  <c:v>217</c:v>
                </c:pt>
                <c:pt idx="6">
                  <c:v>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F1C-41CE-8FAB-B5D41B24F1DE}"/>
            </c:ext>
          </c:extLst>
        </c:ser>
        <c:ser>
          <c:idx val="3"/>
          <c:order val="3"/>
          <c:tx>
            <c:strRef>
              <c:f>'Monthly April 2025'!$AG$11</c:f>
              <c:strCache>
                <c:ptCount val="1"/>
                <c:pt idx="0">
                  <c:v>Track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'Monthly April 2025'!$AH$6:$AN$7</c:f>
              <c:multiLvlStrCache>
                <c:ptCount val="7"/>
                <c:lvl>
                  <c:pt idx="0">
                    <c:v>Saturday</c:v>
                  </c:pt>
                  <c:pt idx="1">
                    <c:v>Sunday</c:v>
                  </c:pt>
                  <c:pt idx="2">
                    <c:v>Monday</c:v>
                  </c:pt>
                  <c:pt idx="3">
                    <c:v>Tuesday</c:v>
                  </c:pt>
                  <c:pt idx="4">
                    <c:v>Wednesday</c:v>
                  </c:pt>
                  <c:pt idx="5">
                    <c:v>Thursday</c:v>
                  </c:pt>
                  <c:pt idx="6">
                    <c:v>Friday</c:v>
                  </c:pt>
                </c:lvl>
                <c:lvl/>
              </c:multiLvlStrCache>
            </c:multiLvlStrRef>
          </c:cat>
          <c:val>
            <c:numRef>
              <c:f>'Monthly April 2025'!$AH$11:$AN$11</c:f>
              <c:numCache>
                <c:formatCode>General</c:formatCode>
                <c:ptCount val="7"/>
                <c:pt idx="0">
                  <c:v>137</c:v>
                </c:pt>
                <c:pt idx="1">
                  <c:v>118</c:v>
                </c:pt>
                <c:pt idx="2">
                  <c:v>158</c:v>
                </c:pt>
                <c:pt idx="3">
                  <c:v>138</c:v>
                </c:pt>
                <c:pt idx="4">
                  <c:v>152</c:v>
                </c:pt>
                <c:pt idx="5">
                  <c:v>105</c:v>
                </c:pt>
                <c:pt idx="6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F1C-41CE-8FAB-B5D41B24F1DE}"/>
            </c:ext>
          </c:extLst>
        </c:ser>
        <c:ser>
          <c:idx val="4"/>
          <c:order val="4"/>
          <c:tx>
            <c:strRef>
              <c:f>'Monthly April 2025'!$AG$12</c:f>
              <c:strCache>
                <c:ptCount val="1"/>
                <c:pt idx="0">
                  <c:v>Stretch &amp; Core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'Monthly April 2025'!$AH$6:$AN$7</c:f>
              <c:multiLvlStrCache>
                <c:ptCount val="7"/>
                <c:lvl>
                  <c:pt idx="0">
                    <c:v>Saturday</c:v>
                  </c:pt>
                  <c:pt idx="1">
                    <c:v>Sunday</c:v>
                  </c:pt>
                  <c:pt idx="2">
                    <c:v>Monday</c:v>
                  </c:pt>
                  <c:pt idx="3">
                    <c:v>Tuesday</c:v>
                  </c:pt>
                  <c:pt idx="4">
                    <c:v>Wednesday</c:v>
                  </c:pt>
                  <c:pt idx="5">
                    <c:v>Thursday</c:v>
                  </c:pt>
                  <c:pt idx="6">
                    <c:v>Friday</c:v>
                  </c:pt>
                </c:lvl>
                <c:lvl/>
              </c:multiLvlStrCache>
            </c:multiLvlStrRef>
          </c:cat>
          <c:val>
            <c:numRef>
              <c:f>'Monthly April 2025'!$AH$12:$AN$12</c:f>
              <c:numCache>
                <c:formatCode>General</c:formatCode>
                <c:ptCount val="7"/>
                <c:pt idx="0">
                  <c:v>108</c:v>
                </c:pt>
                <c:pt idx="1">
                  <c:v>75</c:v>
                </c:pt>
                <c:pt idx="2">
                  <c:v>91</c:v>
                </c:pt>
                <c:pt idx="3">
                  <c:v>81</c:v>
                </c:pt>
                <c:pt idx="4">
                  <c:v>95</c:v>
                </c:pt>
                <c:pt idx="5">
                  <c:v>103</c:v>
                </c:pt>
                <c:pt idx="6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F1C-41CE-8FAB-B5D41B24F1DE}"/>
            </c:ext>
          </c:extLst>
        </c:ser>
        <c:ser>
          <c:idx val="5"/>
          <c:order val="5"/>
          <c:tx>
            <c:strRef>
              <c:f>'Monthly April 2025'!$AG$13</c:f>
              <c:strCache>
                <c:ptCount val="1"/>
                <c:pt idx="0">
                  <c:v>SPC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'Monthly April 2025'!$AH$6:$AN$7</c:f>
              <c:multiLvlStrCache>
                <c:ptCount val="7"/>
                <c:lvl>
                  <c:pt idx="0">
                    <c:v>Saturday</c:v>
                  </c:pt>
                  <c:pt idx="1">
                    <c:v>Sunday</c:v>
                  </c:pt>
                  <c:pt idx="2">
                    <c:v>Monday</c:v>
                  </c:pt>
                  <c:pt idx="3">
                    <c:v>Tuesday</c:v>
                  </c:pt>
                  <c:pt idx="4">
                    <c:v>Wednesday</c:v>
                  </c:pt>
                  <c:pt idx="5">
                    <c:v>Thursday</c:v>
                  </c:pt>
                  <c:pt idx="6">
                    <c:v>Friday</c:v>
                  </c:pt>
                </c:lvl>
                <c:lvl/>
              </c:multiLvlStrCache>
            </c:multiLvlStrRef>
          </c:cat>
          <c:val>
            <c:numRef>
              <c:f>'Monthly April 2025'!$AH$13:$AN$13</c:f>
              <c:numCache>
                <c:formatCode>General</c:formatCode>
                <c:ptCount val="7"/>
                <c:pt idx="0">
                  <c:v>103</c:v>
                </c:pt>
                <c:pt idx="1">
                  <c:v>72</c:v>
                </c:pt>
                <c:pt idx="2">
                  <c:v>129</c:v>
                </c:pt>
                <c:pt idx="3">
                  <c:v>105</c:v>
                </c:pt>
                <c:pt idx="4">
                  <c:v>112</c:v>
                </c:pt>
                <c:pt idx="5">
                  <c:v>77</c:v>
                </c:pt>
                <c:pt idx="6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F1C-41CE-8FAB-B5D41B24F1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14543879"/>
        <c:axId val="751394824"/>
      </c:barChart>
      <c:catAx>
        <c:axId val="1614543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394824"/>
        <c:crosses val="autoZero"/>
        <c:auto val="1"/>
        <c:lblAlgn val="ctr"/>
        <c:lblOffset val="100"/>
        <c:noMultiLvlLbl val="0"/>
      </c:catAx>
      <c:valAx>
        <c:axId val="751394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543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Room Popularity - Week of 3/29/25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April 2025'!$AH$7</c:f>
              <c:strCache>
                <c:ptCount val="1"/>
                <c:pt idx="0">
                  <c:v>Saturday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April 2025'!$AG$8:$AG$13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April 2025'!$AH$8:$AH$13</c:f>
              <c:numCache>
                <c:formatCode>General</c:formatCode>
                <c:ptCount val="6"/>
                <c:pt idx="0">
                  <c:v>325</c:v>
                </c:pt>
                <c:pt idx="1">
                  <c:v>97</c:v>
                </c:pt>
                <c:pt idx="2">
                  <c:v>241</c:v>
                </c:pt>
                <c:pt idx="3">
                  <c:v>137</c:v>
                </c:pt>
                <c:pt idx="4">
                  <c:v>108</c:v>
                </c:pt>
                <c:pt idx="5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9F-4411-9765-6B98CE263CED}"/>
            </c:ext>
          </c:extLst>
        </c:ser>
        <c:ser>
          <c:idx val="1"/>
          <c:order val="1"/>
          <c:tx>
            <c:strRef>
              <c:f>'Monthly April 2025'!$AI$7</c:f>
              <c:strCache>
                <c:ptCount val="1"/>
                <c:pt idx="0">
                  <c:v>Sunday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April 2025'!$AG$8:$AG$13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April 2025'!$AI$8:$AI$13</c:f>
              <c:numCache>
                <c:formatCode>General</c:formatCode>
                <c:ptCount val="6"/>
                <c:pt idx="0">
                  <c:v>292</c:v>
                </c:pt>
                <c:pt idx="1">
                  <c:v>88</c:v>
                </c:pt>
                <c:pt idx="2">
                  <c:v>195</c:v>
                </c:pt>
                <c:pt idx="3">
                  <c:v>118</c:v>
                </c:pt>
                <c:pt idx="4">
                  <c:v>75</c:v>
                </c:pt>
                <c:pt idx="5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19F-4411-9765-6B98CE263CED}"/>
            </c:ext>
          </c:extLst>
        </c:ser>
        <c:ser>
          <c:idx val="2"/>
          <c:order val="2"/>
          <c:tx>
            <c:strRef>
              <c:f>'Monthly April 2025'!$AJ$7</c:f>
              <c:strCache>
                <c:ptCount val="1"/>
                <c:pt idx="0">
                  <c:v>Monday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April 2025'!$AG$8:$AG$13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April 2025'!$AJ$8:$AJ$13</c:f>
              <c:numCache>
                <c:formatCode>General</c:formatCode>
                <c:ptCount val="6"/>
                <c:pt idx="0">
                  <c:v>346</c:v>
                </c:pt>
                <c:pt idx="1">
                  <c:v>147</c:v>
                </c:pt>
                <c:pt idx="2">
                  <c:v>265</c:v>
                </c:pt>
                <c:pt idx="3">
                  <c:v>158</c:v>
                </c:pt>
                <c:pt idx="4">
                  <c:v>91</c:v>
                </c:pt>
                <c:pt idx="5">
                  <c:v>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19F-4411-9765-6B98CE263CED}"/>
            </c:ext>
          </c:extLst>
        </c:ser>
        <c:ser>
          <c:idx val="3"/>
          <c:order val="3"/>
          <c:tx>
            <c:strRef>
              <c:f>'Monthly April 2025'!$AK$7</c:f>
              <c:strCache>
                <c:ptCount val="1"/>
                <c:pt idx="0">
                  <c:v>Tuesday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April 2025'!$AG$8:$AG$13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April 2025'!$AK$8:$AK$13</c:f>
              <c:numCache>
                <c:formatCode>General</c:formatCode>
                <c:ptCount val="6"/>
                <c:pt idx="0">
                  <c:v>333</c:v>
                </c:pt>
                <c:pt idx="1">
                  <c:v>154</c:v>
                </c:pt>
                <c:pt idx="2">
                  <c:v>260</c:v>
                </c:pt>
                <c:pt idx="3">
                  <c:v>138</c:v>
                </c:pt>
                <c:pt idx="4">
                  <c:v>81</c:v>
                </c:pt>
                <c:pt idx="5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19F-4411-9765-6B98CE263CED}"/>
            </c:ext>
          </c:extLst>
        </c:ser>
        <c:ser>
          <c:idx val="4"/>
          <c:order val="4"/>
          <c:tx>
            <c:strRef>
              <c:f>'Monthly April 2025'!$AL$7</c:f>
              <c:strCache>
                <c:ptCount val="1"/>
                <c:pt idx="0">
                  <c:v>Wednesday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April 2025'!$AG$8:$AG$13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April 2025'!$AL$8:$AL$13</c:f>
              <c:numCache>
                <c:formatCode>General</c:formatCode>
                <c:ptCount val="6"/>
                <c:pt idx="0">
                  <c:v>359</c:v>
                </c:pt>
                <c:pt idx="1">
                  <c:v>166</c:v>
                </c:pt>
                <c:pt idx="2">
                  <c:v>243</c:v>
                </c:pt>
                <c:pt idx="3">
                  <c:v>152</c:v>
                </c:pt>
                <c:pt idx="4">
                  <c:v>95</c:v>
                </c:pt>
                <c:pt idx="5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19F-4411-9765-6B98CE263CED}"/>
            </c:ext>
          </c:extLst>
        </c:ser>
        <c:ser>
          <c:idx val="5"/>
          <c:order val="5"/>
          <c:tx>
            <c:strRef>
              <c:f>'Monthly April 2025'!$AM$7</c:f>
              <c:strCache>
                <c:ptCount val="1"/>
                <c:pt idx="0">
                  <c:v>Thursday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April 2025'!$AG$8:$AG$13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April 2025'!$AM$8:$AM$13</c:f>
              <c:numCache>
                <c:formatCode>General</c:formatCode>
                <c:ptCount val="6"/>
                <c:pt idx="0">
                  <c:v>256</c:v>
                </c:pt>
                <c:pt idx="1">
                  <c:v>125</c:v>
                </c:pt>
                <c:pt idx="2">
                  <c:v>217</c:v>
                </c:pt>
                <c:pt idx="3">
                  <c:v>105</c:v>
                </c:pt>
                <c:pt idx="4">
                  <c:v>103</c:v>
                </c:pt>
                <c:pt idx="5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19F-4411-9765-6B98CE263CED}"/>
            </c:ext>
          </c:extLst>
        </c:ser>
        <c:ser>
          <c:idx val="6"/>
          <c:order val="6"/>
          <c:tx>
            <c:strRef>
              <c:f>'Monthly April 2025'!$AN$7</c:f>
              <c:strCache>
                <c:ptCount val="1"/>
                <c:pt idx="0">
                  <c:v>Friday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'Monthly April 2025'!$AG$8:$AG$13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April 2025'!$AN$8:$AN$13</c:f>
              <c:numCache>
                <c:formatCode>General</c:formatCode>
                <c:ptCount val="6"/>
                <c:pt idx="0">
                  <c:v>301</c:v>
                </c:pt>
                <c:pt idx="1">
                  <c:v>156</c:v>
                </c:pt>
                <c:pt idx="2">
                  <c:v>210</c:v>
                </c:pt>
                <c:pt idx="3">
                  <c:v>107</c:v>
                </c:pt>
                <c:pt idx="4">
                  <c:v>67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19F-4411-9765-6B98CE263C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Room Attendance - April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April 2025'!$AQ$7</c:f>
              <c:strCache>
                <c:ptCount val="1"/>
                <c:pt idx="0">
                  <c:v>Saturday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April 2025'!$AP$8:$AP$13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April 2025'!$AQ$8:$AQ$13</c:f>
              <c:numCache>
                <c:formatCode>General</c:formatCode>
                <c:ptCount val="6"/>
                <c:pt idx="0">
                  <c:v>1451</c:v>
                </c:pt>
                <c:pt idx="1">
                  <c:v>405</c:v>
                </c:pt>
                <c:pt idx="2">
                  <c:v>1145</c:v>
                </c:pt>
                <c:pt idx="3">
                  <c:v>491</c:v>
                </c:pt>
                <c:pt idx="4">
                  <c:v>401</c:v>
                </c:pt>
                <c:pt idx="5">
                  <c:v>437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C4-4B43-BC99-9D16FB2F20CA}"/>
            </c:ext>
          </c:extLst>
        </c:ser>
        <c:ser>
          <c:idx val="1"/>
          <c:order val="1"/>
          <c:tx>
            <c:strRef>
              <c:f>'Monthly April 2025'!$AR$7</c:f>
              <c:strCache>
                <c:ptCount val="1"/>
                <c:pt idx="0">
                  <c:v>Sunday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April 2025'!$AP$8:$AP$13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April 2025'!$AR$8:$AR$13</c:f>
              <c:numCache>
                <c:formatCode>General</c:formatCode>
                <c:ptCount val="6"/>
                <c:pt idx="0">
                  <c:v>945</c:v>
                </c:pt>
                <c:pt idx="1">
                  <c:v>316</c:v>
                </c:pt>
                <c:pt idx="2">
                  <c:v>643</c:v>
                </c:pt>
                <c:pt idx="3">
                  <c:v>308</c:v>
                </c:pt>
                <c:pt idx="4">
                  <c:v>252</c:v>
                </c:pt>
                <c:pt idx="5">
                  <c:v>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FC4-4B43-BC99-9D16FB2F20CA}"/>
            </c:ext>
          </c:extLst>
        </c:ser>
        <c:ser>
          <c:idx val="2"/>
          <c:order val="2"/>
          <c:tx>
            <c:strRef>
              <c:f>'Monthly April 2025'!$AS$7</c:f>
              <c:strCache>
                <c:ptCount val="1"/>
                <c:pt idx="0">
                  <c:v>Monday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April 2025'!$AP$8:$AP$13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April 2025'!$AS$8:$AS$13</c:f>
              <c:numCache>
                <c:formatCode>General</c:formatCode>
                <c:ptCount val="6"/>
                <c:pt idx="0">
                  <c:v>2080</c:v>
                </c:pt>
                <c:pt idx="1">
                  <c:v>832</c:v>
                </c:pt>
                <c:pt idx="2">
                  <c:v>1805</c:v>
                </c:pt>
                <c:pt idx="3">
                  <c:v>770</c:v>
                </c:pt>
                <c:pt idx="4">
                  <c:v>635</c:v>
                </c:pt>
                <c:pt idx="5">
                  <c:v>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FC4-4B43-BC99-9D16FB2F20CA}"/>
            </c:ext>
          </c:extLst>
        </c:ser>
        <c:ser>
          <c:idx val="3"/>
          <c:order val="3"/>
          <c:tx>
            <c:strRef>
              <c:f>'Monthly April 2025'!$AT$7</c:f>
              <c:strCache>
                <c:ptCount val="1"/>
                <c:pt idx="0">
                  <c:v>Tuesday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April 2025'!$AP$8:$AP$13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April 2025'!$AT$8:$AT$13</c:f>
              <c:numCache>
                <c:formatCode>General</c:formatCode>
                <c:ptCount val="6"/>
                <c:pt idx="0">
                  <c:v>1963</c:v>
                </c:pt>
                <c:pt idx="1">
                  <c:v>771</c:v>
                </c:pt>
                <c:pt idx="2">
                  <c:v>1606</c:v>
                </c:pt>
                <c:pt idx="3">
                  <c:v>660</c:v>
                </c:pt>
                <c:pt idx="4">
                  <c:v>500</c:v>
                </c:pt>
                <c:pt idx="5">
                  <c:v>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FC4-4B43-BC99-9D16FB2F20CA}"/>
            </c:ext>
          </c:extLst>
        </c:ser>
        <c:ser>
          <c:idx val="4"/>
          <c:order val="4"/>
          <c:tx>
            <c:strRef>
              <c:f>'Monthly April 2025'!$AU$7</c:f>
              <c:strCache>
                <c:ptCount val="1"/>
                <c:pt idx="0">
                  <c:v>Wednesday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April 2025'!$AP$8:$AP$13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April 2025'!$AU$8:$AU$13</c:f>
              <c:numCache>
                <c:formatCode>General</c:formatCode>
                <c:ptCount val="6"/>
                <c:pt idx="0">
                  <c:v>1922</c:v>
                </c:pt>
                <c:pt idx="1">
                  <c:v>829</c:v>
                </c:pt>
                <c:pt idx="2">
                  <c:v>1419</c:v>
                </c:pt>
                <c:pt idx="3">
                  <c:v>660</c:v>
                </c:pt>
                <c:pt idx="4">
                  <c:v>530</c:v>
                </c:pt>
                <c:pt idx="5">
                  <c:v>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FC4-4B43-BC99-9D16FB2F20CA}"/>
            </c:ext>
          </c:extLst>
        </c:ser>
        <c:ser>
          <c:idx val="5"/>
          <c:order val="5"/>
          <c:tx>
            <c:strRef>
              <c:f>'Monthly April 2025'!$AV$7</c:f>
              <c:strCache>
                <c:ptCount val="1"/>
                <c:pt idx="0">
                  <c:v>Thursday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April 2025'!$AP$8:$AP$13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April 2025'!$AV$8:$AV$13</c:f>
              <c:numCache>
                <c:formatCode>General</c:formatCode>
                <c:ptCount val="6"/>
                <c:pt idx="0">
                  <c:v>1598</c:v>
                </c:pt>
                <c:pt idx="1">
                  <c:v>667</c:v>
                </c:pt>
                <c:pt idx="2">
                  <c:v>1434</c:v>
                </c:pt>
                <c:pt idx="3">
                  <c:v>567</c:v>
                </c:pt>
                <c:pt idx="4">
                  <c:v>442</c:v>
                </c:pt>
                <c:pt idx="5">
                  <c:v>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FC4-4B43-BC99-9D16FB2F20CA}"/>
            </c:ext>
          </c:extLst>
        </c:ser>
        <c:ser>
          <c:idx val="6"/>
          <c:order val="6"/>
          <c:tx>
            <c:strRef>
              <c:f>'Monthly April 2025'!$AW$7</c:f>
              <c:strCache>
                <c:ptCount val="1"/>
                <c:pt idx="0">
                  <c:v>Friday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'Monthly April 2025'!$AP$8:$AP$13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April 2025'!$AW$8:$AW$13</c:f>
              <c:numCache>
                <c:formatCode>General</c:formatCode>
                <c:ptCount val="6"/>
                <c:pt idx="0">
                  <c:v>1489</c:v>
                </c:pt>
                <c:pt idx="1">
                  <c:v>778</c:v>
                </c:pt>
                <c:pt idx="2">
                  <c:v>1272</c:v>
                </c:pt>
                <c:pt idx="3">
                  <c:v>546</c:v>
                </c:pt>
                <c:pt idx="4">
                  <c:v>405</c:v>
                </c:pt>
                <c:pt idx="5">
                  <c:v>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FC4-4B43-BC99-9D16FB2F20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40092423"/>
        <c:axId val="2140094471"/>
      </c:barChart>
      <c:catAx>
        <c:axId val="2140092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0094471"/>
        <c:crosses val="autoZero"/>
        <c:auto val="1"/>
        <c:lblAlgn val="ctr"/>
        <c:lblOffset val="100"/>
        <c:noMultiLvlLbl val="0"/>
      </c:catAx>
      <c:valAx>
        <c:axId val="2140094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0092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Room Popularity - Week of 4/5/25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April 2025'!$AH$53</c:f>
              <c:strCache>
                <c:ptCount val="1"/>
                <c:pt idx="0">
                  <c:v>Saturday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April 2025'!$AG$54:$AG$59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April 2025'!$AH$54:$AH$59</c:f>
              <c:numCache>
                <c:formatCode>General</c:formatCode>
                <c:ptCount val="6"/>
                <c:pt idx="0">
                  <c:v>282</c:v>
                </c:pt>
                <c:pt idx="1">
                  <c:v>90</c:v>
                </c:pt>
                <c:pt idx="2">
                  <c:v>194</c:v>
                </c:pt>
                <c:pt idx="3">
                  <c:v>92</c:v>
                </c:pt>
                <c:pt idx="4">
                  <c:v>62</c:v>
                </c:pt>
                <c:pt idx="5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2F-4559-A9A0-71EECA59A3E3}"/>
            </c:ext>
          </c:extLst>
        </c:ser>
        <c:ser>
          <c:idx val="1"/>
          <c:order val="1"/>
          <c:tx>
            <c:strRef>
              <c:f>'Monthly April 2025'!$AI$53</c:f>
              <c:strCache>
                <c:ptCount val="1"/>
                <c:pt idx="0">
                  <c:v>Sunday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April 2025'!$AG$54:$AG$59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April 2025'!$AI$54:$AI$59</c:f>
              <c:numCache>
                <c:formatCode>General</c:formatCode>
                <c:ptCount val="6"/>
                <c:pt idx="0">
                  <c:v>288</c:v>
                </c:pt>
                <c:pt idx="1">
                  <c:v>91</c:v>
                </c:pt>
                <c:pt idx="2">
                  <c:v>171</c:v>
                </c:pt>
                <c:pt idx="3">
                  <c:v>94</c:v>
                </c:pt>
                <c:pt idx="4">
                  <c:v>70</c:v>
                </c:pt>
                <c:pt idx="5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52F-4559-A9A0-71EECA59A3E3}"/>
            </c:ext>
          </c:extLst>
        </c:ser>
        <c:ser>
          <c:idx val="2"/>
          <c:order val="2"/>
          <c:tx>
            <c:strRef>
              <c:f>'Monthly April 2025'!$AJ$53</c:f>
              <c:strCache>
                <c:ptCount val="1"/>
                <c:pt idx="0">
                  <c:v>Monday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April 2025'!$AG$54:$AG$59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April 2025'!$AJ$54:$AJ$59</c:f>
              <c:numCache>
                <c:formatCode>General</c:formatCode>
                <c:ptCount val="6"/>
                <c:pt idx="0">
                  <c:v>420</c:v>
                </c:pt>
                <c:pt idx="1">
                  <c:v>152</c:v>
                </c:pt>
                <c:pt idx="2">
                  <c:v>386</c:v>
                </c:pt>
                <c:pt idx="3">
                  <c:v>142</c:v>
                </c:pt>
                <c:pt idx="4">
                  <c:v>140</c:v>
                </c:pt>
                <c:pt idx="5">
                  <c:v>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52F-4559-A9A0-71EECA59A3E3}"/>
            </c:ext>
          </c:extLst>
        </c:ser>
        <c:ser>
          <c:idx val="3"/>
          <c:order val="3"/>
          <c:tx>
            <c:strRef>
              <c:f>'Monthly April 2025'!$AK$53</c:f>
              <c:strCache>
                <c:ptCount val="1"/>
                <c:pt idx="0">
                  <c:v>Tuesday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April 2025'!$AG$54:$AG$59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April 2025'!$AK$54:$AK$59</c:f>
              <c:numCache>
                <c:formatCode>General</c:formatCode>
                <c:ptCount val="6"/>
                <c:pt idx="0">
                  <c:v>440</c:v>
                </c:pt>
                <c:pt idx="1">
                  <c:v>127</c:v>
                </c:pt>
                <c:pt idx="2">
                  <c:v>363</c:v>
                </c:pt>
                <c:pt idx="3">
                  <c:v>146</c:v>
                </c:pt>
                <c:pt idx="4">
                  <c:v>117</c:v>
                </c:pt>
                <c:pt idx="5">
                  <c:v>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52F-4559-A9A0-71EECA59A3E3}"/>
            </c:ext>
          </c:extLst>
        </c:ser>
        <c:ser>
          <c:idx val="4"/>
          <c:order val="4"/>
          <c:tx>
            <c:strRef>
              <c:f>'Monthly April 2025'!$AL$53</c:f>
              <c:strCache>
                <c:ptCount val="1"/>
                <c:pt idx="0">
                  <c:v>Wednesday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April 2025'!$AG$54:$AG$59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April 2025'!$AL$54:$AL$59</c:f>
              <c:numCache>
                <c:formatCode>General</c:formatCode>
                <c:ptCount val="6"/>
                <c:pt idx="0">
                  <c:v>434</c:v>
                </c:pt>
                <c:pt idx="1">
                  <c:v>170</c:v>
                </c:pt>
                <c:pt idx="2">
                  <c:v>244</c:v>
                </c:pt>
                <c:pt idx="3">
                  <c:v>151</c:v>
                </c:pt>
                <c:pt idx="4">
                  <c:v>117</c:v>
                </c:pt>
                <c:pt idx="5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52F-4559-A9A0-71EECA59A3E3}"/>
            </c:ext>
          </c:extLst>
        </c:ser>
        <c:ser>
          <c:idx val="5"/>
          <c:order val="5"/>
          <c:tx>
            <c:strRef>
              <c:f>'Monthly April 2025'!$AM$53</c:f>
              <c:strCache>
                <c:ptCount val="1"/>
                <c:pt idx="0">
                  <c:v>Thursday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April 2025'!$AG$54:$AG$59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April 2025'!$AM$54:$AM$59</c:f>
              <c:numCache>
                <c:formatCode>General</c:formatCode>
                <c:ptCount val="6"/>
                <c:pt idx="0">
                  <c:v>412</c:v>
                </c:pt>
                <c:pt idx="1">
                  <c:v>138</c:v>
                </c:pt>
                <c:pt idx="2">
                  <c:v>351</c:v>
                </c:pt>
                <c:pt idx="3">
                  <c:v>151</c:v>
                </c:pt>
                <c:pt idx="4">
                  <c:v>119</c:v>
                </c:pt>
                <c:pt idx="5">
                  <c:v>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52F-4559-A9A0-71EECA59A3E3}"/>
            </c:ext>
          </c:extLst>
        </c:ser>
        <c:ser>
          <c:idx val="6"/>
          <c:order val="6"/>
          <c:tx>
            <c:strRef>
              <c:f>'Monthly April 2025'!$AN$53</c:f>
              <c:strCache>
                <c:ptCount val="1"/>
                <c:pt idx="0">
                  <c:v>Friday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'Monthly April 2025'!$AG$54:$AG$59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April 2025'!$AN$54:$AN$59</c:f>
              <c:numCache>
                <c:formatCode>General</c:formatCode>
                <c:ptCount val="6"/>
                <c:pt idx="0">
                  <c:v>352</c:v>
                </c:pt>
                <c:pt idx="1">
                  <c:v>171</c:v>
                </c:pt>
                <c:pt idx="2">
                  <c:v>270</c:v>
                </c:pt>
                <c:pt idx="3">
                  <c:v>131</c:v>
                </c:pt>
                <c:pt idx="4">
                  <c:v>95</c:v>
                </c:pt>
                <c:pt idx="5">
                  <c:v>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52F-4559-A9A0-71EECA59A3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Room Attendance: Week of 4/5/25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April 2025'!$AG$54</c:f>
              <c:strCache>
                <c:ptCount val="1"/>
                <c:pt idx="0">
                  <c:v>Cardio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April 2025'!$AH$53:$AN$53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April 2025'!$AH$54:$AN$54</c:f>
              <c:numCache>
                <c:formatCode>General</c:formatCode>
                <c:ptCount val="7"/>
                <c:pt idx="0">
                  <c:v>282</c:v>
                </c:pt>
                <c:pt idx="1">
                  <c:v>288</c:v>
                </c:pt>
                <c:pt idx="2">
                  <c:v>420</c:v>
                </c:pt>
                <c:pt idx="3">
                  <c:v>440</c:v>
                </c:pt>
                <c:pt idx="4">
                  <c:v>434</c:v>
                </c:pt>
                <c:pt idx="5">
                  <c:v>412</c:v>
                </c:pt>
                <c:pt idx="6">
                  <c:v>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4367-4C56-A8E9-4F287C2EC52A}"/>
            </c:ext>
          </c:extLst>
        </c:ser>
        <c:ser>
          <c:idx val="1"/>
          <c:order val="1"/>
          <c:tx>
            <c:strRef>
              <c:f>'Monthly April 2025'!$AG$55</c:f>
              <c:strCache>
                <c:ptCount val="1"/>
                <c:pt idx="0">
                  <c:v>eGym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April 2025'!$AH$53:$AN$53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April 2025'!$AH$55:$AN$55</c:f>
              <c:numCache>
                <c:formatCode>General</c:formatCode>
                <c:ptCount val="7"/>
                <c:pt idx="0">
                  <c:v>90</c:v>
                </c:pt>
                <c:pt idx="1">
                  <c:v>91</c:v>
                </c:pt>
                <c:pt idx="2">
                  <c:v>152</c:v>
                </c:pt>
                <c:pt idx="3">
                  <c:v>127</c:v>
                </c:pt>
                <c:pt idx="4">
                  <c:v>170</c:v>
                </c:pt>
                <c:pt idx="5">
                  <c:v>138</c:v>
                </c:pt>
                <c:pt idx="6">
                  <c:v>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4367-4C56-A8E9-4F287C2EC52A}"/>
            </c:ext>
          </c:extLst>
        </c:ser>
        <c:ser>
          <c:idx val="2"/>
          <c:order val="2"/>
          <c:tx>
            <c:strRef>
              <c:f>'Monthly April 2025'!$AG$56</c:f>
              <c:strCache>
                <c:ptCount val="1"/>
                <c:pt idx="0">
                  <c:v>Free Weight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April 2025'!$AH$53:$AN$53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April 2025'!$AH$56:$AN$56</c:f>
              <c:numCache>
                <c:formatCode>General</c:formatCode>
                <c:ptCount val="7"/>
                <c:pt idx="0">
                  <c:v>194</c:v>
                </c:pt>
                <c:pt idx="1">
                  <c:v>171</c:v>
                </c:pt>
                <c:pt idx="2">
                  <c:v>386</c:v>
                </c:pt>
                <c:pt idx="3">
                  <c:v>363</c:v>
                </c:pt>
                <c:pt idx="4">
                  <c:v>244</c:v>
                </c:pt>
                <c:pt idx="5">
                  <c:v>351</c:v>
                </c:pt>
                <c:pt idx="6">
                  <c:v>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4367-4C56-A8E9-4F287C2EC52A}"/>
            </c:ext>
          </c:extLst>
        </c:ser>
        <c:ser>
          <c:idx val="3"/>
          <c:order val="3"/>
          <c:tx>
            <c:strRef>
              <c:f>'Monthly April 2025'!$AG$57</c:f>
              <c:strCache>
                <c:ptCount val="1"/>
                <c:pt idx="0">
                  <c:v>Track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April 2025'!$AH$53:$AN$53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April 2025'!$AH$57:$AN$57</c:f>
              <c:numCache>
                <c:formatCode>General</c:formatCode>
                <c:ptCount val="7"/>
                <c:pt idx="0">
                  <c:v>92</c:v>
                </c:pt>
                <c:pt idx="1">
                  <c:v>94</c:v>
                </c:pt>
                <c:pt idx="2">
                  <c:v>142</c:v>
                </c:pt>
                <c:pt idx="3">
                  <c:v>146</c:v>
                </c:pt>
                <c:pt idx="4">
                  <c:v>151</c:v>
                </c:pt>
                <c:pt idx="5">
                  <c:v>151</c:v>
                </c:pt>
                <c:pt idx="6">
                  <c:v>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4367-4C56-A8E9-4F287C2EC52A}"/>
            </c:ext>
          </c:extLst>
        </c:ser>
        <c:ser>
          <c:idx val="4"/>
          <c:order val="4"/>
          <c:tx>
            <c:strRef>
              <c:f>'Monthly April 2025'!$AG$58</c:f>
              <c:strCache>
                <c:ptCount val="1"/>
                <c:pt idx="0">
                  <c:v>Stretch &amp; Core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April 2025'!$AH$53:$AN$53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April 2025'!$AH$58:$AN$58</c:f>
              <c:numCache>
                <c:formatCode>General</c:formatCode>
                <c:ptCount val="7"/>
                <c:pt idx="0">
                  <c:v>62</c:v>
                </c:pt>
                <c:pt idx="1">
                  <c:v>70</c:v>
                </c:pt>
                <c:pt idx="2">
                  <c:v>140</c:v>
                </c:pt>
                <c:pt idx="3">
                  <c:v>117</c:v>
                </c:pt>
                <c:pt idx="4">
                  <c:v>117</c:v>
                </c:pt>
                <c:pt idx="5">
                  <c:v>119</c:v>
                </c:pt>
                <c:pt idx="6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367-4C56-A8E9-4F287C2EC52A}"/>
            </c:ext>
          </c:extLst>
        </c:ser>
        <c:ser>
          <c:idx val="5"/>
          <c:order val="5"/>
          <c:tx>
            <c:strRef>
              <c:f>'Monthly April 2025'!$AG$59</c:f>
              <c:strCache>
                <c:ptCount val="1"/>
                <c:pt idx="0">
                  <c:v>SPC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April 2025'!$AH$53:$AN$53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April 2025'!$AH$59:$AN$59</c:f>
              <c:numCache>
                <c:formatCode>General</c:formatCode>
                <c:ptCount val="7"/>
                <c:pt idx="0">
                  <c:v>93</c:v>
                </c:pt>
                <c:pt idx="1">
                  <c:v>65</c:v>
                </c:pt>
                <c:pt idx="2">
                  <c:v>202</c:v>
                </c:pt>
                <c:pt idx="3">
                  <c:v>138</c:v>
                </c:pt>
                <c:pt idx="4">
                  <c:v>130</c:v>
                </c:pt>
                <c:pt idx="5">
                  <c:v>122</c:v>
                </c:pt>
                <c:pt idx="6">
                  <c:v>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4367-4C56-A8E9-4F287C2EC5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Room Popularity - Week of 4/12/25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April 2025'!$AH$99</c:f>
              <c:strCache>
                <c:ptCount val="1"/>
                <c:pt idx="0">
                  <c:v>Saturday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April 2025'!$AG$100:$AG$105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April 2025'!$AH$100:$AH$105</c:f>
              <c:numCache>
                <c:formatCode>General</c:formatCode>
                <c:ptCount val="6"/>
                <c:pt idx="0">
                  <c:v>296</c:v>
                </c:pt>
                <c:pt idx="1">
                  <c:v>74</c:v>
                </c:pt>
                <c:pt idx="2">
                  <c:v>224</c:v>
                </c:pt>
                <c:pt idx="3">
                  <c:v>98</c:v>
                </c:pt>
                <c:pt idx="4">
                  <c:v>84</c:v>
                </c:pt>
                <c:pt idx="5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85-476B-B666-02BFE002DAAD}"/>
            </c:ext>
          </c:extLst>
        </c:ser>
        <c:ser>
          <c:idx val="1"/>
          <c:order val="1"/>
          <c:tx>
            <c:strRef>
              <c:f>'Monthly April 2025'!$AI$99</c:f>
              <c:strCache>
                <c:ptCount val="1"/>
                <c:pt idx="0">
                  <c:v>Sunday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April 2025'!$AG$100:$AG$105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April 2025'!$AI$100:$AI$105</c:f>
              <c:numCache>
                <c:formatCode>General</c:formatCode>
                <c:ptCount val="6"/>
                <c:pt idx="0">
                  <c:v>170</c:v>
                </c:pt>
                <c:pt idx="1">
                  <c:v>63</c:v>
                </c:pt>
                <c:pt idx="2">
                  <c:v>110</c:v>
                </c:pt>
                <c:pt idx="3">
                  <c:v>44</c:v>
                </c:pt>
                <c:pt idx="4">
                  <c:v>45</c:v>
                </c:pt>
                <c:pt idx="5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E85-476B-B666-02BFE002DAAD}"/>
            </c:ext>
          </c:extLst>
        </c:ser>
        <c:ser>
          <c:idx val="2"/>
          <c:order val="2"/>
          <c:tx>
            <c:strRef>
              <c:f>'Monthly April 2025'!$AJ$99</c:f>
              <c:strCache>
                <c:ptCount val="1"/>
                <c:pt idx="0">
                  <c:v>Monday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April 2025'!$AG$100:$AG$105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April 2025'!$AJ$100:$AJ$105</c:f>
              <c:numCache>
                <c:formatCode>General</c:formatCode>
                <c:ptCount val="6"/>
                <c:pt idx="0">
                  <c:v>392</c:v>
                </c:pt>
                <c:pt idx="1">
                  <c:v>137</c:v>
                </c:pt>
                <c:pt idx="2">
                  <c:v>302</c:v>
                </c:pt>
                <c:pt idx="3">
                  <c:v>140</c:v>
                </c:pt>
                <c:pt idx="4">
                  <c:v>124</c:v>
                </c:pt>
                <c:pt idx="5">
                  <c:v>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E85-476B-B666-02BFE002DAAD}"/>
            </c:ext>
          </c:extLst>
        </c:ser>
        <c:ser>
          <c:idx val="3"/>
          <c:order val="3"/>
          <c:tx>
            <c:strRef>
              <c:f>'Monthly April 2025'!$AK$99</c:f>
              <c:strCache>
                <c:ptCount val="1"/>
                <c:pt idx="0">
                  <c:v>Tuesday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April 2025'!$AG$100:$AG$105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April 2025'!$AK$100:$AK$105</c:f>
              <c:numCache>
                <c:formatCode>General</c:formatCode>
                <c:ptCount val="6"/>
                <c:pt idx="0">
                  <c:v>400</c:v>
                </c:pt>
                <c:pt idx="1">
                  <c:v>160</c:v>
                </c:pt>
                <c:pt idx="2">
                  <c:v>284</c:v>
                </c:pt>
                <c:pt idx="3">
                  <c:v>137</c:v>
                </c:pt>
                <c:pt idx="4">
                  <c:v>87</c:v>
                </c:pt>
                <c:pt idx="5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E85-476B-B666-02BFE002DAAD}"/>
            </c:ext>
          </c:extLst>
        </c:ser>
        <c:ser>
          <c:idx val="4"/>
          <c:order val="4"/>
          <c:tx>
            <c:strRef>
              <c:f>'Monthly April 2025'!$AL$99</c:f>
              <c:strCache>
                <c:ptCount val="1"/>
                <c:pt idx="0">
                  <c:v>Wednesday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April 2025'!$AG$100:$AG$105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April 2025'!$AL$100:$AL$105</c:f>
              <c:numCache>
                <c:formatCode>General</c:formatCode>
                <c:ptCount val="6"/>
                <c:pt idx="0">
                  <c:v>402</c:v>
                </c:pt>
                <c:pt idx="1">
                  <c:v>155</c:v>
                </c:pt>
                <c:pt idx="2">
                  <c:v>313</c:v>
                </c:pt>
                <c:pt idx="3">
                  <c:v>154</c:v>
                </c:pt>
                <c:pt idx="4">
                  <c:v>107</c:v>
                </c:pt>
                <c:pt idx="5">
                  <c:v>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E85-476B-B666-02BFE002DAAD}"/>
            </c:ext>
          </c:extLst>
        </c:ser>
        <c:ser>
          <c:idx val="5"/>
          <c:order val="5"/>
          <c:tx>
            <c:strRef>
              <c:f>'Monthly April 2025'!$AM$99</c:f>
              <c:strCache>
                <c:ptCount val="1"/>
                <c:pt idx="0">
                  <c:v>Thursday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April 2025'!$AG$100:$AG$105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April 2025'!$AM$100:$AM$105</c:f>
              <c:numCache>
                <c:formatCode>General</c:formatCode>
                <c:ptCount val="6"/>
                <c:pt idx="0">
                  <c:v>344</c:v>
                </c:pt>
                <c:pt idx="1">
                  <c:v>129</c:v>
                </c:pt>
                <c:pt idx="2">
                  <c:v>249</c:v>
                </c:pt>
                <c:pt idx="3">
                  <c:v>114</c:v>
                </c:pt>
                <c:pt idx="4">
                  <c:v>65</c:v>
                </c:pt>
                <c:pt idx="5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E85-476B-B666-02BFE002DAAD}"/>
            </c:ext>
          </c:extLst>
        </c:ser>
        <c:ser>
          <c:idx val="6"/>
          <c:order val="6"/>
          <c:tx>
            <c:strRef>
              <c:f>'Monthly April 2025'!$AN$99</c:f>
              <c:strCache>
                <c:ptCount val="1"/>
                <c:pt idx="0">
                  <c:v>Friday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'Monthly April 2025'!$AG$100:$AG$105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April 2025'!$AN$100:$AN$105</c:f>
              <c:numCache>
                <c:formatCode>General</c:formatCode>
                <c:ptCount val="6"/>
                <c:pt idx="0">
                  <c:v>288</c:v>
                </c:pt>
                <c:pt idx="1">
                  <c:v>140</c:v>
                </c:pt>
                <c:pt idx="2">
                  <c:v>239</c:v>
                </c:pt>
                <c:pt idx="3">
                  <c:v>117</c:v>
                </c:pt>
                <c:pt idx="4">
                  <c:v>74</c:v>
                </c:pt>
                <c:pt idx="5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E85-476B-B666-02BFE002DA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Room Attendance - Week of 4/12/25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April 2025'!$AG$54</c:f>
              <c:strCache>
                <c:ptCount val="1"/>
                <c:pt idx="0">
                  <c:v>Cardio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April 2025'!$AH$53:$AN$53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April 2025'!$AH$54:$AN$54</c:f>
              <c:numCache>
                <c:formatCode>General</c:formatCode>
                <c:ptCount val="7"/>
                <c:pt idx="0">
                  <c:v>282</c:v>
                </c:pt>
                <c:pt idx="1">
                  <c:v>288</c:v>
                </c:pt>
                <c:pt idx="2">
                  <c:v>420</c:v>
                </c:pt>
                <c:pt idx="3">
                  <c:v>440</c:v>
                </c:pt>
                <c:pt idx="4">
                  <c:v>434</c:v>
                </c:pt>
                <c:pt idx="5">
                  <c:v>412</c:v>
                </c:pt>
                <c:pt idx="6">
                  <c:v>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A1-4AA2-BB7A-C12E64661A9D}"/>
            </c:ext>
          </c:extLst>
        </c:ser>
        <c:ser>
          <c:idx val="1"/>
          <c:order val="1"/>
          <c:tx>
            <c:strRef>
              <c:f>'Monthly April 2025'!$AG$55</c:f>
              <c:strCache>
                <c:ptCount val="1"/>
                <c:pt idx="0">
                  <c:v>eGym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April 2025'!$AH$53:$AN$53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April 2025'!$AH$55:$AN$55</c:f>
              <c:numCache>
                <c:formatCode>General</c:formatCode>
                <c:ptCount val="7"/>
                <c:pt idx="0">
                  <c:v>90</c:v>
                </c:pt>
                <c:pt idx="1">
                  <c:v>91</c:v>
                </c:pt>
                <c:pt idx="2">
                  <c:v>152</c:v>
                </c:pt>
                <c:pt idx="3">
                  <c:v>127</c:v>
                </c:pt>
                <c:pt idx="4">
                  <c:v>170</c:v>
                </c:pt>
                <c:pt idx="5">
                  <c:v>138</c:v>
                </c:pt>
                <c:pt idx="6">
                  <c:v>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7A1-4AA2-BB7A-C12E64661A9D}"/>
            </c:ext>
          </c:extLst>
        </c:ser>
        <c:ser>
          <c:idx val="2"/>
          <c:order val="2"/>
          <c:tx>
            <c:strRef>
              <c:f>'Monthly April 2025'!$AG$56</c:f>
              <c:strCache>
                <c:ptCount val="1"/>
                <c:pt idx="0">
                  <c:v>Free Weight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April 2025'!$AH$53:$AN$53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April 2025'!$AH$56:$AN$56</c:f>
              <c:numCache>
                <c:formatCode>General</c:formatCode>
                <c:ptCount val="7"/>
                <c:pt idx="0">
                  <c:v>194</c:v>
                </c:pt>
                <c:pt idx="1">
                  <c:v>171</c:v>
                </c:pt>
                <c:pt idx="2">
                  <c:v>386</c:v>
                </c:pt>
                <c:pt idx="3">
                  <c:v>363</c:v>
                </c:pt>
                <c:pt idx="4">
                  <c:v>244</c:v>
                </c:pt>
                <c:pt idx="5">
                  <c:v>351</c:v>
                </c:pt>
                <c:pt idx="6">
                  <c:v>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7A1-4AA2-BB7A-C12E64661A9D}"/>
            </c:ext>
          </c:extLst>
        </c:ser>
        <c:ser>
          <c:idx val="3"/>
          <c:order val="3"/>
          <c:tx>
            <c:strRef>
              <c:f>'Monthly April 2025'!$AG$57</c:f>
              <c:strCache>
                <c:ptCount val="1"/>
                <c:pt idx="0">
                  <c:v>Track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April 2025'!$AH$53:$AN$53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April 2025'!$AH$57:$AN$57</c:f>
              <c:numCache>
                <c:formatCode>General</c:formatCode>
                <c:ptCount val="7"/>
                <c:pt idx="0">
                  <c:v>92</c:v>
                </c:pt>
                <c:pt idx="1">
                  <c:v>94</c:v>
                </c:pt>
                <c:pt idx="2">
                  <c:v>142</c:v>
                </c:pt>
                <c:pt idx="3">
                  <c:v>146</c:v>
                </c:pt>
                <c:pt idx="4">
                  <c:v>151</c:v>
                </c:pt>
                <c:pt idx="5">
                  <c:v>151</c:v>
                </c:pt>
                <c:pt idx="6">
                  <c:v>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7A1-4AA2-BB7A-C12E64661A9D}"/>
            </c:ext>
          </c:extLst>
        </c:ser>
        <c:ser>
          <c:idx val="4"/>
          <c:order val="4"/>
          <c:tx>
            <c:strRef>
              <c:f>'Monthly April 2025'!$AG$58</c:f>
              <c:strCache>
                <c:ptCount val="1"/>
                <c:pt idx="0">
                  <c:v>Stretch &amp; Core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April 2025'!$AH$53:$AN$53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April 2025'!$AH$58:$AN$58</c:f>
              <c:numCache>
                <c:formatCode>General</c:formatCode>
                <c:ptCount val="7"/>
                <c:pt idx="0">
                  <c:v>62</c:v>
                </c:pt>
                <c:pt idx="1">
                  <c:v>70</c:v>
                </c:pt>
                <c:pt idx="2">
                  <c:v>140</c:v>
                </c:pt>
                <c:pt idx="3">
                  <c:v>117</c:v>
                </c:pt>
                <c:pt idx="4">
                  <c:v>117</c:v>
                </c:pt>
                <c:pt idx="5">
                  <c:v>119</c:v>
                </c:pt>
                <c:pt idx="6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7A1-4AA2-BB7A-C12E64661A9D}"/>
            </c:ext>
          </c:extLst>
        </c:ser>
        <c:ser>
          <c:idx val="5"/>
          <c:order val="5"/>
          <c:tx>
            <c:strRef>
              <c:f>'Monthly April 2025'!$AG$59</c:f>
              <c:strCache>
                <c:ptCount val="1"/>
                <c:pt idx="0">
                  <c:v>SPC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April 2025'!$AH$53:$AN$53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April 2025'!$AH$59:$AN$59</c:f>
              <c:numCache>
                <c:formatCode>General</c:formatCode>
                <c:ptCount val="7"/>
                <c:pt idx="0">
                  <c:v>93</c:v>
                </c:pt>
                <c:pt idx="1">
                  <c:v>65</c:v>
                </c:pt>
                <c:pt idx="2">
                  <c:v>202</c:v>
                </c:pt>
                <c:pt idx="3">
                  <c:v>138</c:v>
                </c:pt>
                <c:pt idx="4">
                  <c:v>130</c:v>
                </c:pt>
                <c:pt idx="5">
                  <c:v>122</c:v>
                </c:pt>
                <c:pt idx="6">
                  <c:v>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7A1-4AA2-BB7A-C12E64661A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Room Popularity - Week of 4/19/25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April 2025'!$AH$145</c:f>
              <c:strCache>
                <c:ptCount val="1"/>
                <c:pt idx="0">
                  <c:v>Saturday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April 2025'!$AG$146:$AG$151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April 2025'!$AH$146:$AH$151</c:f>
              <c:numCache>
                <c:formatCode>General</c:formatCode>
                <c:ptCount val="6"/>
                <c:pt idx="0">
                  <c:v>259</c:v>
                </c:pt>
                <c:pt idx="1">
                  <c:v>61</c:v>
                </c:pt>
                <c:pt idx="2">
                  <c:v>268</c:v>
                </c:pt>
                <c:pt idx="3">
                  <c:v>77</c:v>
                </c:pt>
                <c:pt idx="4">
                  <c:v>63</c:v>
                </c:pt>
                <c:pt idx="5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B5-45FA-8EB7-3B33537C5075}"/>
            </c:ext>
          </c:extLst>
        </c:ser>
        <c:ser>
          <c:idx val="1"/>
          <c:order val="1"/>
          <c:tx>
            <c:strRef>
              <c:f>'Monthly April 2025'!$AI$145</c:f>
              <c:strCache>
                <c:ptCount val="1"/>
                <c:pt idx="0">
                  <c:v>Sunday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April 2025'!$AG$146:$AG$151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April 2025'!$AI$146:$AI$151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6B5-45FA-8EB7-3B33537C5075}"/>
            </c:ext>
          </c:extLst>
        </c:ser>
        <c:ser>
          <c:idx val="2"/>
          <c:order val="2"/>
          <c:tx>
            <c:strRef>
              <c:f>'Monthly April 2025'!$AJ$145</c:f>
              <c:strCache>
                <c:ptCount val="1"/>
                <c:pt idx="0">
                  <c:v>Monday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April 2025'!$AG$146:$AG$151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April 2025'!$AJ$146:$AJ$151</c:f>
              <c:numCache>
                <c:formatCode>General</c:formatCode>
                <c:ptCount val="6"/>
                <c:pt idx="0">
                  <c:v>480</c:v>
                </c:pt>
                <c:pt idx="1">
                  <c:v>204</c:v>
                </c:pt>
                <c:pt idx="2">
                  <c:v>445</c:v>
                </c:pt>
                <c:pt idx="3">
                  <c:v>188</c:v>
                </c:pt>
                <c:pt idx="4">
                  <c:v>154</c:v>
                </c:pt>
                <c:pt idx="5">
                  <c:v>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6B5-45FA-8EB7-3B33537C5075}"/>
            </c:ext>
          </c:extLst>
        </c:ser>
        <c:ser>
          <c:idx val="3"/>
          <c:order val="3"/>
          <c:tx>
            <c:strRef>
              <c:f>'Monthly April 2025'!$AK$145</c:f>
              <c:strCache>
                <c:ptCount val="1"/>
                <c:pt idx="0">
                  <c:v>Tuesday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April 2025'!$AG$146:$AG$151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April 2025'!$AK$146:$AK$151</c:f>
              <c:numCache>
                <c:formatCode>General</c:formatCode>
                <c:ptCount val="6"/>
                <c:pt idx="0">
                  <c:v>382</c:v>
                </c:pt>
                <c:pt idx="1">
                  <c:v>139</c:v>
                </c:pt>
                <c:pt idx="2">
                  <c:v>335</c:v>
                </c:pt>
                <c:pt idx="3">
                  <c:v>107</c:v>
                </c:pt>
                <c:pt idx="4">
                  <c:v>96</c:v>
                </c:pt>
                <c:pt idx="5">
                  <c:v>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6B5-45FA-8EB7-3B33537C5075}"/>
            </c:ext>
          </c:extLst>
        </c:ser>
        <c:ser>
          <c:idx val="4"/>
          <c:order val="4"/>
          <c:tx>
            <c:strRef>
              <c:f>'Monthly April 2025'!$AL$145</c:f>
              <c:strCache>
                <c:ptCount val="1"/>
                <c:pt idx="0">
                  <c:v>Wednesday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April 2025'!$AG$146:$AG$151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April 2025'!$AL$146:$AL$151</c:f>
              <c:numCache>
                <c:formatCode>General</c:formatCode>
                <c:ptCount val="6"/>
                <c:pt idx="0">
                  <c:v>374</c:v>
                </c:pt>
                <c:pt idx="1">
                  <c:v>171</c:v>
                </c:pt>
                <c:pt idx="2">
                  <c:v>330</c:v>
                </c:pt>
                <c:pt idx="3">
                  <c:v>115</c:v>
                </c:pt>
                <c:pt idx="4">
                  <c:v>109</c:v>
                </c:pt>
                <c:pt idx="5">
                  <c:v>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6B5-45FA-8EB7-3B33537C5075}"/>
            </c:ext>
          </c:extLst>
        </c:ser>
        <c:ser>
          <c:idx val="5"/>
          <c:order val="5"/>
          <c:tx>
            <c:strRef>
              <c:f>'Monthly April 2025'!$AM$145</c:f>
              <c:strCache>
                <c:ptCount val="1"/>
                <c:pt idx="0">
                  <c:v>Thursday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April 2025'!$AG$146:$AG$151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April 2025'!$AM$146:$AM$151</c:f>
              <c:numCache>
                <c:formatCode>General</c:formatCode>
                <c:ptCount val="6"/>
                <c:pt idx="0">
                  <c:v>282</c:v>
                </c:pt>
                <c:pt idx="1">
                  <c:v>123</c:v>
                </c:pt>
                <c:pt idx="2">
                  <c:v>282</c:v>
                </c:pt>
                <c:pt idx="3">
                  <c:v>93</c:v>
                </c:pt>
                <c:pt idx="4">
                  <c:v>62</c:v>
                </c:pt>
                <c:pt idx="5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6B5-45FA-8EB7-3B33537C5075}"/>
            </c:ext>
          </c:extLst>
        </c:ser>
        <c:ser>
          <c:idx val="6"/>
          <c:order val="6"/>
          <c:tx>
            <c:strRef>
              <c:f>'Monthly April 2025'!$AN$145</c:f>
              <c:strCache>
                <c:ptCount val="1"/>
                <c:pt idx="0">
                  <c:v>Friday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'Monthly April 2025'!$AG$146:$AG$151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April 2025'!$AN$146:$AN$151</c:f>
              <c:numCache>
                <c:formatCode>General</c:formatCode>
                <c:ptCount val="6"/>
                <c:pt idx="0">
                  <c:v>293</c:v>
                </c:pt>
                <c:pt idx="1">
                  <c:v>160</c:v>
                </c:pt>
                <c:pt idx="2">
                  <c:v>279</c:v>
                </c:pt>
                <c:pt idx="3">
                  <c:v>98</c:v>
                </c:pt>
                <c:pt idx="4">
                  <c:v>94</c:v>
                </c:pt>
                <c:pt idx="5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6B5-45FA-8EB7-3B33537C50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Room Attendance - Week of 4/19/25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April 2025'!$AG$146</c:f>
              <c:strCache>
                <c:ptCount val="1"/>
                <c:pt idx="0">
                  <c:v>Cardio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April 2025'!$AH$145:$AN$145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April 2025'!$AH$146:$AN$146</c:f>
              <c:numCache>
                <c:formatCode>General</c:formatCode>
                <c:ptCount val="7"/>
                <c:pt idx="0">
                  <c:v>259</c:v>
                </c:pt>
                <c:pt idx="1">
                  <c:v>0</c:v>
                </c:pt>
                <c:pt idx="2">
                  <c:v>480</c:v>
                </c:pt>
                <c:pt idx="3">
                  <c:v>382</c:v>
                </c:pt>
                <c:pt idx="4">
                  <c:v>374</c:v>
                </c:pt>
                <c:pt idx="5">
                  <c:v>282</c:v>
                </c:pt>
                <c:pt idx="6">
                  <c:v>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EB-473B-977D-DF7B9B9D5738}"/>
            </c:ext>
          </c:extLst>
        </c:ser>
        <c:ser>
          <c:idx val="1"/>
          <c:order val="1"/>
          <c:tx>
            <c:strRef>
              <c:f>'Monthly April 2025'!$AG$147</c:f>
              <c:strCache>
                <c:ptCount val="1"/>
                <c:pt idx="0">
                  <c:v>eGym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April 2025'!$AH$145:$AN$145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April 2025'!$AH$147:$AN$147</c:f>
              <c:numCache>
                <c:formatCode>General</c:formatCode>
                <c:ptCount val="7"/>
                <c:pt idx="0">
                  <c:v>61</c:v>
                </c:pt>
                <c:pt idx="1">
                  <c:v>0</c:v>
                </c:pt>
                <c:pt idx="2">
                  <c:v>204</c:v>
                </c:pt>
                <c:pt idx="3">
                  <c:v>139</c:v>
                </c:pt>
                <c:pt idx="4">
                  <c:v>171</c:v>
                </c:pt>
                <c:pt idx="5">
                  <c:v>123</c:v>
                </c:pt>
                <c:pt idx="6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5EB-473B-977D-DF7B9B9D5738}"/>
            </c:ext>
          </c:extLst>
        </c:ser>
        <c:ser>
          <c:idx val="2"/>
          <c:order val="2"/>
          <c:tx>
            <c:strRef>
              <c:f>'Monthly April 2025'!$AG$148</c:f>
              <c:strCache>
                <c:ptCount val="1"/>
                <c:pt idx="0">
                  <c:v>Free Weight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April 2025'!$AH$145:$AN$145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April 2025'!$AH$148:$AN$148</c:f>
              <c:numCache>
                <c:formatCode>General</c:formatCode>
                <c:ptCount val="7"/>
                <c:pt idx="0">
                  <c:v>268</c:v>
                </c:pt>
                <c:pt idx="1">
                  <c:v>0</c:v>
                </c:pt>
                <c:pt idx="2">
                  <c:v>445</c:v>
                </c:pt>
                <c:pt idx="3">
                  <c:v>335</c:v>
                </c:pt>
                <c:pt idx="4">
                  <c:v>330</c:v>
                </c:pt>
                <c:pt idx="5">
                  <c:v>282</c:v>
                </c:pt>
                <c:pt idx="6">
                  <c:v>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5EB-473B-977D-DF7B9B9D5738}"/>
            </c:ext>
          </c:extLst>
        </c:ser>
        <c:ser>
          <c:idx val="3"/>
          <c:order val="3"/>
          <c:tx>
            <c:strRef>
              <c:f>'Monthly April 2025'!$AG$149</c:f>
              <c:strCache>
                <c:ptCount val="1"/>
                <c:pt idx="0">
                  <c:v>Track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April 2025'!$AH$145:$AN$145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April 2025'!$AH$149:$AN$149</c:f>
              <c:numCache>
                <c:formatCode>General</c:formatCode>
                <c:ptCount val="7"/>
                <c:pt idx="0">
                  <c:v>77</c:v>
                </c:pt>
                <c:pt idx="1">
                  <c:v>0</c:v>
                </c:pt>
                <c:pt idx="2">
                  <c:v>188</c:v>
                </c:pt>
                <c:pt idx="3">
                  <c:v>107</c:v>
                </c:pt>
                <c:pt idx="4">
                  <c:v>115</c:v>
                </c:pt>
                <c:pt idx="5">
                  <c:v>93</c:v>
                </c:pt>
                <c:pt idx="6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5EB-473B-977D-DF7B9B9D5738}"/>
            </c:ext>
          </c:extLst>
        </c:ser>
        <c:ser>
          <c:idx val="4"/>
          <c:order val="4"/>
          <c:tx>
            <c:strRef>
              <c:f>'Monthly April 2025'!$AG$150</c:f>
              <c:strCache>
                <c:ptCount val="1"/>
                <c:pt idx="0">
                  <c:v>Stretch &amp; Core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April 2025'!$AH$145:$AN$145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April 2025'!$AH$150:$AN$150</c:f>
              <c:numCache>
                <c:formatCode>General</c:formatCode>
                <c:ptCount val="7"/>
                <c:pt idx="0">
                  <c:v>63</c:v>
                </c:pt>
                <c:pt idx="1">
                  <c:v>0</c:v>
                </c:pt>
                <c:pt idx="2">
                  <c:v>154</c:v>
                </c:pt>
                <c:pt idx="3">
                  <c:v>96</c:v>
                </c:pt>
                <c:pt idx="4">
                  <c:v>109</c:v>
                </c:pt>
                <c:pt idx="5">
                  <c:v>62</c:v>
                </c:pt>
                <c:pt idx="6">
                  <c:v>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5EB-473B-977D-DF7B9B9D5738}"/>
            </c:ext>
          </c:extLst>
        </c:ser>
        <c:ser>
          <c:idx val="5"/>
          <c:order val="5"/>
          <c:tx>
            <c:strRef>
              <c:f>'Monthly April 2025'!$AG$151</c:f>
              <c:strCache>
                <c:ptCount val="1"/>
                <c:pt idx="0">
                  <c:v>SPC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April 2025'!$AH$145:$AN$145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April 2025'!$AH$151:$AN$151</c:f>
              <c:numCache>
                <c:formatCode>General</c:formatCode>
                <c:ptCount val="7"/>
                <c:pt idx="0">
                  <c:v>86</c:v>
                </c:pt>
                <c:pt idx="1">
                  <c:v>0</c:v>
                </c:pt>
                <c:pt idx="2">
                  <c:v>153</c:v>
                </c:pt>
                <c:pt idx="3">
                  <c:v>111</c:v>
                </c:pt>
                <c:pt idx="4">
                  <c:v>123</c:v>
                </c:pt>
                <c:pt idx="5">
                  <c:v>130</c:v>
                </c:pt>
                <c:pt idx="6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5EB-473B-977D-DF7B9B9D57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Room Popularity - Week of 4/26/25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April 2025'!$AH$191</c:f>
              <c:strCache>
                <c:ptCount val="1"/>
                <c:pt idx="0">
                  <c:v>Saturday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April 2025'!$AG$192:$AG$197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April 2025'!$AH$192:$AH$197</c:f>
              <c:numCache>
                <c:formatCode>General</c:formatCode>
                <c:ptCount val="6"/>
                <c:pt idx="0">
                  <c:v>289</c:v>
                </c:pt>
                <c:pt idx="1">
                  <c:v>83</c:v>
                </c:pt>
                <c:pt idx="2">
                  <c:v>218</c:v>
                </c:pt>
                <c:pt idx="3">
                  <c:v>87</c:v>
                </c:pt>
                <c:pt idx="4">
                  <c:v>84</c:v>
                </c:pt>
                <c:pt idx="5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B1-4F19-86CD-DCB7E24E93B0}"/>
            </c:ext>
          </c:extLst>
        </c:ser>
        <c:ser>
          <c:idx val="1"/>
          <c:order val="1"/>
          <c:tx>
            <c:strRef>
              <c:f>'Monthly April 2025'!$AI$191</c:f>
              <c:strCache>
                <c:ptCount val="1"/>
                <c:pt idx="0">
                  <c:v>Sunday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April 2025'!$AG$192:$AG$197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April 2025'!$AI$192:$AI$197</c:f>
              <c:numCache>
                <c:formatCode>General</c:formatCode>
                <c:ptCount val="6"/>
                <c:pt idx="0">
                  <c:v>195</c:v>
                </c:pt>
                <c:pt idx="1">
                  <c:v>74</c:v>
                </c:pt>
                <c:pt idx="2">
                  <c:v>167</c:v>
                </c:pt>
                <c:pt idx="3">
                  <c:v>52</c:v>
                </c:pt>
                <c:pt idx="4">
                  <c:v>62</c:v>
                </c:pt>
                <c:pt idx="5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BB1-4F19-86CD-DCB7E24E93B0}"/>
            </c:ext>
          </c:extLst>
        </c:ser>
        <c:ser>
          <c:idx val="2"/>
          <c:order val="2"/>
          <c:tx>
            <c:strRef>
              <c:f>'Monthly April 2025'!$AJ$191</c:f>
              <c:strCache>
                <c:ptCount val="1"/>
                <c:pt idx="0">
                  <c:v>Monday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April 2025'!$AG$192:$AG$197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April 2025'!$AJ$192:$AJ$197</c:f>
              <c:numCache>
                <c:formatCode>General</c:formatCode>
                <c:ptCount val="6"/>
                <c:pt idx="0">
                  <c:v>442</c:v>
                </c:pt>
                <c:pt idx="1">
                  <c:v>192</c:v>
                </c:pt>
                <c:pt idx="2">
                  <c:v>407</c:v>
                </c:pt>
                <c:pt idx="3">
                  <c:v>142</c:v>
                </c:pt>
                <c:pt idx="4">
                  <c:v>126</c:v>
                </c:pt>
                <c:pt idx="5">
                  <c:v>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BB1-4F19-86CD-DCB7E24E93B0}"/>
            </c:ext>
          </c:extLst>
        </c:ser>
        <c:ser>
          <c:idx val="3"/>
          <c:order val="3"/>
          <c:tx>
            <c:strRef>
              <c:f>'Monthly April 2025'!$AK$191</c:f>
              <c:strCache>
                <c:ptCount val="1"/>
                <c:pt idx="0">
                  <c:v>Tuesday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April 2025'!$AG$192:$AG$197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April 2025'!$AK$192:$AK$197</c:f>
              <c:numCache>
                <c:formatCode>General</c:formatCode>
                <c:ptCount val="6"/>
                <c:pt idx="0">
                  <c:v>408</c:v>
                </c:pt>
                <c:pt idx="1">
                  <c:v>191</c:v>
                </c:pt>
                <c:pt idx="2">
                  <c:v>364</c:v>
                </c:pt>
                <c:pt idx="3">
                  <c:v>132</c:v>
                </c:pt>
                <c:pt idx="4">
                  <c:v>119</c:v>
                </c:pt>
                <c:pt idx="5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BB1-4F19-86CD-DCB7E24E93B0}"/>
            </c:ext>
          </c:extLst>
        </c:ser>
        <c:ser>
          <c:idx val="4"/>
          <c:order val="4"/>
          <c:tx>
            <c:strRef>
              <c:f>'Monthly April 2025'!$AL$191</c:f>
              <c:strCache>
                <c:ptCount val="1"/>
                <c:pt idx="0">
                  <c:v>Wednesday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April 2025'!$AG$192:$AG$197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April 2025'!$AL$192:$AL$197</c:f>
              <c:numCache>
                <c:formatCode>General</c:formatCode>
                <c:ptCount val="6"/>
                <c:pt idx="0">
                  <c:v>353</c:v>
                </c:pt>
                <c:pt idx="1">
                  <c:v>167</c:v>
                </c:pt>
                <c:pt idx="2">
                  <c:v>289</c:v>
                </c:pt>
                <c:pt idx="3">
                  <c:v>88</c:v>
                </c:pt>
                <c:pt idx="4">
                  <c:v>102</c:v>
                </c:pt>
                <c:pt idx="5">
                  <c:v>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BB1-4F19-86CD-DCB7E24E93B0}"/>
            </c:ext>
          </c:extLst>
        </c:ser>
        <c:ser>
          <c:idx val="5"/>
          <c:order val="5"/>
          <c:tx>
            <c:strRef>
              <c:f>'Monthly April 2025'!$AM$191</c:f>
              <c:strCache>
                <c:ptCount val="1"/>
                <c:pt idx="0">
                  <c:v>Thursday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April 2025'!$AG$192:$AG$197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April 2025'!$AM$192:$AM$197</c:f>
              <c:numCache>
                <c:formatCode>General</c:formatCode>
                <c:ptCount val="6"/>
                <c:pt idx="0">
                  <c:v>304</c:v>
                </c:pt>
                <c:pt idx="1">
                  <c:v>152</c:v>
                </c:pt>
                <c:pt idx="2">
                  <c:v>335</c:v>
                </c:pt>
                <c:pt idx="3">
                  <c:v>104</c:v>
                </c:pt>
                <c:pt idx="4">
                  <c:v>93</c:v>
                </c:pt>
                <c:pt idx="5">
                  <c:v>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BB1-4F19-86CD-DCB7E24E93B0}"/>
            </c:ext>
          </c:extLst>
        </c:ser>
        <c:ser>
          <c:idx val="6"/>
          <c:order val="6"/>
          <c:tx>
            <c:strRef>
              <c:f>'Monthly April 2025'!$AN$191</c:f>
              <c:strCache>
                <c:ptCount val="1"/>
                <c:pt idx="0">
                  <c:v>Friday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'Monthly April 2025'!$AG$192:$AG$197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April 2025'!$AN$192:$AN$197</c:f>
              <c:numCache>
                <c:formatCode>General</c:formatCode>
                <c:ptCount val="6"/>
                <c:pt idx="0">
                  <c:v>255</c:v>
                </c:pt>
                <c:pt idx="1">
                  <c:v>151</c:v>
                </c:pt>
                <c:pt idx="2">
                  <c:v>274</c:v>
                </c:pt>
                <c:pt idx="3">
                  <c:v>93</c:v>
                </c:pt>
                <c:pt idx="4">
                  <c:v>75</c:v>
                </c:pt>
                <c:pt idx="5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BB1-4F19-86CD-DCB7E24E93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Room Attendance - Week of 4/26/25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April 2025'!$AG$192</c:f>
              <c:strCache>
                <c:ptCount val="1"/>
                <c:pt idx="0">
                  <c:v>Cardio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April 2025'!$AH$191:$AN$191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April 2025'!$AH$192:$AN$192</c:f>
              <c:numCache>
                <c:formatCode>General</c:formatCode>
                <c:ptCount val="7"/>
                <c:pt idx="0">
                  <c:v>289</c:v>
                </c:pt>
                <c:pt idx="1">
                  <c:v>195</c:v>
                </c:pt>
                <c:pt idx="2">
                  <c:v>442</c:v>
                </c:pt>
                <c:pt idx="3">
                  <c:v>408</c:v>
                </c:pt>
                <c:pt idx="4">
                  <c:v>353</c:v>
                </c:pt>
                <c:pt idx="5">
                  <c:v>304</c:v>
                </c:pt>
                <c:pt idx="6">
                  <c:v>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75-487A-A098-346929EA3B95}"/>
            </c:ext>
          </c:extLst>
        </c:ser>
        <c:ser>
          <c:idx val="1"/>
          <c:order val="1"/>
          <c:tx>
            <c:strRef>
              <c:f>'Monthly April 2025'!$AG$193</c:f>
              <c:strCache>
                <c:ptCount val="1"/>
                <c:pt idx="0">
                  <c:v>eGym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April 2025'!$AH$191:$AN$191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April 2025'!$AH$193:$AN$193</c:f>
              <c:numCache>
                <c:formatCode>General</c:formatCode>
                <c:ptCount val="7"/>
                <c:pt idx="0">
                  <c:v>83</c:v>
                </c:pt>
                <c:pt idx="1">
                  <c:v>74</c:v>
                </c:pt>
                <c:pt idx="2">
                  <c:v>192</c:v>
                </c:pt>
                <c:pt idx="3">
                  <c:v>191</c:v>
                </c:pt>
                <c:pt idx="4">
                  <c:v>167</c:v>
                </c:pt>
                <c:pt idx="5">
                  <c:v>152</c:v>
                </c:pt>
                <c:pt idx="6">
                  <c:v>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575-487A-A098-346929EA3B95}"/>
            </c:ext>
          </c:extLst>
        </c:ser>
        <c:ser>
          <c:idx val="2"/>
          <c:order val="2"/>
          <c:tx>
            <c:strRef>
              <c:f>'Monthly April 2025'!$AG$194</c:f>
              <c:strCache>
                <c:ptCount val="1"/>
                <c:pt idx="0">
                  <c:v>Free Weight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April 2025'!$AH$191:$AN$191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April 2025'!$AH$194:$AN$194</c:f>
              <c:numCache>
                <c:formatCode>General</c:formatCode>
                <c:ptCount val="7"/>
                <c:pt idx="0">
                  <c:v>218</c:v>
                </c:pt>
                <c:pt idx="1">
                  <c:v>167</c:v>
                </c:pt>
                <c:pt idx="2">
                  <c:v>407</c:v>
                </c:pt>
                <c:pt idx="3">
                  <c:v>364</c:v>
                </c:pt>
                <c:pt idx="4">
                  <c:v>289</c:v>
                </c:pt>
                <c:pt idx="5">
                  <c:v>335</c:v>
                </c:pt>
                <c:pt idx="6">
                  <c:v>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75-487A-A098-346929EA3B95}"/>
            </c:ext>
          </c:extLst>
        </c:ser>
        <c:ser>
          <c:idx val="3"/>
          <c:order val="3"/>
          <c:tx>
            <c:strRef>
              <c:f>'Monthly April 2025'!$AG$195</c:f>
              <c:strCache>
                <c:ptCount val="1"/>
                <c:pt idx="0">
                  <c:v>Track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April 2025'!$AH$191:$AN$191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April 2025'!$AH$195:$AN$195</c:f>
              <c:numCache>
                <c:formatCode>General</c:formatCode>
                <c:ptCount val="7"/>
                <c:pt idx="0">
                  <c:v>87</c:v>
                </c:pt>
                <c:pt idx="1">
                  <c:v>52</c:v>
                </c:pt>
                <c:pt idx="2">
                  <c:v>142</c:v>
                </c:pt>
                <c:pt idx="3">
                  <c:v>132</c:v>
                </c:pt>
                <c:pt idx="4">
                  <c:v>88</c:v>
                </c:pt>
                <c:pt idx="5">
                  <c:v>104</c:v>
                </c:pt>
                <c:pt idx="6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575-487A-A098-346929EA3B95}"/>
            </c:ext>
          </c:extLst>
        </c:ser>
        <c:ser>
          <c:idx val="4"/>
          <c:order val="4"/>
          <c:tx>
            <c:strRef>
              <c:f>'Monthly April 2025'!$AG$196</c:f>
              <c:strCache>
                <c:ptCount val="1"/>
                <c:pt idx="0">
                  <c:v>Stretch &amp; Core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April 2025'!$AH$191:$AN$191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April 2025'!$AH$196:$AN$196</c:f>
              <c:numCache>
                <c:formatCode>General</c:formatCode>
                <c:ptCount val="7"/>
                <c:pt idx="0">
                  <c:v>84</c:v>
                </c:pt>
                <c:pt idx="1">
                  <c:v>62</c:v>
                </c:pt>
                <c:pt idx="2">
                  <c:v>126</c:v>
                </c:pt>
                <c:pt idx="3">
                  <c:v>119</c:v>
                </c:pt>
                <c:pt idx="4">
                  <c:v>102</c:v>
                </c:pt>
                <c:pt idx="5">
                  <c:v>93</c:v>
                </c:pt>
                <c:pt idx="6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575-487A-A098-346929EA3B95}"/>
            </c:ext>
          </c:extLst>
        </c:ser>
        <c:ser>
          <c:idx val="5"/>
          <c:order val="5"/>
          <c:tx>
            <c:strRef>
              <c:f>'Monthly April 2025'!$AG$197</c:f>
              <c:strCache>
                <c:ptCount val="1"/>
                <c:pt idx="0">
                  <c:v>SPC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April 2025'!$AH$191:$AN$191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April 2025'!$AH$197:$AN$197</c:f>
              <c:numCache>
                <c:formatCode>General</c:formatCode>
                <c:ptCount val="7"/>
                <c:pt idx="0">
                  <c:v>82</c:v>
                </c:pt>
                <c:pt idx="1">
                  <c:v>50</c:v>
                </c:pt>
                <c:pt idx="2">
                  <c:v>187</c:v>
                </c:pt>
                <c:pt idx="3">
                  <c:v>101</c:v>
                </c:pt>
                <c:pt idx="4">
                  <c:v>126</c:v>
                </c:pt>
                <c:pt idx="5">
                  <c:v>106</c:v>
                </c:pt>
                <c:pt idx="6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575-487A-A098-346929EA3B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Room Popularity: 5/3 - 5/9/25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May 2025'!$AH$5</c:f>
              <c:strCache>
                <c:ptCount val="1"/>
                <c:pt idx="0">
                  <c:v>Saturday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May 2025'!$AG$6:$AG$11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May 2025'!$AH$6:$AH$11</c:f>
              <c:numCache>
                <c:formatCode>General</c:formatCode>
                <c:ptCount val="6"/>
                <c:pt idx="0">
                  <c:v>257</c:v>
                </c:pt>
                <c:pt idx="1">
                  <c:v>99</c:v>
                </c:pt>
                <c:pt idx="2">
                  <c:v>261</c:v>
                </c:pt>
                <c:pt idx="3">
                  <c:v>112</c:v>
                </c:pt>
                <c:pt idx="4">
                  <c:v>99</c:v>
                </c:pt>
                <c:pt idx="5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CB-4EF8-8DCA-AB7C6E62639B}"/>
            </c:ext>
          </c:extLst>
        </c:ser>
        <c:ser>
          <c:idx val="1"/>
          <c:order val="1"/>
          <c:tx>
            <c:strRef>
              <c:f>'Monthly May 2025'!$AI$5</c:f>
              <c:strCache>
                <c:ptCount val="1"/>
                <c:pt idx="0">
                  <c:v>Sunday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May 2025'!$AG$6:$AG$11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May 2025'!$AI$6:$AI$11</c:f>
              <c:numCache>
                <c:formatCode>General</c:formatCode>
                <c:ptCount val="6"/>
                <c:pt idx="0">
                  <c:v>277</c:v>
                </c:pt>
                <c:pt idx="1">
                  <c:v>83</c:v>
                </c:pt>
                <c:pt idx="2">
                  <c:v>227</c:v>
                </c:pt>
                <c:pt idx="3">
                  <c:v>79</c:v>
                </c:pt>
                <c:pt idx="4">
                  <c:v>87</c:v>
                </c:pt>
                <c:pt idx="5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3CB-4EF8-8DCA-AB7C6E62639B}"/>
            </c:ext>
          </c:extLst>
        </c:ser>
        <c:ser>
          <c:idx val="2"/>
          <c:order val="2"/>
          <c:tx>
            <c:strRef>
              <c:f>'Monthly May 2025'!$AJ$5</c:f>
              <c:strCache>
                <c:ptCount val="1"/>
                <c:pt idx="0">
                  <c:v>Monday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May 2025'!$AG$6:$AG$11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May 2025'!$AJ$6:$AJ$11</c:f>
              <c:numCache>
                <c:formatCode>General</c:formatCode>
                <c:ptCount val="6"/>
                <c:pt idx="0">
                  <c:v>409</c:v>
                </c:pt>
                <c:pt idx="1">
                  <c:v>161</c:v>
                </c:pt>
                <c:pt idx="2">
                  <c:v>374</c:v>
                </c:pt>
                <c:pt idx="3">
                  <c:v>135</c:v>
                </c:pt>
                <c:pt idx="4">
                  <c:v>113</c:v>
                </c:pt>
                <c:pt idx="5">
                  <c:v>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3CB-4EF8-8DCA-AB7C6E62639B}"/>
            </c:ext>
          </c:extLst>
        </c:ser>
        <c:ser>
          <c:idx val="3"/>
          <c:order val="3"/>
          <c:tx>
            <c:strRef>
              <c:f>'Monthly May 2025'!$AK$5</c:f>
              <c:strCache>
                <c:ptCount val="1"/>
                <c:pt idx="0">
                  <c:v>Tuesday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May 2025'!$AG$6:$AG$11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May 2025'!$AK$6:$AK$11</c:f>
              <c:numCache>
                <c:formatCode>General</c:formatCode>
                <c:ptCount val="6"/>
                <c:pt idx="0">
                  <c:v>345</c:v>
                </c:pt>
                <c:pt idx="1">
                  <c:v>129</c:v>
                </c:pt>
                <c:pt idx="2">
                  <c:v>323</c:v>
                </c:pt>
                <c:pt idx="3">
                  <c:v>113</c:v>
                </c:pt>
                <c:pt idx="4">
                  <c:v>79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3CB-4EF8-8DCA-AB7C6E62639B}"/>
            </c:ext>
          </c:extLst>
        </c:ser>
        <c:ser>
          <c:idx val="4"/>
          <c:order val="4"/>
          <c:tx>
            <c:strRef>
              <c:f>'Monthly May 2025'!$AL$5</c:f>
              <c:strCache>
                <c:ptCount val="1"/>
                <c:pt idx="0">
                  <c:v>Wednesday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May 2025'!$AG$6:$AG$11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May 2025'!$AL$6:$AL$11</c:f>
              <c:numCache>
                <c:formatCode>General</c:formatCode>
                <c:ptCount val="6"/>
                <c:pt idx="0">
                  <c:v>320</c:v>
                </c:pt>
                <c:pt idx="1">
                  <c:v>149</c:v>
                </c:pt>
                <c:pt idx="2">
                  <c:v>311</c:v>
                </c:pt>
                <c:pt idx="3">
                  <c:v>134</c:v>
                </c:pt>
                <c:pt idx="4">
                  <c:v>93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3CB-4EF8-8DCA-AB7C6E62639B}"/>
            </c:ext>
          </c:extLst>
        </c:ser>
        <c:ser>
          <c:idx val="5"/>
          <c:order val="5"/>
          <c:tx>
            <c:strRef>
              <c:f>'Monthly May 2025'!$AM$5</c:f>
              <c:strCache>
                <c:ptCount val="1"/>
                <c:pt idx="0">
                  <c:v>Thursday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May 2025'!$AG$6:$AG$11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May 2025'!$AM$6:$AM$11</c:f>
              <c:numCache>
                <c:formatCode>General</c:formatCode>
                <c:ptCount val="6"/>
                <c:pt idx="0">
                  <c:v>306</c:v>
                </c:pt>
                <c:pt idx="1">
                  <c:v>146</c:v>
                </c:pt>
                <c:pt idx="2">
                  <c:v>277</c:v>
                </c:pt>
                <c:pt idx="3">
                  <c:v>125</c:v>
                </c:pt>
                <c:pt idx="4">
                  <c:v>97</c:v>
                </c:pt>
                <c:pt idx="5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3CB-4EF8-8DCA-AB7C6E62639B}"/>
            </c:ext>
          </c:extLst>
        </c:ser>
        <c:ser>
          <c:idx val="6"/>
          <c:order val="6"/>
          <c:tx>
            <c:strRef>
              <c:f>'Monthly May 2025'!$AN$5</c:f>
              <c:strCache>
                <c:ptCount val="1"/>
                <c:pt idx="0">
                  <c:v>Friday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'Monthly May 2025'!$AG$6:$AG$11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May 2025'!$AN$6:$AN$11</c:f>
              <c:numCache>
                <c:formatCode>General</c:formatCode>
                <c:ptCount val="6"/>
                <c:pt idx="0">
                  <c:v>265</c:v>
                </c:pt>
                <c:pt idx="1">
                  <c:v>137</c:v>
                </c:pt>
                <c:pt idx="2">
                  <c:v>217</c:v>
                </c:pt>
                <c:pt idx="3">
                  <c:v>83</c:v>
                </c:pt>
                <c:pt idx="4">
                  <c:v>86</c:v>
                </c:pt>
                <c:pt idx="5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3CB-4EF8-8DCA-AB7C6E6263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Room Attendance: 5/3 - 5/9/25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May 2025'!$AG$6</c:f>
              <c:strCache>
                <c:ptCount val="1"/>
                <c:pt idx="0">
                  <c:v>Cardio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May 2025'!$AH$5:$AN$5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May 2025'!$AH$6:$AN$6</c:f>
              <c:numCache>
                <c:formatCode>General</c:formatCode>
                <c:ptCount val="7"/>
                <c:pt idx="0">
                  <c:v>257</c:v>
                </c:pt>
                <c:pt idx="1">
                  <c:v>277</c:v>
                </c:pt>
                <c:pt idx="2">
                  <c:v>409</c:v>
                </c:pt>
                <c:pt idx="3">
                  <c:v>345</c:v>
                </c:pt>
                <c:pt idx="4">
                  <c:v>320</c:v>
                </c:pt>
                <c:pt idx="5">
                  <c:v>306</c:v>
                </c:pt>
                <c:pt idx="6">
                  <c:v>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1A-4884-887A-ADC3C99DA7A7}"/>
            </c:ext>
          </c:extLst>
        </c:ser>
        <c:ser>
          <c:idx val="1"/>
          <c:order val="1"/>
          <c:tx>
            <c:strRef>
              <c:f>'Monthly May 2025'!$AG$7</c:f>
              <c:strCache>
                <c:ptCount val="1"/>
                <c:pt idx="0">
                  <c:v>eGym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May 2025'!$AH$5:$AN$5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May 2025'!$AH$7:$AN$7</c:f>
              <c:numCache>
                <c:formatCode>General</c:formatCode>
                <c:ptCount val="7"/>
                <c:pt idx="0">
                  <c:v>99</c:v>
                </c:pt>
                <c:pt idx="1">
                  <c:v>83</c:v>
                </c:pt>
                <c:pt idx="2">
                  <c:v>161</c:v>
                </c:pt>
                <c:pt idx="3">
                  <c:v>129</c:v>
                </c:pt>
                <c:pt idx="4">
                  <c:v>149</c:v>
                </c:pt>
                <c:pt idx="5">
                  <c:v>146</c:v>
                </c:pt>
                <c:pt idx="6">
                  <c:v>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81A-4884-887A-ADC3C99DA7A7}"/>
            </c:ext>
          </c:extLst>
        </c:ser>
        <c:ser>
          <c:idx val="2"/>
          <c:order val="2"/>
          <c:tx>
            <c:strRef>
              <c:f>'Monthly May 2025'!$AG$8</c:f>
              <c:strCache>
                <c:ptCount val="1"/>
                <c:pt idx="0">
                  <c:v>Free Weight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May 2025'!$AH$5:$AN$5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May 2025'!$AH$8:$AN$8</c:f>
              <c:numCache>
                <c:formatCode>General</c:formatCode>
                <c:ptCount val="7"/>
                <c:pt idx="0">
                  <c:v>261</c:v>
                </c:pt>
                <c:pt idx="1">
                  <c:v>227</c:v>
                </c:pt>
                <c:pt idx="2">
                  <c:v>374</c:v>
                </c:pt>
                <c:pt idx="3">
                  <c:v>323</c:v>
                </c:pt>
                <c:pt idx="4">
                  <c:v>311</c:v>
                </c:pt>
                <c:pt idx="5">
                  <c:v>277</c:v>
                </c:pt>
                <c:pt idx="6">
                  <c:v>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81A-4884-887A-ADC3C99DA7A7}"/>
            </c:ext>
          </c:extLst>
        </c:ser>
        <c:ser>
          <c:idx val="3"/>
          <c:order val="3"/>
          <c:tx>
            <c:strRef>
              <c:f>'Monthly May 2025'!$AG$9</c:f>
              <c:strCache>
                <c:ptCount val="1"/>
                <c:pt idx="0">
                  <c:v>Track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May 2025'!$AH$5:$AN$5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May 2025'!$AH$9:$AN$9</c:f>
              <c:numCache>
                <c:formatCode>General</c:formatCode>
                <c:ptCount val="7"/>
                <c:pt idx="0">
                  <c:v>112</c:v>
                </c:pt>
                <c:pt idx="1">
                  <c:v>79</c:v>
                </c:pt>
                <c:pt idx="2">
                  <c:v>135</c:v>
                </c:pt>
                <c:pt idx="3">
                  <c:v>113</c:v>
                </c:pt>
                <c:pt idx="4">
                  <c:v>134</c:v>
                </c:pt>
                <c:pt idx="5">
                  <c:v>125</c:v>
                </c:pt>
                <c:pt idx="6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81A-4884-887A-ADC3C99DA7A7}"/>
            </c:ext>
          </c:extLst>
        </c:ser>
        <c:ser>
          <c:idx val="4"/>
          <c:order val="4"/>
          <c:tx>
            <c:strRef>
              <c:f>'Monthly May 2025'!$AG$10</c:f>
              <c:strCache>
                <c:ptCount val="1"/>
                <c:pt idx="0">
                  <c:v>Stretch &amp; Core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May 2025'!$AH$5:$AN$5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May 2025'!$AH$10:$AN$10</c:f>
              <c:numCache>
                <c:formatCode>General</c:formatCode>
                <c:ptCount val="7"/>
                <c:pt idx="0">
                  <c:v>99</c:v>
                </c:pt>
                <c:pt idx="1">
                  <c:v>87</c:v>
                </c:pt>
                <c:pt idx="2">
                  <c:v>113</c:v>
                </c:pt>
                <c:pt idx="3">
                  <c:v>79</c:v>
                </c:pt>
                <c:pt idx="4">
                  <c:v>93</c:v>
                </c:pt>
                <c:pt idx="5">
                  <c:v>97</c:v>
                </c:pt>
                <c:pt idx="6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81A-4884-887A-ADC3C99DA7A7}"/>
            </c:ext>
          </c:extLst>
        </c:ser>
        <c:ser>
          <c:idx val="5"/>
          <c:order val="5"/>
          <c:tx>
            <c:strRef>
              <c:f>'Monthly May 2025'!$AG$11</c:f>
              <c:strCache>
                <c:ptCount val="1"/>
                <c:pt idx="0">
                  <c:v>SPC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May 2025'!$AH$5:$AN$5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May 2025'!$AH$11:$AN$11</c:f>
              <c:numCache>
                <c:formatCode>General</c:formatCode>
                <c:ptCount val="7"/>
                <c:pt idx="0">
                  <c:v>91</c:v>
                </c:pt>
                <c:pt idx="1">
                  <c:v>73</c:v>
                </c:pt>
                <c:pt idx="2">
                  <c:v>124</c:v>
                </c:pt>
                <c:pt idx="3">
                  <c:v>100</c:v>
                </c:pt>
                <c:pt idx="4">
                  <c:v>100</c:v>
                </c:pt>
                <c:pt idx="5">
                  <c:v>93</c:v>
                </c:pt>
                <c:pt idx="6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81A-4884-887A-ADC3C99DA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Room Popularity: 5/10 - 5/16/25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May 2025'!$AH$51</c:f>
              <c:strCache>
                <c:ptCount val="1"/>
                <c:pt idx="0">
                  <c:v>Saturday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May 2025'!$AG$52:$AG$57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May 2025'!$AH$52:$AH$57</c:f>
              <c:numCache>
                <c:formatCode>General</c:formatCode>
                <c:ptCount val="6"/>
                <c:pt idx="0">
                  <c:v>160</c:v>
                </c:pt>
                <c:pt idx="1">
                  <c:v>50</c:v>
                </c:pt>
                <c:pt idx="2">
                  <c:v>172</c:v>
                </c:pt>
                <c:pt idx="3">
                  <c:v>38</c:v>
                </c:pt>
                <c:pt idx="4">
                  <c:v>44</c:v>
                </c:pt>
                <c:pt idx="5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7C-4713-8F79-011C7BB0F1D1}"/>
            </c:ext>
          </c:extLst>
        </c:ser>
        <c:ser>
          <c:idx val="1"/>
          <c:order val="1"/>
          <c:tx>
            <c:strRef>
              <c:f>'Monthly May 2025'!$AI$51</c:f>
              <c:strCache>
                <c:ptCount val="1"/>
                <c:pt idx="0">
                  <c:v>Sunday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May 2025'!$AG$52:$AG$57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May 2025'!$AI$52:$AI$57</c:f>
              <c:numCache>
                <c:formatCode>General</c:formatCode>
                <c:ptCount val="6"/>
                <c:pt idx="0">
                  <c:v>125</c:v>
                </c:pt>
                <c:pt idx="1">
                  <c:v>35</c:v>
                </c:pt>
                <c:pt idx="2">
                  <c:v>99</c:v>
                </c:pt>
                <c:pt idx="3">
                  <c:v>43</c:v>
                </c:pt>
                <c:pt idx="4">
                  <c:v>34</c:v>
                </c:pt>
                <c:pt idx="5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D7C-4713-8F79-011C7BB0F1D1}"/>
            </c:ext>
          </c:extLst>
        </c:ser>
        <c:ser>
          <c:idx val="2"/>
          <c:order val="2"/>
          <c:tx>
            <c:strRef>
              <c:f>'Monthly May 2025'!$AJ$51</c:f>
              <c:strCache>
                <c:ptCount val="1"/>
                <c:pt idx="0">
                  <c:v>Monday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May 2025'!$AG$52:$AG$57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May 2025'!$AJ$52:$AJ$57</c:f>
              <c:numCache>
                <c:formatCode>General</c:formatCode>
                <c:ptCount val="6"/>
                <c:pt idx="0">
                  <c:v>347</c:v>
                </c:pt>
                <c:pt idx="1">
                  <c:v>148</c:v>
                </c:pt>
                <c:pt idx="2">
                  <c:v>365</c:v>
                </c:pt>
                <c:pt idx="3">
                  <c:v>104</c:v>
                </c:pt>
                <c:pt idx="4">
                  <c:v>93</c:v>
                </c:pt>
                <c:pt idx="5">
                  <c:v>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D7C-4713-8F79-011C7BB0F1D1}"/>
            </c:ext>
          </c:extLst>
        </c:ser>
        <c:ser>
          <c:idx val="3"/>
          <c:order val="3"/>
          <c:tx>
            <c:strRef>
              <c:f>'Monthly May 2025'!$AK$51</c:f>
              <c:strCache>
                <c:ptCount val="1"/>
                <c:pt idx="0">
                  <c:v>Tuesday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May 2025'!$AG$52:$AG$57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May 2025'!$AK$52:$AK$57</c:f>
              <c:numCache>
                <c:formatCode>General</c:formatCode>
                <c:ptCount val="6"/>
                <c:pt idx="0">
                  <c:v>363</c:v>
                </c:pt>
                <c:pt idx="1">
                  <c:v>131</c:v>
                </c:pt>
                <c:pt idx="2">
                  <c:v>359</c:v>
                </c:pt>
                <c:pt idx="3">
                  <c:v>116</c:v>
                </c:pt>
                <c:pt idx="4">
                  <c:v>98</c:v>
                </c:pt>
                <c:pt idx="5">
                  <c:v>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D7C-4713-8F79-011C7BB0F1D1}"/>
            </c:ext>
          </c:extLst>
        </c:ser>
        <c:ser>
          <c:idx val="4"/>
          <c:order val="4"/>
          <c:tx>
            <c:strRef>
              <c:f>'Monthly May 2025'!$AL$51</c:f>
              <c:strCache>
                <c:ptCount val="1"/>
                <c:pt idx="0">
                  <c:v>Wednesday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May 2025'!$AG$52:$AG$57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May 2025'!$AL$52:$AL$57</c:f>
              <c:numCache>
                <c:formatCode>General</c:formatCode>
                <c:ptCount val="6"/>
                <c:pt idx="0">
                  <c:v>353</c:v>
                </c:pt>
                <c:pt idx="1">
                  <c:v>175</c:v>
                </c:pt>
                <c:pt idx="2">
                  <c:v>317</c:v>
                </c:pt>
                <c:pt idx="3">
                  <c:v>98</c:v>
                </c:pt>
                <c:pt idx="4">
                  <c:v>102</c:v>
                </c:pt>
                <c:pt idx="5">
                  <c:v>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D7C-4713-8F79-011C7BB0F1D1}"/>
            </c:ext>
          </c:extLst>
        </c:ser>
        <c:ser>
          <c:idx val="5"/>
          <c:order val="5"/>
          <c:tx>
            <c:strRef>
              <c:f>'Monthly May 2025'!$AM$51</c:f>
              <c:strCache>
                <c:ptCount val="1"/>
                <c:pt idx="0">
                  <c:v>Thursday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May 2025'!$AG$52:$AG$57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May 2025'!$AM$52:$AM$57</c:f>
              <c:numCache>
                <c:formatCode>General</c:formatCode>
                <c:ptCount val="6"/>
                <c:pt idx="0">
                  <c:v>333</c:v>
                </c:pt>
                <c:pt idx="1">
                  <c:v>144</c:v>
                </c:pt>
                <c:pt idx="2">
                  <c:v>299</c:v>
                </c:pt>
                <c:pt idx="3">
                  <c:v>86</c:v>
                </c:pt>
                <c:pt idx="4">
                  <c:v>96</c:v>
                </c:pt>
                <c:pt idx="5">
                  <c:v>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D7C-4713-8F79-011C7BB0F1D1}"/>
            </c:ext>
          </c:extLst>
        </c:ser>
        <c:ser>
          <c:idx val="6"/>
          <c:order val="6"/>
          <c:tx>
            <c:strRef>
              <c:f>'Monthly May 2025'!$AN$51</c:f>
              <c:strCache>
                <c:ptCount val="1"/>
                <c:pt idx="0">
                  <c:v>Friday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'Monthly May 2025'!$AG$52:$AG$57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May 2025'!$AN$52:$AN$57</c:f>
              <c:numCache>
                <c:formatCode>General</c:formatCode>
                <c:ptCount val="6"/>
                <c:pt idx="0">
                  <c:v>270</c:v>
                </c:pt>
                <c:pt idx="1">
                  <c:v>154</c:v>
                </c:pt>
                <c:pt idx="2">
                  <c:v>259</c:v>
                </c:pt>
                <c:pt idx="3">
                  <c:v>74</c:v>
                </c:pt>
                <c:pt idx="4">
                  <c:v>82</c:v>
                </c:pt>
                <c:pt idx="5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D7C-4713-8F79-011C7BB0F1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Room Attendance: 5/10 - 5/16/25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May 2025'!$AG$52</c:f>
              <c:strCache>
                <c:ptCount val="1"/>
                <c:pt idx="0">
                  <c:v>Cardio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May 2025'!$AH$51:$AN$51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May 2025'!$AH$52:$AN$52</c:f>
              <c:numCache>
                <c:formatCode>General</c:formatCode>
                <c:ptCount val="7"/>
                <c:pt idx="0">
                  <c:v>160</c:v>
                </c:pt>
                <c:pt idx="1">
                  <c:v>125</c:v>
                </c:pt>
                <c:pt idx="2">
                  <c:v>347</c:v>
                </c:pt>
                <c:pt idx="3">
                  <c:v>363</c:v>
                </c:pt>
                <c:pt idx="4">
                  <c:v>353</c:v>
                </c:pt>
                <c:pt idx="5">
                  <c:v>333</c:v>
                </c:pt>
                <c:pt idx="6">
                  <c:v>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7D-47A4-BC6D-9A3296082EE8}"/>
            </c:ext>
          </c:extLst>
        </c:ser>
        <c:ser>
          <c:idx val="1"/>
          <c:order val="1"/>
          <c:tx>
            <c:strRef>
              <c:f>'Monthly May 2025'!$AG$53</c:f>
              <c:strCache>
                <c:ptCount val="1"/>
                <c:pt idx="0">
                  <c:v>eGym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May 2025'!$AH$51:$AN$51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May 2025'!$AH$53:$AN$53</c:f>
              <c:numCache>
                <c:formatCode>General</c:formatCode>
                <c:ptCount val="7"/>
                <c:pt idx="0">
                  <c:v>50</c:v>
                </c:pt>
                <c:pt idx="1">
                  <c:v>35</c:v>
                </c:pt>
                <c:pt idx="2">
                  <c:v>148</c:v>
                </c:pt>
                <c:pt idx="3">
                  <c:v>131</c:v>
                </c:pt>
                <c:pt idx="4">
                  <c:v>175</c:v>
                </c:pt>
                <c:pt idx="5">
                  <c:v>144</c:v>
                </c:pt>
                <c:pt idx="6">
                  <c:v>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97D-47A4-BC6D-9A3296082EE8}"/>
            </c:ext>
          </c:extLst>
        </c:ser>
        <c:ser>
          <c:idx val="2"/>
          <c:order val="2"/>
          <c:tx>
            <c:strRef>
              <c:f>'Monthly May 2025'!$AG$54</c:f>
              <c:strCache>
                <c:ptCount val="1"/>
                <c:pt idx="0">
                  <c:v>Free Weight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May 2025'!$AH$51:$AN$51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May 2025'!$AH$54:$AN$54</c:f>
              <c:numCache>
                <c:formatCode>General</c:formatCode>
                <c:ptCount val="7"/>
                <c:pt idx="0">
                  <c:v>172</c:v>
                </c:pt>
                <c:pt idx="1">
                  <c:v>99</c:v>
                </c:pt>
                <c:pt idx="2">
                  <c:v>365</c:v>
                </c:pt>
                <c:pt idx="3">
                  <c:v>359</c:v>
                </c:pt>
                <c:pt idx="4">
                  <c:v>317</c:v>
                </c:pt>
                <c:pt idx="5">
                  <c:v>299</c:v>
                </c:pt>
                <c:pt idx="6">
                  <c:v>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97D-47A4-BC6D-9A3296082EE8}"/>
            </c:ext>
          </c:extLst>
        </c:ser>
        <c:ser>
          <c:idx val="3"/>
          <c:order val="3"/>
          <c:tx>
            <c:strRef>
              <c:f>'Monthly May 2025'!$AG$55</c:f>
              <c:strCache>
                <c:ptCount val="1"/>
                <c:pt idx="0">
                  <c:v>Track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May 2025'!$AH$51:$AN$51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May 2025'!$AH$55:$AN$55</c:f>
              <c:numCache>
                <c:formatCode>General</c:formatCode>
                <c:ptCount val="7"/>
                <c:pt idx="0">
                  <c:v>38</c:v>
                </c:pt>
                <c:pt idx="1">
                  <c:v>43</c:v>
                </c:pt>
                <c:pt idx="2">
                  <c:v>104</c:v>
                </c:pt>
                <c:pt idx="3">
                  <c:v>116</c:v>
                </c:pt>
                <c:pt idx="4">
                  <c:v>98</c:v>
                </c:pt>
                <c:pt idx="5">
                  <c:v>86</c:v>
                </c:pt>
                <c:pt idx="6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97D-47A4-BC6D-9A3296082EE8}"/>
            </c:ext>
          </c:extLst>
        </c:ser>
        <c:ser>
          <c:idx val="4"/>
          <c:order val="4"/>
          <c:tx>
            <c:strRef>
              <c:f>'Monthly May 2025'!$AG$56</c:f>
              <c:strCache>
                <c:ptCount val="1"/>
                <c:pt idx="0">
                  <c:v>Stretch &amp; Core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May 2025'!$AH$51:$AN$51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May 2025'!$AH$56:$AN$56</c:f>
              <c:numCache>
                <c:formatCode>General</c:formatCode>
                <c:ptCount val="7"/>
                <c:pt idx="0">
                  <c:v>44</c:v>
                </c:pt>
                <c:pt idx="1">
                  <c:v>34</c:v>
                </c:pt>
                <c:pt idx="2">
                  <c:v>93</c:v>
                </c:pt>
                <c:pt idx="3">
                  <c:v>98</c:v>
                </c:pt>
                <c:pt idx="4">
                  <c:v>102</c:v>
                </c:pt>
                <c:pt idx="5">
                  <c:v>96</c:v>
                </c:pt>
                <c:pt idx="6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97D-47A4-BC6D-9A3296082EE8}"/>
            </c:ext>
          </c:extLst>
        </c:ser>
        <c:ser>
          <c:idx val="5"/>
          <c:order val="5"/>
          <c:tx>
            <c:strRef>
              <c:f>'Monthly May 2025'!$AG$57</c:f>
              <c:strCache>
                <c:ptCount val="1"/>
                <c:pt idx="0">
                  <c:v>SPC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May 2025'!$AH$51:$AN$51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May 2025'!$AH$57:$AN$57</c:f>
              <c:numCache>
                <c:formatCode>General</c:formatCode>
                <c:ptCount val="7"/>
                <c:pt idx="0">
                  <c:v>59</c:v>
                </c:pt>
                <c:pt idx="1">
                  <c:v>28</c:v>
                </c:pt>
                <c:pt idx="2">
                  <c:v>168</c:v>
                </c:pt>
                <c:pt idx="3">
                  <c:v>122</c:v>
                </c:pt>
                <c:pt idx="4">
                  <c:v>148</c:v>
                </c:pt>
                <c:pt idx="5">
                  <c:v>129</c:v>
                </c:pt>
                <c:pt idx="6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97D-47A4-BC6D-9A3296082E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Room Attendance: 5/17 -5/23/25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May 2025'!$AG$98</c:f>
              <c:strCache>
                <c:ptCount val="1"/>
                <c:pt idx="0">
                  <c:v>Cardio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May 2025'!$AH$97:$AN$97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May 2025'!$AH$98:$AN$98</c:f>
              <c:numCache>
                <c:formatCode>General</c:formatCode>
                <c:ptCount val="7"/>
                <c:pt idx="0">
                  <c:v>194</c:v>
                </c:pt>
                <c:pt idx="1">
                  <c:v>202</c:v>
                </c:pt>
                <c:pt idx="2">
                  <c:v>277</c:v>
                </c:pt>
                <c:pt idx="3">
                  <c:v>252</c:v>
                </c:pt>
                <c:pt idx="4">
                  <c:v>279</c:v>
                </c:pt>
                <c:pt idx="5">
                  <c:v>285</c:v>
                </c:pt>
                <c:pt idx="6">
                  <c:v>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59-4094-8613-B9EAEFED03D3}"/>
            </c:ext>
          </c:extLst>
        </c:ser>
        <c:ser>
          <c:idx val="1"/>
          <c:order val="1"/>
          <c:tx>
            <c:strRef>
              <c:f>'Monthly May 2025'!$AG$99</c:f>
              <c:strCache>
                <c:ptCount val="1"/>
                <c:pt idx="0">
                  <c:v>eGym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May 2025'!$AH$97:$AN$97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May 2025'!$AH$99:$AN$99</c:f>
              <c:numCache>
                <c:formatCode>General</c:formatCode>
                <c:ptCount val="7"/>
                <c:pt idx="0">
                  <c:v>70</c:v>
                </c:pt>
                <c:pt idx="1">
                  <c:v>58</c:v>
                </c:pt>
                <c:pt idx="2">
                  <c:v>131</c:v>
                </c:pt>
                <c:pt idx="3">
                  <c:v>115</c:v>
                </c:pt>
                <c:pt idx="4">
                  <c:v>157</c:v>
                </c:pt>
                <c:pt idx="5">
                  <c:v>132</c:v>
                </c:pt>
                <c:pt idx="6">
                  <c:v>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59-4094-8613-B9EAEFED03D3}"/>
            </c:ext>
          </c:extLst>
        </c:ser>
        <c:ser>
          <c:idx val="2"/>
          <c:order val="2"/>
          <c:tx>
            <c:strRef>
              <c:f>'Monthly May 2025'!$AG$100</c:f>
              <c:strCache>
                <c:ptCount val="1"/>
                <c:pt idx="0">
                  <c:v>Free Weight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May 2025'!$AH$97:$AN$97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May 2025'!$AH$100:$AN$100</c:f>
              <c:numCache>
                <c:formatCode>General</c:formatCode>
                <c:ptCount val="7"/>
                <c:pt idx="0">
                  <c:v>241</c:v>
                </c:pt>
                <c:pt idx="1">
                  <c:v>169</c:v>
                </c:pt>
                <c:pt idx="2">
                  <c:v>271</c:v>
                </c:pt>
                <c:pt idx="3">
                  <c:v>253</c:v>
                </c:pt>
                <c:pt idx="4">
                  <c:v>216</c:v>
                </c:pt>
                <c:pt idx="5">
                  <c:v>277</c:v>
                </c:pt>
                <c:pt idx="6">
                  <c:v>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959-4094-8613-B9EAEFED03D3}"/>
            </c:ext>
          </c:extLst>
        </c:ser>
        <c:ser>
          <c:idx val="3"/>
          <c:order val="3"/>
          <c:tx>
            <c:strRef>
              <c:f>'Monthly May 2025'!$AG$101</c:f>
              <c:strCache>
                <c:ptCount val="1"/>
                <c:pt idx="0">
                  <c:v>Track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May 2025'!$AH$97:$AN$97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May 2025'!$AH$101:$AN$101</c:f>
              <c:numCache>
                <c:formatCode>General</c:formatCode>
                <c:ptCount val="7"/>
                <c:pt idx="0">
                  <c:v>59</c:v>
                </c:pt>
                <c:pt idx="1">
                  <c:v>44</c:v>
                </c:pt>
                <c:pt idx="2">
                  <c:v>85</c:v>
                </c:pt>
                <c:pt idx="3">
                  <c:v>77</c:v>
                </c:pt>
                <c:pt idx="4">
                  <c:v>92</c:v>
                </c:pt>
                <c:pt idx="5">
                  <c:v>106</c:v>
                </c:pt>
                <c:pt idx="6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959-4094-8613-B9EAEFED03D3}"/>
            </c:ext>
          </c:extLst>
        </c:ser>
        <c:ser>
          <c:idx val="4"/>
          <c:order val="4"/>
          <c:tx>
            <c:strRef>
              <c:f>'Monthly May 2025'!$AG$102</c:f>
              <c:strCache>
                <c:ptCount val="1"/>
                <c:pt idx="0">
                  <c:v>Stretch &amp; Core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May 2025'!$AH$97:$AN$97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May 2025'!$AH$102:$AN$102</c:f>
              <c:numCache>
                <c:formatCode>General</c:formatCode>
                <c:ptCount val="7"/>
                <c:pt idx="0">
                  <c:v>61</c:v>
                </c:pt>
                <c:pt idx="1">
                  <c:v>52</c:v>
                </c:pt>
                <c:pt idx="2">
                  <c:v>78</c:v>
                </c:pt>
                <c:pt idx="3">
                  <c:v>84</c:v>
                </c:pt>
                <c:pt idx="4">
                  <c:v>81</c:v>
                </c:pt>
                <c:pt idx="5">
                  <c:v>96</c:v>
                </c:pt>
                <c:pt idx="6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959-4094-8613-B9EAEFED03D3}"/>
            </c:ext>
          </c:extLst>
        </c:ser>
        <c:ser>
          <c:idx val="5"/>
          <c:order val="5"/>
          <c:tx>
            <c:strRef>
              <c:f>'Monthly May 2025'!$AG$103</c:f>
              <c:strCache>
                <c:ptCount val="1"/>
                <c:pt idx="0">
                  <c:v>SPC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May 2025'!$AH$97:$AN$97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May 2025'!$AH$103:$AN$103</c:f>
              <c:numCache>
                <c:formatCode>General</c:formatCode>
                <c:ptCount val="7"/>
                <c:pt idx="0">
                  <c:v>79</c:v>
                </c:pt>
                <c:pt idx="1">
                  <c:v>65</c:v>
                </c:pt>
                <c:pt idx="2">
                  <c:v>97</c:v>
                </c:pt>
                <c:pt idx="3">
                  <c:v>79</c:v>
                </c:pt>
                <c:pt idx="4">
                  <c:v>79</c:v>
                </c:pt>
                <c:pt idx="5">
                  <c:v>103</c:v>
                </c:pt>
                <c:pt idx="6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959-4094-8613-B9EAEFED03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Room Popularity: 5/17 - 5/23/25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May 2025'!$AH$97</c:f>
              <c:strCache>
                <c:ptCount val="1"/>
                <c:pt idx="0">
                  <c:v>Saturday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May 2025'!$AG$98:$AG$103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May 2025'!$AH$98:$AH$103</c:f>
              <c:numCache>
                <c:formatCode>General</c:formatCode>
                <c:ptCount val="6"/>
                <c:pt idx="0">
                  <c:v>194</c:v>
                </c:pt>
                <c:pt idx="1">
                  <c:v>70</c:v>
                </c:pt>
                <c:pt idx="2">
                  <c:v>241</c:v>
                </c:pt>
                <c:pt idx="3">
                  <c:v>59</c:v>
                </c:pt>
                <c:pt idx="4">
                  <c:v>61</c:v>
                </c:pt>
                <c:pt idx="5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65-4975-AC0F-DA1B5990ED5C}"/>
            </c:ext>
          </c:extLst>
        </c:ser>
        <c:ser>
          <c:idx val="1"/>
          <c:order val="1"/>
          <c:tx>
            <c:strRef>
              <c:f>'Monthly May 2025'!$AI$97</c:f>
              <c:strCache>
                <c:ptCount val="1"/>
                <c:pt idx="0">
                  <c:v>Sunday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May 2025'!$AG$98:$AG$103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May 2025'!$AI$98:$AI$103</c:f>
              <c:numCache>
                <c:formatCode>General</c:formatCode>
                <c:ptCount val="6"/>
                <c:pt idx="0">
                  <c:v>202</c:v>
                </c:pt>
                <c:pt idx="1">
                  <c:v>58</c:v>
                </c:pt>
                <c:pt idx="2">
                  <c:v>169</c:v>
                </c:pt>
                <c:pt idx="3">
                  <c:v>44</c:v>
                </c:pt>
                <c:pt idx="4">
                  <c:v>52</c:v>
                </c:pt>
                <c:pt idx="5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F65-4975-AC0F-DA1B5990ED5C}"/>
            </c:ext>
          </c:extLst>
        </c:ser>
        <c:ser>
          <c:idx val="2"/>
          <c:order val="2"/>
          <c:tx>
            <c:strRef>
              <c:f>'Monthly May 2025'!$AJ$97</c:f>
              <c:strCache>
                <c:ptCount val="1"/>
                <c:pt idx="0">
                  <c:v>Monday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May 2025'!$AG$98:$AG$103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May 2025'!$AJ$98:$AJ$103</c:f>
              <c:numCache>
                <c:formatCode>General</c:formatCode>
                <c:ptCount val="6"/>
                <c:pt idx="0">
                  <c:v>277</c:v>
                </c:pt>
                <c:pt idx="1">
                  <c:v>131</c:v>
                </c:pt>
                <c:pt idx="2">
                  <c:v>271</c:v>
                </c:pt>
                <c:pt idx="3">
                  <c:v>85</c:v>
                </c:pt>
                <c:pt idx="4">
                  <c:v>78</c:v>
                </c:pt>
                <c:pt idx="5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F65-4975-AC0F-DA1B5990ED5C}"/>
            </c:ext>
          </c:extLst>
        </c:ser>
        <c:ser>
          <c:idx val="3"/>
          <c:order val="3"/>
          <c:tx>
            <c:strRef>
              <c:f>'Monthly May 2025'!$AK$97</c:f>
              <c:strCache>
                <c:ptCount val="1"/>
                <c:pt idx="0">
                  <c:v>Tuesday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May 2025'!$AG$98:$AG$103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May 2025'!$AK$98:$AK$103</c:f>
              <c:numCache>
                <c:formatCode>General</c:formatCode>
                <c:ptCount val="6"/>
                <c:pt idx="0">
                  <c:v>252</c:v>
                </c:pt>
                <c:pt idx="1">
                  <c:v>115</c:v>
                </c:pt>
                <c:pt idx="2">
                  <c:v>253</c:v>
                </c:pt>
                <c:pt idx="3">
                  <c:v>77</c:v>
                </c:pt>
                <c:pt idx="4">
                  <c:v>84</c:v>
                </c:pt>
                <c:pt idx="5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F65-4975-AC0F-DA1B5990ED5C}"/>
            </c:ext>
          </c:extLst>
        </c:ser>
        <c:ser>
          <c:idx val="4"/>
          <c:order val="4"/>
          <c:tx>
            <c:strRef>
              <c:f>'Monthly May 2025'!$AL$97</c:f>
              <c:strCache>
                <c:ptCount val="1"/>
                <c:pt idx="0">
                  <c:v>Wednesday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May 2025'!$AG$98:$AG$103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May 2025'!$AL$98:$AL$103</c:f>
              <c:numCache>
                <c:formatCode>General</c:formatCode>
                <c:ptCount val="6"/>
                <c:pt idx="0">
                  <c:v>279</c:v>
                </c:pt>
                <c:pt idx="1">
                  <c:v>157</c:v>
                </c:pt>
                <c:pt idx="2">
                  <c:v>216</c:v>
                </c:pt>
                <c:pt idx="3">
                  <c:v>92</c:v>
                </c:pt>
                <c:pt idx="4">
                  <c:v>81</c:v>
                </c:pt>
                <c:pt idx="5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F65-4975-AC0F-DA1B5990ED5C}"/>
            </c:ext>
          </c:extLst>
        </c:ser>
        <c:ser>
          <c:idx val="5"/>
          <c:order val="5"/>
          <c:tx>
            <c:strRef>
              <c:f>'Monthly May 2025'!$AM$97</c:f>
              <c:strCache>
                <c:ptCount val="1"/>
                <c:pt idx="0">
                  <c:v>Thursday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May 2025'!$AG$98:$AG$103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May 2025'!$AM$98:$AM$103</c:f>
              <c:numCache>
                <c:formatCode>General</c:formatCode>
                <c:ptCount val="6"/>
                <c:pt idx="0">
                  <c:v>285</c:v>
                </c:pt>
                <c:pt idx="1">
                  <c:v>132</c:v>
                </c:pt>
                <c:pt idx="2">
                  <c:v>277</c:v>
                </c:pt>
                <c:pt idx="3">
                  <c:v>106</c:v>
                </c:pt>
                <c:pt idx="4">
                  <c:v>96</c:v>
                </c:pt>
                <c:pt idx="5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F65-4975-AC0F-DA1B5990ED5C}"/>
            </c:ext>
          </c:extLst>
        </c:ser>
        <c:ser>
          <c:idx val="6"/>
          <c:order val="6"/>
          <c:tx>
            <c:strRef>
              <c:f>'Monthly May 2025'!$AN$97</c:f>
              <c:strCache>
                <c:ptCount val="1"/>
                <c:pt idx="0">
                  <c:v>Friday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'Monthly May 2025'!$AG$98:$AG$103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May 2025'!$AN$98:$AN$103</c:f>
              <c:numCache>
                <c:formatCode>General</c:formatCode>
                <c:ptCount val="6"/>
                <c:pt idx="0">
                  <c:v>279</c:v>
                </c:pt>
                <c:pt idx="1">
                  <c:v>157</c:v>
                </c:pt>
                <c:pt idx="2">
                  <c:v>216</c:v>
                </c:pt>
                <c:pt idx="3">
                  <c:v>92</c:v>
                </c:pt>
                <c:pt idx="4">
                  <c:v>81</c:v>
                </c:pt>
                <c:pt idx="5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F65-4975-AC0F-DA1B5990ED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Room Attendance: 5/24 - 5/30/25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May 2025'!$AG$144</c:f>
              <c:strCache>
                <c:ptCount val="1"/>
                <c:pt idx="0">
                  <c:v>Cardio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May 2025'!$AH$143:$AN$143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May 2025'!$AH$144:$AN$144</c:f>
              <c:numCache>
                <c:formatCode>General</c:formatCode>
                <c:ptCount val="7"/>
                <c:pt idx="0">
                  <c:v>272</c:v>
                </c:pt>
                <c:pt idx="1">
                  <c:v>203</c:v>
                </c:pt>
                <c:pt idx="2">
                  <c:v>154</c:v>
                </c:pt>
                <c:pt idx="3">
                  <c:v>376</c:v>
                </c:pt>
                <c:pt idx="4">
                  <c:v>407</c:v>
                </c:pt>
                <c:pt idx="5">
                  <c:v>400</c:v>
                </c:pt>
                <c:pt idx="6">
                  <c:v>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D3-41A4-B78B-0F2517AAF4CA}"/>
            </c:ext>
          </c:extLst>
        </c:ser>
        <c:ser>
          <c:idx val="1"/>
          <c:order val="1"/>
          <c:tx>
            <c:strRef>
              <c:f>'Monthly May 2025'!$AG$145</c:f>
              <c:strCache>
                <c:ptCount val="1"/>
                <c:pt idx="0">
                  <c:v>eGym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May 2025'!$AH$143:$AN$143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May 2025'!$AH$145:$AN$145</c:f>
              <c:numCache>
                <c:formatCode>General</c:formatCode>
                <c:ptCount val="7"/>
                <c:pt idx="0">
                  <c:v>101</c:v>
                </c:pt>
                <c:pt idx="1">
                  <c:v>74</c:v>
                </c:pt>
                <c:pt idx="2">
                  <c:v>54</c:v>
                </c:pt>
                <c:pt idx="3">
                  <c:v>146</c:v>
                </c:pt>
                <c:pt idx="4">
                  <c:v>207</c:v>
                </c:pt>
                <c:pt idx="5">
                  <c:v>141</c:v>
                </c:pt>
                <c:pt idx="6">
                  <c:v>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4D3-41A4-B78B-0F2517AAF4CA}"/>
            </c:ext>
          </c:extLst>
        </c:ser>
        <c:ser>
          <c:idx val="2"/>
          <c:order val="2"/>
          <c:tx>
            <c:strRef>
              <c:f>'Monthly May 2025'!$AG$146</c:f>
              <c:strCache>
                <c:ptCount val="1"/>
                <c:pt idx="0">
                  <c:v>Free Weight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May 2025'!$AH$143:$AN$143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May 2025'!$AH$146:$AN$146</c:f>
              <c:numCache>
                <c:formatCode>General</c:formatCode>
                <c:ptCount val="7"/>
                <c:pt idx="0">
                  <c:v>235</c:v>
                </c:pt>
                <c:pt idx="1">
                  <c:v>194</c:v>
                </c:pt>
                <c:pt idx="2">
                  <c:v>91</c:v>
                </c:pt>
                <c:pt idx="3">
                  <c:v>396</c:v>
                </c:pt>
                <c:pt idx="4">
                  <c:v>364</c:v>
                </c:pt>
                <c:pt idx="5">
                  <c:v>368</c:v>
                </c:pt>
                <c:pt idx="6">
                  <c:v>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4D3-41A4-B78B-0F2517AAF4CA}"/>
            </c:ext>
          </c:extLst>
        </c:ser>
        <c:ser>
          <c:idx val="3"/>
          <c:order val="3"/>
          <c:tx>
            <c:strRef>
              <c:f>'Monthly May 2025'!$AG$147</c:f>
              <c:strCache>
                <c:ptCount val="1"/>
                <c:pt idx="0">
                  <c:v>Track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May 2025'!$AH$143:$AN$143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May 2025'!$AH$147:$AN$147</c:f>
              <c:numCache>
                <c:formatCode>General</c:formatCode>
                <c:ptCount val="7"/>
                <c:pt idx="0">
                  <c:v>78</c:v>
                </c:pt>
                <c:pt idx="1">
                  <c:v>64</c:v>
                </c:pt>
                <c:pt idx="2">
                  <c:v>36</c:v>
                </c:pt>
                <c:pt idx="3">
                  <c:v>89</c:v>
                </c:pt>
                <c:pt idx="4">
                  <c:v>121</c:v>
                </c:pt>
                <c:pt idx="5">
                  <c:v>130</c:v>
                </c:pt>
                <c:pt idx="6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4D3-41A4-B78B-0F2517AAF4CA}"/>
            </c:ext>
          </c:extLst>
        </c:ser>
        <c:ser>
          <c:idx val="4"/>
          <c:order val="4"/>
          <c:tx>
            <c:strRef>
              <c:f>'Monthly May 2025'!$AG$148</c:f>
              <c:strCache>
                <c:ptCount val="1"/>
                <c:pt idx="0">
                  <c:v>Stretch &amp; Core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May 2025'!$AH$143:$AN$143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May 2025'!$AH$148:$AN$148</c:f>
              <c:numCache>
                <c:formatCode>General</c:formatCode>
                <c:ptCount val="7"/>
                <c:pt idx="0">
                  <c:v>96</c:v>
                </c:pt>
                <c:pt idx="1">
                  <c:v>65</c:v>
                </c:pt>
                <c:pt idx="2">
                  <c:v>52</c:v>
                </c:pt>
                <c:pt idx="3">
                  <c:v>105</c:v>
                </c:pt>
                <c:pt idx="4">
                  <c:v>106</c:v>
                </c:pt>
                <c:pt idx="5">
                  <c:v>123</c:v>
                </c:pt>
                <c:pt idx="6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4D3-41A4-B78B-0F2517AAF4CA}"/>
            </c:ext>
          </c:extLst>
        </c:ser>
        <c:ser>
          <c:idx val="5"/>
          <c:order val="5"/>
          <c:tx>
            <c:strRef>
              <c:f>'Monthly May 2025'!$AG$149</c:f>
              <c:strCache>
                <c:ptCount val="1"/>
                <c:pt idx="0">
                  <c:v>SPC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May 2025'!$AH$143:$AN$143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May 2025'!$AH$149:$AN$149</c:f>
              <c:numCache>
                <c:formatCode>General</c:formatCode>
                <c:ptCount val="7"/>
                <c:pt idx="0">
                  <c:v>80</c:v>
                </c:pt>
                <c:pt idx="1">
                  <c:v>54</c:v>
                </c:pt>
                <c:pt idx="2">
                  <c:v>40</c:v>
                </c:pt>
                <c:pt idx="3">
                  <c:v>137</c:v>
                </c:pt>
                <c:pt idx="4">
                  <c:v>155</c:v>
                </c:pt>
                <c:pt idx="5">
                  <c:v>160</c:v>
                </c:pt>
                <c:pt idx="6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4D3-41A4-B78B-0F2517AAF4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Room Popularity: 5/24 - 5/30/25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May 2025'!$AH$143</c:f>
              <c:strCache>
                <c:ptCount val="1"/>
                <c:pt idx="0">
                  <c:v>Saturday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May 2025'!$AG$144:$AG$149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May 2025'!$AH$144:$AH$149</c:f>
              <c:numCache>
                <c:formatCode>General</c:formatCode>
                <c:ptCount val="6"/>
                <c:pt idx="0">
                  <c:v>272</c:v>
                </c:pt>
                <c:pt idx="1">
                  <c:v>101</c:v>
                </c:pt>
                <c:pt idx="2">
                  <c:v>235</c:v>
                </c:pt>
                <c:pt idx="3">
                  <c:v>78</c:v>
                </c:pt>
                <c:pt idx="4">
                  <c:v>96</c:v>
                </c:pt>
                <c:pt idx="5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2B-4A78-85AE-AA21BD6D8B3A}"/>
            </c:ext>
          </c:extLst>
        </c:ser>
        <c:ser>
          <c:idx val="1"/>
          <c:order val="1"/>
          <c:tx>
            <c:strRef>
              <c:f>'Monthly May 2025'!$AI$143</c:f>
              <c:strCache>
                <c:ptCount val="1"/>
                <c:pt idx="0">
                  <c:v>Sunday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May 2025'!$AG$144:$AG$149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May 2025'!$AI$144:$AI$149</c:f>
              <c:numCache>
                <c:formatCode>General</c:formatCode>
                <c:ptCount val="6"/>
                <c:pt idx="0">
                  <c:v>203</c:v>
                </c:pt>
                <c:pt idx="1">
                  <c:v>74</c:v>
                </c:pt>
                <c:pt idx="2">
                  <c:v>194</c:v>
                </c:pt>
                <c:pt idx="3">
                  <c:v>64</c:v>
                </c:pt>
                <c:pt idx="4">
                  <c:v>65</c:v>
                </c:pt>
                <c:pt idx="5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22B-4A78-85AE-AA21BD6D8B3A}"/>
            </c:ext>
          </c:extLst>
        </c:ser>
        <c:ser>
          <c:idx val="2"/>
          <c:order val="2"/>
          <c:tx>
            <c:strRef>
              <c:f>'Monthly May 2025'!$AJ$143</c:f>
              <c:strCache>
                <c:ptCount val="1"/>
                <c:pt idx="0">
                  <c:v>Monday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May 2025'!$AG$144:$AG$149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May 2025'!$AJ$144:$AJ$149</c:f>
              <c:numCache>
                <c:formatCode>General</c:formatCode>
                <c:ptCount val="6"/>
                <c:pt idx="0">
                  <c:v>154</c:v>
                </c:pt>
                <c:pt idx="1">
                  <c:v>54</c:v>
                </c:pt>
                <c:pt idx="2">
                  <c:v>91</c:v>
                </c:pt>
                <c:pt idx="3">
                  <c:v>36</c:v>
                </c:pt>
                <c:pt idx="4">
                  <c:v>52</c:v>
                </c:pt>
                <c:pt idx="5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22B-4A78-85AE-AA21BD6D8B3A}"/>
            </c:ext>
          </c:extLst>
        </c:ser>
        <c:ser>
          <c:idx val="3"/>
          <c:order val="3"/>
          <c:tx>
            <c:strRef>
              <c:f>'Monthly May 2025'!$AK$143</c:f>
              <c:strCache>
                <c:ptCount val="1"/>
                <c:pt idx="0">
                  <c:v>Tuesday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May 2025'!$AG$144:$AG$149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May 2025'!$AK$144:$AK$149</c:f>
              <c:numCache>
                <c:formatCode>General</c:formatCode>
                <c:ptCount val="6"/>
                <c:pt idx="0">
                  <c:v>376</c:v>
                </c:pt>
                <c:pt idx="1">
                  <c:v>146</c:v>
                </c:pt>
                <c:pt idx="2">
                  <c:v>396</c:v>
                </c:pt>
                <c:pt idx="3">
                  <c:v>89</c:v>
                </c:pt>
                <c:pt idx="4">
                  <c:v>105</c:v>
                </c:pt>
                <c:pt idx="5">
                  <c:v>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22B-4A78-85AE-AA21BD6D8B3A}"/>
            </c:ext>
          </c:extLst>
        </c:ser>
        <c:ser>
          <c:idx val="4"/>
          <c:order val="4"/>
          <c:tx>
            <c:strRef>
              <c:f>'Monthly May 2025'!$AL$143</c:f>
              <c:strCache>
                <c:ptCount val="1"/>
                <c:pt idx="0">
                  <c:v>Wednesday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May 2025'!$AG$144:$AG$149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May 2025'!$AL$144:$AL$149</c:f>
              <c:numCache>
                <c:formatCode>General</c:formatCode>
                <c:ptCount val="6"/>
                <c:pt idx="0">
                  <c:v>407</c:v>
                </c:pt>
                <c:pt idx="1">
                  <c:v>207</c:v>
                </c:pt>
                <c:pt idx="2">
                  <c:v>364</c:v>
                </c:pt>
                <c:pt idx="3">
                  <c:v>121</c:v>
                </c:pt>
                <c:pt idx="4">
                  <c:v>106</c:v>
                </c:pt>
                <c:pt idx="5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22B-4A78-85AE-AA21BD6D8B3A}"/>
            </c:ext>
          </c:extLst>
        </c:ser>
        <c:ser>
          <c:idx val="5"/>
          <c:order val="5"/>
          <c:tx>
            <c:strRef>
              <c:f>'Monthly May 2025'!$AM$143</c:f>
              <c:strCache>
                <c:ptCount val="1"/>
                <c:pt idx="0">
                  <c:v>Thursday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May 2025'!$AG$144:$AG$149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May 2025'!$AM$144:$AM$149</c:f>
              <c:numCache>
                <c:formatCode>General</c:formatCode>
                <c:ptCount val="6"/>
                <c:pt idx="0">
                  <c:v>400</c:v>
                </c:pt>
                <c:pt idx="1">
                  <c:v>141</c:v>
                </c:pt>
                <c:pt idx="2">
                  <c:v>368</c:v>
                </c:pt>
                <c:pt idx="3">
                  <c:v>130</c:v>
                </c:pt>
                <c:pt idx="4">
                  <c:v>123</c:v>
                </c:pt>
                <c:pt idx="5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22B-4A78-85AE-AA21BD6D8B3A}"/>
            </c:ext>
          </c:extLst>
        </c:ser>
        <c:ser>
          <c:idx val="6"/>
          <c:order val="6"/>
          <c:tx>
            <c:strRef>
              <c:f>'Monthly May 2025'!$AN$143</c:f>
              <c:strCache>
                <c:ptCount val="1"/>
                <c:pt idx="0">
                  <c:v>Friday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'Monthly May 2025'!$AG$144:$AG$149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May 2025'!$AN$144:$AN$149</c:f>
              <c:numCache>
                <c:formatCode>General</c:formatCode>
                <c:ptCount val="6"/>
                <c:pt idx="0">
                  <c:v>308</c:v>
                </c:pt>
                <c:pt idx="1">
                  <c:v>151</c:v>
                </c:pt>
                <c:pt idx="2">
                  <c:v>279</c:v>
                </c:pt>
                <c:pt idx="3">
                  <c:v>78</c:v>
                </c:pt>
                <c:pt idx="4">
                  <c:v>83</c:v>
                </c:pt>
                <c:pt idx="5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22B-4A78-85AE-AA21BD6D8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Room Popularity - [Week]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May 2025'!$AH$189</c:f>
              <c:strCache>
                <c:ptCount val="1"/>
                <c:pt idx="0">
                  <c:v>Saturday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May 2025'!$AG$190:$AG$195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May 2025'!$AH$190:$AH$195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EF-4F16-B046-A9D559D713FD}"/>
            </c:ext>
          </c:extLst>
        </c:ser>
        <c:ser>
          <c:idx val="1"/>
          <c:order val="1"/>
          <c:tx>
            <c:strRef>
              <c:f>'Monthly May 2025'!$AI$189</c:f>
              <c:strCache>
                <c:ptCount val="1"/>
                <c:pt idx="0">
                  <c:v>Sunday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May 2025'!$AG$190:$AG$195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May 2025'!$AI$190:$AI$195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4EF-4F16-B046-A9D559D713FD}"/>
            </c:ext>
          </c:extLst>
        </c:ser>
        <c:ser>
          <c:idx val="2"/>
          <c:order val="2"/>
          <c:tx>
            <c:strRef>
              <c:f>'Monthly May 2025'!$AJ$189</c:f>
              <c:strCache>
                <c:ptCount val="1"/>
                <c:pt idx="0">
                  <c:v>Monday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May 2025'!$AG$190:$AG$195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May 2025'!$AJ$190:$AJ$195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4EF-4F16-B046-A9D559D713FD}"/>
            </c:ext>
          </c:extLst>
        </c:ser>
        <c:ser>
          <c:idx val="3"/>
          <c:order val="3"/>
          <c:tx>
            <c:strRef>
              <c:f>'Monthly May 2025'!$AK$189</c:f>
              <c:strCache>
                <c:ptCount val="1"/>
                <c:pt idx="0">
                  <c:v>Tuesday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May 2025'!$AG$190:$AG$195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May 2025'!$AK$190:$AK$195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4EF-4F16-B046-A9D559D713FD}"/>
            </c:ext>
          </c:extLst>
        </c:ser>
        <c:ser>
          <c:idx val="4"/>
          <c:order val="4"/>
          <c:tx>
            <c:strRef>
              <c:f>'Monthly May 2025'!$AL$189</c:f>
              <c:strCache>
                <c:ptCount val="1"/>
                <c:pt idx="0">
                  <c:v>Wednesday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May 2025'!$AG$190:$AG$195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May 2025'!$AL$190:$AL$195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4EF-4F16-B046-A9D559D713FD}"/>
            </c:ext>
          </c:extLst>
        </c:ser>
        <c:ser>
          <c:idx val="5"/>
          <c:order val="5"/>
          <c:tx>
            <c:strRef>
              <c:f>'Monthly May 2025'!$AM$189</c:f>
              <c:strCache>
                <c:ptCount val="1"/>
                <c:pt idx="0">
                  <c:v>Thursday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May 2025'!$AG$190:$AG$195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May 2025'!$AM$190:$AM$195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4EF-4F16-B046-A9D559D713FD}"/>
            </c:ext>
          </c:extLst>
        </c:ser>
        <c:ser>
          <c:idx val="6"/>
          <c:order val="6"/>
          <c:tx>
            <c:strRef>
              <c:f>'Monthly May 2025'!$AN$189</c:f>
              <c:strCache>
                <c:ptCount val="1"/>
                <c:pt idx="0">
                  <c:v>Friday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'Monthly May 2025'!$AG$190:$AG$195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May 2025'!$AN$190:$AN$195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4EF-4F16-B046-A9D559D713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Room Attendance - [Week]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May 2025'!$AG$190</c:f>
              <c:strCache>
                <c:ptCount val="1"/>
                <c:pt idx="0">
                  <c:v>Cardio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May 2025'!$AH$189:$AN$189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May 2025'!$AH$190:$AN$190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2D-4A4D-9876-1019F04DF90B}"/>
            </c:ext>
          </c:extLst>
        </c:ser>
        <c:ser>
          <c:idx val="1"/>
          <c:order val="1"/>
          <c:tx>
            <c:strRef>
              <c:f>'Monthly May 2025'!$AG$191</c:f>
              <c:strCache>
                <c:ptCount val="1"/>
                <c:pt idx="0">
                  <c:v>eGym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May 2025'!$AH$189:$AN$189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May 2025'!$AH$191:$AN$191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E2D-4A4D-9876-1019F04DF90B}"/>
            </c:ext>
          </c:extLst>
        </c:ser>
        <c:ser>
          <c:idx val="2"/>
          <c:order val="2"/>
          <c:tx>
            <c:strRef>
              <c:f>'Monthly May 2025'!$AG$192</c:f>
              <c:strCache>
                <c:ptCount val="1"/>
                <c:pt idx="0">
                  <c:v>Free Weight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May 2025'!$AH$189:$AN$189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May 2025'!$AH$192:$AN$192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E2D-4A4D-9876-1019F04DF90B}"/>
            </c:ext>
          </c:extLst>
        </c:ser>
        <c:ser>
          <c:idx val="3"/>
          <c:order val="3"/>
          <c:tx>
            <c:strRef>
              <c:f>'Monthly May 2025'!$AG$193</c:f>
              <c:strCache>
                <c:ptCount val="1"/>
                <c:pt idx="0">
                  <c:v>Track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May 2025'!$AH$189:$AN$189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May 2025'!$AH$193:$AN$193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E2D-4A4D-9876-1019F04DF90B}"/>
            </c:ext>
          </c:extLst>
        </c:ser>
        <c:ser>
          <c:idx val="4"/>
          <c:order val="4"/>
          <c:tx>
            <c:strRef>
              <c:f>'Monthly May 2025'!$AG$194</c:f>
              <c:strCache>
                <c:ptCount val="1"/>
                <c:pt idx="0">
                  <c:v>Stretch &amp; Core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May 2025'!$AH$189:$AN$189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May 2025'!$AH$194:$AN$194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E2D-4A4D-9876-1019F04DF90B}"/>
            </c:ext>
          </c:extLst>
        </c:ser>
        <c:ser>
          <c:idx val="5"/>
          <c:order val="5"/>
          <c:tx>
            <c:strRef>
              <c:f>'Monthly May 2025'!$AG$195</c:f>
              <c:strCache>
                <c:ptCount val="1"/>
                <c:pt idx="0">
                  <c:v>SPC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May 2025'!$AH$189:$AN$189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May 2025'!$AH$195:$AN$195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E2D-4A4D-9876-1019F04DF9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Room Attendance - May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May 2025'!$AP$6</c:f>
              <c:strCache>
                <c:ptCount val="1"/>
                <c:pt idx="0">
                  <c:v>Cardio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May 2025'!$AQ$5:$AW$5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May 2025'!$AQ$6:$AW$6</c:f>
              <c:numCache>
                <c:formatCode>General</c:formatCode>
                <c:ptCount val="7"/>
                <c:pt idx="0">
                  <c:v>883</c:v>
                </c:pt>
                <c:pt idx="1">
                  <c:v>807</c:v>
                </c:pt>
                <c:pt idx="2">
                  <c:v>1187</c:v>
                </c:pt>
                <c:pt idx="3">
                  <c:v>1336</c:v>
                </c:pt>
                <c:pt idx="4">
                  <c:v>1359</c:v>
                </c:pt>
                <c:pt idx="5">
                  <c:v>1324</c:v>
                </c:pt>
                <c:pt idx="6">
                  <c:v>1122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9A-411A-926E-E93D68FD04F9}"/>
            </c:ext>
          </c:extLst>
        </c:ser>
        <c:ser>
          <c:idx val="1"/>
          <c:order val="1"/>
          <c:tx>
            <c:strRef>
              <c:f>'Monthly May 2025'!$AP$7</c:f>
              <c:strCache>
                <c:ptCount val="1"/>
                <c:pt idx="0">
                  <c:v>eGym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May 2025'!$AQ$5:$AW$5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May 2025'!$AQ$7:$AW$7</c:f>
              <c:numCache>
                <c:formatCode>General</c:formatCode>
                <c:ptCount val="7"/>
                <c:pt idx="0">
                  <c:v>320</c:v>
                </c:pt>
                <c:pt idx="1">
                  <c:v>250</c:v>
                </c:pt>
                <c:pt idx="2">
                  <c:v>494</c:v>
                </c:pt>
                <c:pt idx="3">
                  <c:v>521</c:v>
                </c:pt>
                <c:pt idx="4">
                  <c:v>688</c:v>
                </c:pt>
                <c:pt idx="5">
                  <c:v>563</c:v>
                </c:pt>
                <c:pt idx="6">
                  <c:v>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69A-411A-926E-E93D68FD04F9}"/>
            </c:ext>
          </c:extLst>
        </c:ser>
        <c:ser>
          <c:idx val="2"/>
          <c:order val="2"/>
          <c:tx>
            <c:strRef>
              <c:f>'Monthly May 2025'!$AP$8</c:f>
              <c:strCache>
                <c:ptCount val="1"/>
                <c:pt idx="0">
                  <c:v>Free Weight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May 2025'!$AQ$5:$AW$5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May 2025'!$AQ$8:$AW$8</c:f>
              <c:numCache>
                <c:formatCode>General</c:formatCode>
                <c:ptCount val="7"/>
                <c:pt idx="0">
                  <c:v>909</c:v>
                </c:pt>
                <c:pt idx="1">
                  <c:v>689</c:v>
                </c:pt>
                <c:pt idx="2">
                  <c:v>1101</c:v>
                </c:pt>
                <c:pt idx="3">
                  <c:v>1331</c:v>
                </c:pt>
                <c:pt idx="4">
                  <c:v>1208</c:v>
                </c:pt>
                <c:pt idx="5">
                  <c:v>1221</c:v>
                </c:pt>
                <c:pt idx="6">
                  <c:v>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9A-411A-926E-E93D68FD04F9}"/>
            </c:ext>
          </c:extLst>
        </c:ser>
        <c:ser>
          <c:idx val="3"/>
          <c:order val="3"/>
          <c:tx>
            <c:strRef>
              <c:f>'Monthly May 2025'!$AP$9</c:f>
              <c:strCache>
                <c:ptCount val="1"/>
                <c:pt idx="0">
                  <c:v>Track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May 2025'!$AQ$5:$AW$5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May 2025'!$AQ$9:$AW$9</c:f>
              <c:numCache>
                <c:formatCode>General</c:formatCode>
                <c:ptCount val="7"/>
                <c:pt idx="0">
                  <c:v>287</c:v>
                </c:pt>
                <c:pt idx="1">
                  <c:v>230</c:v>
                </c:pt>
                <c:pt idx="2">
                  <c:v>360</c:v>
                </c:pt>
                <c:pt idx="3">
                  <c:v>395</c:v>
                </c:pt>
                <c:pt idx="4">
                  <c:v>445</c:v>
                </c:pt>
                <c:pt idx="5">
                  <c:v>447</c:v>
                </c:pt>
                <c:pt idx="6">
                  <c:v>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69A-411A-926E-E93D68FD04F9}"/>
            </c:ext>
          </c:extLst>
        </c:ser>
        <c:ser>
          <c:idx val="4"/>
          <c:order val="4"/>
          <c:tx>
            <c:strRef>
              <c:f>'Monthly May 2025'!$AP$10</c:f>
              <c:strCache>
                <c:ptCount val="1"/>
                <c:pt idx="0">
                  <c:v>Stretch &amp; Core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May 2025'!$AQ$5:$AW$5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May 2025'!$AQ$10:$AW$10</c:f>
              <c:numCache>
                <c:formatCode>General</c:formatCode>
                <c:ptCount val="7"/>
                <c:pt idx="0">
                  <c:v>300</c:v>
                </c:pt>
                <c:pt idx="1">
                  <c:v>238</c:v>
                </c:pt>
                <c:pt idx="2">
                  <c:v>336</c:v>
                </c:pt>
                <c:pt idx="3">
                  <c:v>366</c:v>
                </c:pt>
                <c:pt idx="4">
                  <c:v>382</c:v>
                </c:pt>
                <c:pt idx="5">
                  <c:v>412</c:v>
                </c:pt>
                <c:pt idx="6">
                  <c:v>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69A-411A-926E-E93D68FD04F9}"/>
            </c:ext>
          </c:extLst>
        </c:ser>
        <c:ser>
          <c:idx val="5"/>
          <c:order val="5"/>
          <c:tx>
            <c:strRef>
              <c:f>'Monthly May 2025'!$AP$11</c:f>
              <c:strCache>
                <c:ptCount val="1"/>
                <c:pt idx="0">
                  <c:v>SPC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May 2025'!$AQ$5:$AW$5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May 2025'!$AQ$11:$AW$11</c:f>
              <c:numCache>
                <c:formatCode>General</c:formatCode>
                <c:ptCount val="7"/>
                <c:pt idx="0">
                  <c:v>309</c:v>
                </c:pt>
                <c:pt idx="1">
                  <c:v>220</c:v>
                </c:pt>
                <c:pt idx="2">
                  <c:v>429</c:v>
                </c:pt>
                <c:pt idx="3">
                  <c:v>438</c:v>
                </c:pt>
                <c:pt idx="4">
                  <c:v>482</c:v>
                </c:pt>
                <c:pt idx="5">
                  <c:v>485</c:v>
                </c:pt>
                <c:pt idx="6">
                  <c:v>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69A-411A-926E-E93D68FD04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Room Popularity - Week of: 05/31/25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June 2025'!$AH$5</c:f>
              <c:strCache>
                <c:ptCount val="1"/>
                <c:pt idx="0">
                  <c:v>Saturday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June 2025'!$AG$6:$AG$11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June 2025'!$AH$6:$AH$11</c:f>
              <c:numCache>
                <c:formatCode>General</c:formatCode>
                <c:ptCount val="6"/>
                <c:pt idx="0">
                  <c:v>292</c:v>
                </c:pt>
                <c:pt idx="1">
                  <c:v>112</c:v>
                </c:pt>
                <c:pt idx="2">
                  <c:v>303</c:v>
                </c:pt>
                <c:pt idx="3">
                  <c:v>115</c:v>
                </c:pt>
                <c:pt idx="4">
                  <c:v>80</c:v>
                </c:pt>
                <c:pt idx="5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36-40E5-811C-69F54D1A2CD7}"/>
            </c:ext>
          </c:extLst>
        </c:ser>
        <c:ser>
          <c:idx val="1"/>
          <c:order val="1"/>
          <c:tx>
            <c:strRef>
              <c:f>'Monthly June 2025'!$AI$5</c:f>
              <c:strCache>
                <c:ptCount val="1"/>
                <c:pt idx="0">
                  <c:v>Sunday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June 2025'!$AG$6:$AG$11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June 2025'!$AI$6:$AI$11</c:f>
              <c:numCache>
                <c:formatCode>General</c:formatCode>
                <c:ptCount val="6"/>
                <c:pt idx="0">
                  <c:v>208</c:v>
                </c:pt>
                <c:pt idx="1">
                  <c:v>68</c:v>
                </c:pt>
                <c:pt idx="2">
                  <c:v>206</c:v>
                </c:pt>
                <c:pt idx="3">
                  <c:v>49</c:v>
                </c:pt>
                <c:pt idx="4">
                  <c:v>54</c:v>
                </c:pt>
                <c:pt idx="5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36-40E5-811C-69F54D1A2CD7}"/>
            </c:ext>
          </c:extLst>
        </c:ser>
        <c:ser>
          <c:idx val="2"/>
          <c:order val="2"/>
          <c:tx>
            <c:strRef>
              <c:f>'Monthly June 2025'!$AJ$5</c:f>
              <c:strCache>
                <c:ptCount val="1"/>
                <c:pt idx="0">
                  <c:v>Monday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June 2025'!$AG$6:$AG$11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June 2025'!$AJ$6:$AJ$11</c:f>
              <c:numCache>
                <c:formatCode>General</c:formatCode>
                <c:ptCount val="6"/>
                <c:pt idx="0">
                  <c:v>279</c:v>
                </c:pt>
                <c:pt idx="1">
                  <c:v>125</c:v>
                </c:pt>
                <c:pt idx="2">
                  <c:v>309</c:v>
                </c:pt>
                <c:pt idx="3">
                  <c:v>90</c:v>
                </c:pt>
                <c:pt idx="4">
                  <c:v>72</c:v>
                </c:pt>
                <c:pt idx="5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36-40E5-811C-69F54D1A2CD7}"/>
            </c:ext>
          </c:extLst>
        </c:ser>
        <c:ser>
          <c:idx val="3"/>
          <c:order val="3"/>
          <c:tx>
            <c:strRef>
              <c:f>'Monthly June 2025'!$AK$5</c:f>
              <c:strCache>
                <c:ptCount val="1"/>
                <c:pt idx="0">
                  <c:v>Tuesday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June 2025'!$AG$6:$AG$11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June 2025'!$AK$6:$AK$11</c:f>
              <c:numCache>
                <c:formatCode>General</c:formatCode>
                <c:ptCount val="6"/>
                <c:pt idx="0">
                  <c:v>215</c:v>
                </c:pt>
                <c:pt idx="1">
                  <c:v>112</c:v>
                </c:pt>
                <c:pt idx="2">
                  <c:v>261</c:v>
                </c:pt>
                <c:pt idx="3">
                  <c:v>59</c:v>
                </c:pt>
                <c:pt idx="4">
                  <c:v>70</c:v>
                </c:pt>
                <c:pt idx="5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236-40E5-811C-69F54D1A2CD7}"/>
            </c:ext>
          </c:extLst>
        </c:ser>
        <c:ser>
          <c:idx val="4"/>
          <c:order val="4"/>
          <c:tx>
            <c:strRef>
              <c:f>'Monthly June 2025'!$AL$5</c:f>
              <c:strCache>
                <c:ptCount val="1"/>
                <c:pt idx="0">
                  <c:v>Wednesday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June 2025'!$AG$6:$AG$11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June 2025'!$AL$6:$AL$11</c:f>
              <c:numCache>
                <c:formatCode>General</c:formatCode>
                <c:ptCount val="6"/>
                <c:pt idx="0">
                  <c:v>187</c:v>
                </c:pt>
                <c:pt idx="1">
                  <c:v>115</c:v>
                </c:pt>
                <c:pt idx="2">
                  <c:v>193</c:v>
                </c:pt>
                <c:pt idx="3">
                  <c:v>86</c:v>
                </c:pt>
                <c:pt idx="4">
                  <c:v>62</c:v>
                </c:pt>
                <c:pt idx="5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236-40E5-811C-69F54D1A2CD7}"/>
            </c:ext>
          </c:extLst>
        </c:ser>
        <c:ser>
          <c:idx val="5"/>
          <c:order val="5"/>
          <c:tx>
            <c:strRef>
              <c:f>'Monthly June 2025'!$AM$5</c:f>
              <c:strCache>
                <c:ptCount val="1"/>
                <c:pt idx="0">
                  <c:v>Thursday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June 2025'!$AG$6:$AG$11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June 2025'!$AM$6:$AM$11</c:f>
              <c:numCache>
                <c:formatCode>General</c:formatCode>
                <c:ptCount val="6"/>
                <c:pt idx="0">
                  <c:v>214</c:v>
                </c:pt>
                <c:pt idx="1">
                  <c:v>108</c:v>
                </c:pt>
                <c:pt idx="2">
                  <c:v>233</c:v>
                </c:pt>
                <c:pt idx="3">
                  <c:v>79</c:v>
                </c:pt>
                <c:pt idx="4">
                  <c:v>90</c:v>
                </c:pt>
                <c:pt idx="5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236-40E5-811C-69F54D1A2CD7}"/>
            </c:ext>
          </c:extLst>
        </c:ser>
        <c:ser>
          <c:idx val="6"/>
          <c:order val="6"/>
          <c:tx>
            <c:strRef>
              <c:f>'Monthly June 2025'!$AN$5</c:f>
              <c:strCache>
                <c:ptCount val="1"/>
                <c:pt idx="0">
                  <c:v>Friday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'Monthly June 2025'!$AG$6:$AG$11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June 2025'!$AN$6:$AN$11</c:f>
              <c:numCache>
                <c:formatCode>General</c:formatCode>
                <c:ptCount val="6"/>
                <c:pt idx="0">
                  <c:v>36</c:v>
                </c:pt>
                <c:pt idx="1">
                  <c:v>13</c:v>
                </c:pt>
                <c:pt idx="2">
                  <c:v>44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236-40E5-811C-69F54D1A2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Room Attendance - Week of: 05/31/25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June 2025'!$AG$6</c:f>
              <c:strCache>
                <c:ptCount val="1"/>
                <c:pt idx="0">
                  <c:v>Cardio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June 2025'!$AH$5:$AN$5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June 2025'!$AH$6:$AN$6</c:f>
              <c:numCache>
                <c:formatCode>General</c:formatCode>
                <c:ptCount val="7"/>
                <c:pt idx="0">
                  <c:v>292</c:v>
                </c:pt>
                <c:pt idx="1">
                  <c:v>208</c:v>
                </c:pt>
                <c:pt idx="2">
                  <c:v>279</c:v>
                </c:pt>
                <c:pt idx="3">
                  <c:v>215</c:v>
                </c:pt>
                <c:pt idx="4">
                  <c:v>187</c:v>
                </c:pt>
                <c:pt idx="5">
                  <c:v>214</c:v>
                </c:pt>
                <c:pt idx="6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35-4A92-BD40-8B65A98CC4EA}"/>
            </c:ext>
          </c:extLst>
        </c:ser>
        <c:ser>
          <c:idx val="1"/>
          <c:order val="1"/>
          <c:tx>
            <c:strRef>
              <c:f>'Monthly June 2025'!$AG$7</c:f>
              <c:strCache>
                <c:ptCount val="1"/>
                <c:pt idx="0">
                  <c:v>eGym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June 2025'!$AH$5:$AN$5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June 2025'!$AH$7:$AN$7</c:f>
              <c:numCache>
                <c:formatCode>General</c:formatCode>
                <c:ptCount val="7"/>
                <c:pt idx="0">
                  <c:v>112</c:v>
                </c:pt>
                <c:pt idx="1">
                  <c:v>68</c:v>
                </c:pt>
                <c:pt idx="2">
                  <c:v>125</c:v>
                </c:pt>
                <c:pt idx="3">
                  <c:v>112</c:v>
                </c:pt>
                <c:pt idx="4">
                  <c:v>115</c:v>
                </c:pt>
                <c:pt idx="5">
                  <c:v>108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35-4A92-BD40-8B65A98CC4EA}"/>
            </c:ext>
          </c:extLst>
        </c:ser>
        <c:ser>
          <c:idx val="2"/>
          <c:order val="2"/>
          <c:tx>
            <c:strRef>
              <c:f>'Monthly June 2025'!$AG$8</c:f>
              <c:strCache>
                <c:ptCount val="1"/>
                <c:pt idx="0">
                  <c:v>Free Weight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June 2025'!$AH$5:$AN$5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June 2025'!$AH$8:$AN$8</c:f>
              <c:numCache>
                <c:formatCode>General</c:formatCode>
                <c:ptCount val="7"/>
                <c:pt idx="0">
                  <c:v>303</c:v>
                </c:pt>
                <c:pt idx="1">
                  <c:v>206</c:v>
                </c:pt>
                <c:pt idx="2">
                  <c:v>309</c:v>
                </c:pt>
                <c:pt idx="3">
                  <c:v>261</c:v>
                </c:pt>
                <c:pt idx="4">
                  <c:v>193</c:v>
                </c:pt>
                <c:pt idx="5">
                  <c:v>233</c:v>
                </c:pt>
                <c:pt idx="6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35-4A92-BD40-8B65A98CC4EA}"/>
            </c:ext>
          </c:extLst>
        </c:ser>
        <c:ser>
          <c:idx val="3"/>
          <c:order val="3"/>
          <c:tx>
            <c:strRef>
              <c:f>'Monthly June 2025'!$AG$9</c:f>
              <c:strCache>
                <c:ptCount val="1"/>
                <c:pt idx="0">
                  <c:v>Track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June 2025'!$AH$5:$AN$5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June 2025'!$AH$9:$AN$9</c:f>
              <c:numCache>
                <c:formatCode>General</c:formatCode>
                <c:ptCount val="7"/>
                <c:pt idx="0">
                  <c:v>115</c:v>
                </c:pt>
                <c:pt idx="1">
                  <c:v>49</c:v>
                </c:pt>
                <c:pt idx="2">
                  <c:v>90</c:v>
                </c:pt>
                <c:pt idx="3">
                  <c:v>59</c:v>
                </c:pt>
                <c:pt idx="4">
                  <c:v>86</c:v>
                </c:pt>
                <c:pt idx="5">
                  <c:v>79</c:v>
                </c:pt>
                <c:pt idx="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A35-4A92-BD40-8B65A98CC4EA}"/>
            </c:ext>
          </c:extLst>
        </c:ser>
        <c:ser>
          <c:idx val="4"/>
          <c:order val="4"/>
          <c:tx>
            <c:strRef>
              <c:f>'Monthly June 2025'!$AG$10</c:f>
              <c:strCache>
                <c:ptCount val="1"/>
                <c:pt idx="0">
                  <c:v>Stretch &amp; Core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June 2025'!$AH$5:$AN$5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June 2025'!$AH$10:$AN$10</c:f>
              <c:numCache>
                <c:formatCode>General</c:formatCode>
                <c:ptCount val="7"/>
                <c:pt idx="0">
                  <c:v>80</c:v>
                </c:pt>
                <c:pt idx="1">
                  <c:v>54</c:v>
                </c:pt>
                <c:pt idx="2">
                  <c:v>72</c:v>
                </c:pt>
                <c:pt idx="3">
                  <c:v>70</c:v>
                </c:pt>
                <c:pt idx="4">
                  <c:v>62</c:v>
                </c:pt>
                <c:pt idx="5">
                  <c:v>90</c:v>
                </c:pt>
                <c:pt idx="6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A35-4A92-BD40-8B65A98CC4EA}"/>
            </c:ext>
          </c:extLst>
        </c:ser>
        <c:ser>
          <c:idx val="5"/>
          <c:order val="5"/>
          <c:tx>
            <c:strRef>
              <c:f>'Monthly June 2025'!$AG$11</c:f>
              <c:strCache>
                <c:ptCount val="1"/>
                <c:pt idx="0">
                  <c:v>SPC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June 2025'!$AH$5:$AN$5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June 2025'!$AH$11:$AN$11</c:f>
              <c:numCache>
                <c:formatCode>General</c:formatCode>
                <c:ptCount val="7"/>
                <c:pt idx="0">
                  <c:v>92</c:v>
                </c:pt>
                <c:pt idx="1">
                  <c:v>58</c:v>
                </c:pt>
                <c:pt idx="2">
                  <c:v>97</c:v>
                </c:pt>
                <c:pt idx="3">
                  <c:v>95</c:v>
                </c:pt>
                <c:pt idx="4">
                  <c:v>83</c:v>
                </c:pt>
                <c:pt idx="5">
                  <c:v>71</c:v>
                </c:pt>
                <c:pt idx="6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A35-4A92-BD40-8B65A98CC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Room Popularity - Week of: 06/07/25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June 2025'!$AH$51</c:f>
              <c:strCache>
                <c:ptCount val="1"/>
                <c:pt idx="0">
                  <c:v>Saturday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June 2025'!$AG$52:$AG$57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June 2025'!$AH$52:$AH$57</c:f>
              <c:numCache>
                <c:formatCode>General</c:formatCode>
                <c:ptCount val="6"/>
                <c:pt idx="0">
                  <c:v>151</c:v>
                </c:pt>
                <c:pt idx="1">
                  <c:v>61</c:v>
                </c:pt>
                <c:pt idx="2">
                  <c:v>157</c:v>
                </c:pt>
                <c:pt idx="3">
                  <c:v>58</c:v>
                </c:pt>
                <c:pt idx="4">
                  <c:v>49</c:v>
                </c:pt>
                <c:pt idx="5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86-4E23-863C-3500ADA94510}"/>
            </c:ext>
          </c:extLst>
        </c:ser>
        <c:ser>
          <c:idx val="1"/>
          <c:order val="1"/>
          <c:tx>
            <c:strRef>
              <c:f>'Monthly June 2025'!$AI$51</c:f>
              <c:strCache>
                <c:ptCount val="1"/>
                <c:pt idx="0">
                  <c:v>Sunday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June 2025'!$AG$52:$AG$57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June 2025'!$AI$52:$AI$57</c:f>
              <c:numCache>
                <c:formatCode>General</c:formatCode>
                <c:ptCount val="6"/>
                <c:pt idx="0">
                  <c:v>149</c:v>
                </c:pt>
                <c:pt idx="1">
                  <c:v>54</c:v>
                </c:pt>
                <c:pt idx="2">
                  <c:v>114</c:v>
                </c:pt>
                <c:pt idx="3">
                  <c:v>46</c:v>
                </c:pt>
                <c:pt idx="4">
                  <c:v>41</c:v>
                </c:pt>
                <c:pt idx="5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86-4E23-863C-3500ADA94510}"/>
            </c:ext>
          </c:extLst>
        </c:ser>
        <c:ser>
          <c:idx val="2"/>
          <c:order val="2"/>
          <c:tx>
            <c:strRef>
              <c:f>'Monthly June 2025'!$AJ$51</c:f>
              <c:strCache>
                <c:ptCount val="1"/>
                <c:pt idx="0">
                  <c:v>Monday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June 2025'!$AG$52:$AG$57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June 2025'!$AJ$52:$AJ$57</c:f>
              <c:numCache>
                <c:formatCode>General</c:formatCode>
                <c:ptCount val="6"/>
                <c:pt idx="0">
                  <c:v>324</c:v>
                </c:pt>
                <c:pt idx="1">
                  <c:v>149</c:v>
                </c:pt>
                <c:pt idx="2">
                  <c:v>274</c:v>
                </c:pt>
                <c:pt idx="3">
                  <c:v>115</c:v>
                </c:pt>
                <c:pt idx="4">
                  <c:v>87</c:v>
                </c:pt>
                <c:pt idx="5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86-4E23-863C-3500ADA94510}"/>
            </c:ext>
          </c:extLst>
        </c:ser>
        <c:ser>
          <c:idx val="3"/>
          <c:order val="3"/>
          <c:tx>
            <c:strRef>
              <c:f>'Monthly June 2025'!$AK$51</c:f>
              <c:strCache>
                <c:ptCount val="1"/>
                <c:pt idx="0">
                  <c:v>Tuesday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June 2025'!$AG$52:$AG$57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June 2025'!$AK$52:$AK$57</c:f>
              <c:numCache>
                <c:formatCode>General</c:formatCode>
                <c:ptCount val="6"/>
                <c:pt idx="0">
                  <c:v>262</c:v>
                </c:pt>
                <c:pt idx="1">
                  <c:v>109</c:v>
                </c:pt>
                <c:pt idx="2">
                  <c:v>234</c:v>
                </c:pt>
                <c:pt idx="3">
                  <c:v>83</c:v>
                </c:pt>
                <c:pt idx="4">
                  <c:v>79</c:v>
                </c:pt>
                <c:pt idx="5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E86-4E23-863C-3500ADA94510}"/>
            </c:ext>
          </c:extLst>
        </c:ser>
        <c:ser>
          <c:idx val="4"/>
          <c:order val="4"/>
          <c:tx>
            <c:strRef>
              <c:f>'Monthly June 2025'!$AL$51</c:f>
              <c:strCache>
                <c:ptCount val="1"/>
                <c:pt idx="0">
                  <c:v>Wednesday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June 2025'!$AG$52:$AG$57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June 2025'!$AL$52:$AL$57</c:f>
              <c:numCache>
                <c:formatCode>General</c:formatCode>
                <c:ptCount val="6"/>
                <c:pt idx="0">
                  <c:v>237</c:v>
                </c:pt>
                <c:pt idx="1">
                  <c:v>120</c:v>
                </c:pt>
                <c:pt idx="2">
                  <c:v>240</c:v>
                </c:pt>
                <c:pt idx="3">
                  <c:v>77</c:v>
                </c:pt>
                <c:pt idx="4">
                  <c:v>80</c:v>
                </c:pt>
                <c:pt idx="5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E86-4E23-863C-3500ADA94510}"/>
            </c:ext>
          </c:extLst>
        </c:ser>
        <c:ser>
          <c:idx val="5"/>
          <c:order val="5"/>
          <c:tx>
            <c:strRef>
              <c:f>'Monthly June 2025'!$AM$51</c:f>
              <c:strCache>
                <c:ptCount val="1"/>
                <c:pt idx="0">
                  <c:v>Thursday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June 2025'!$AG$52:$AG$57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June 2025'!$AM$52:$AM$57</c:f>
              <c:numCache>
                <c:formatCode>General</c:formatCode>
                <c:ptCount val="6"/>
                <c:pt idx="0">
                  <c:v>186</c:v>
                </c:pt>
                <c:pt idx="1">
                  <c:v>111</c:v>
                </c:pt>
                <c:pt idx="2">
                  <c:v>211</c:v>
                </c:pt>
                <c:pt idx="3">
                  <c:v>84</c:v>
                </c:pt>
                <c:pt idx="4">
                  <c:v>67</c:v>
                </c:pt>
                <c:pt idx="5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E86-4E23-863C-3500ADA94510}"/>
            </c:ext>
          </c:extLst>
        </c:ser>
        <c:ser>
          <c:idx val="6"/>
          <c:order val="6"/>
          <c:tx>
            <c:strRef>
              <c:f>'Monthly June 2025'!$AN$51</c:f>
              <c:strCache>
                <c:ptCount val="1"/>
                <c:pt idx="0">
                  <c:v>Friday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'Monthly June 2025'!$AG$52:$AG$57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June 2025'!$AN$52:$AN$57</c:f>
              <c:numCache>
                <c:formatCode>General</c:formatCode>
                <c:ptCount val="6"/>
                <c:pt idx="0">
                  <c:v>209</c:v>
                </c:pt>
                <c:pt idx="1">
                  <c:v>115</c:v>
                </c:pt>
                <c:pt idx="2">
                  <c:v>191</c:v>
                </c:pt>
                <c:pt idx="3">
                  <c:v>70</c:v>
                </c:pt>
                <c:pt idx="4">
                  <c:v>76</c:v>
                </c:pt>
                <c:pt idx="5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86-4E23-863C-3500ADA945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Room Attendance - Week of: 06/07/25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June 2025'!$AG$52</c:f>
              <c:strCache>
                <c:ptCount val="1"/>
                <c:pt idx="0">
                  <c:v>Cardio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June 2025'!$AH$51:$AN$51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June 2025'!$AH$52:$AN$52</c:f>
              <c:numCache>
                <c:formatCode>General</c:formatCode>
                <c:ptCount val="7"/>
                <c:pt idx="0">
                  <c:v>151</c:v>
                </c:pt>
                <c:pt idx="1">
                  <c:v>149</c:v>
                </c:pt>
                <c:pt idx="2">
                  <c:v>324</c:v>
                </c:pt>
                <c:pt idx="3">
                  <c:v>262</c:v>
                </c:pt>
                <c:pt idx="4">
                  <c:v>237</c:v>
                </c:pt>
                <c:pt idx="5">
                  <c:v>186</c:v>
                </c:pt>
                <c:pt idx="6">
                  <c:v>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A2-4C2C-A0A2-C18326672898}"/>
            </c:ext>
          </c:extLst>
        </c:ser>
        <c:ser>
          <c:idx val="1"/>
          <c:order val="1"/>
          <c:tx>
            <c:strRef>
              <c:f>'Monthly June 2025'!$AG$53</c:f>
              <c:strCache>
                <c:ptCount val="1"/>
                <c:pt idx="0">
                  <c:v>eGym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June 2025'!$AH$51:$AN$51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June 2025'!$AH$53:$AN$53</c:f>
              <c:numCache>
                <c:formatCode>General</c:formatCode>
                <c:ptCount val="7"/>
                <c:pt idx="0">
                  <c:v>61</c:v>
                </c:pt>
                <c:pt idx="1">
                  <c:v>54</c:v>
                </c:pt>
                <c:pt idx="2">
                  <c:v>149</c:v>
                </c:pt>
                <c:pt idx="3">
                  <c:v>109</c:v>
                </c:pt>
                <c:pt idx="4">
                  <c:v>120</c:v>
                </c:pt>
                <c:pt idx="5">
                  <c:v>111</c:v>
                </c:pt>
                <c:pt idx="6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A2-4C2C-A0A2-C18326672898}"/>
            </c:ext>
          </c:extLst>
        </c:ser>
        <c:ser>
          <c:idx val="2"/>
          <c:order val="2"/>
          <c:tx>
            <c:strRef>
              <c:f>'Monthly June 2025'!$AG$54</c:f>
              <c:strCache>
                <c:ptCount val="1"/>
                <c:pt idx="0">
                  <c:v>Free Weight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June 2025'!$AH$51:$AN$51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June 2025'!$AH$54:$AN$54</c:f>
              <c:numCache>
                <c:formatCode>General</c:formatCode>
                <c:ptCount val="7"/>
                <c:pt idx="0">
                  <c:v>157</c:v>
                </c:pt>
                <c:pt idx="1">
                  <c:v>114</c:v>
                </c:pt>
                <c:pt idx="2">
                  <c:v>274</c:v>
                </c:pt>
                <c:pt idx="3">
                  <c:v>234</c:v>
                </c:pt>
                <c:pt idx="4">
                  <c:v>240</c:v>
                </c:pt>
                <c:pt idx="5">
                  <c:v>211</c:v>
                </c:pt>
                <c:pt idx="6">
                  <c:v>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A2-4C2C-A0A2-C18326672898}"/>
            </c:ext>
          </c:extLst>
        </c:ser>
        <c:ser>
          <c:idx val="3"/>
          <c:order val="3"/>
          <c:tx>
            <c:strRef>
              <c:f>'Monthly June 2025'!$AG$55</c:f>
              <c:strCache>
                <c:ptCount val="1"/>
                <c:pt idx="0">
                  <c:v>Track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June 2025'!$AH$51:$AN$51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June 2025'!$AH$55:$AN$55</c:f>
              <c:numCache>
                <c:formatCode>General</c:formatCode>
                <c:ptCount val="7"/>
                <c:pt idx="0">
                  <c:v>58</c:v>
                </c:pt>
                <c:pt idx="1">
                  <c:v>46</c:v>
                </c:pt>
                <c:pt idx="2">
                  <c:v>115</c:v>
                </c:pt>
                <c:pt idx="3">
                  <c:v>83</c:v>
                </c:pt>
                <c:pt idx="4">
                  <c:v>77</c:v>
                </c:pt>
                <c:pt idx="5">
                  <c:v>84</c:v>
                </c:pt>
                <c:pt idx="6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EA2-4C2C-A0A2-C18326672898}"/>
            </c:ext>
          </c:extLst>
        </c:ser>
        <c:ser>
          <c:idx val="4"/>
          <c:order val="4"/>
          <c:tx>
            <c:strRef>
              <c:f>'Monthly June 2025'!$AG$56</c:f>
              <c:strCache>
                <c:ptCount val="1"/>
                <c:pt idx="0">
                  <c:v>Stretch &amp; Core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June 2025'!$AH$51:$AN$51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June 2025'!$AH$56:$AN$56</c:f>
              <c:numCache>
                <c:formatCode>General</c:formatCode>
                <c:ptCount val="7"/>
                <c:pt idx="0">
                  <c:v>49</c:v>
                </c:pt>
                <c:pt idx="1">
                  <c:v>41</c:v>
                </c:pt>
                <c:pt idx="2">
                  <c:v>87</c:v>
                </c:pt>
                <c:pt idx="3">
                  <c:v>79</c:v>
                </c:pt>
                <c:pt idx="4">
                  <c:v>80</c:v>
                </c:pt>
                <c:pt idx="5">
                  <c:v>67</c:v>
                </c:pt>
                <c:pt idx="6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EA2-4C2C-A0A2-C18326672898}"/>
            </c:ext>
          </c:extLst>
        </c:ser>
        <c:ser>
          <c:idx val="5"/>
          <c:order val="5"/>
          <c:tx>
            <c:strRef>
              <c:f>'Monthly June 2025'!$AG$57</c:f>
              <c:strCache>
                <c:ptCount val="1"/>
                <c:pt idx="0">
                  <c:v>SPC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June 2025'!$AH$51:$AN$51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June 2025'!$AH$57:$AN$57</c:f>
              <c:numCache>
                <c:formatCode>General</c:formatCode>
                <c:ptCount val="7"/>
                <c:pt idx="0">
                  <c:v>55</c:v>
                </c:pt>
                <c:pt idx="1">
                  <c:v>56</c:v>
                </c:pt>
                <c:pt idx="2">
                  <c:v>88</c:v>
                </c:pt>
                <c:pt idx="3">
                  <c:v>92</c:v>
                </c:pt>
                <c:pt idx="4">
                  <c:v>95</c:v>
                </c:pt>
                <c:pt idx="5">
                  <c:v>77</c:v>
                </c:pt>
                <c:pt idx="6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EA2-4C2C-A0A2-C183266728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Room Attendance - Week of: 06/14/25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June 2025'!$AG$98</c:f>
              <c:strCache>
                <c:ptCount val="1"/>
                <c:pt idx="0">
                  <c:v>Cardio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June 2025'!$AH$97:$AN$97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June 2025'!$AH$98:$AN$98</c:f>
              <c:numCache>
                <c:formatCode>General</c:formatCode>
                <c:ptCount val="7"/>
                <c:pt idx="0">
                  <c:v>160</c:v>
                </c:pt>
                <c:pt idx="1">
                  <c:v>128</c:v>
                </c:pt>
                <c:pt idx="2">
                  <c:v>277</c:v>
                </c:pt>
                <c:pt idx="3">
                  <c:v>234</c:v>
                </c:pt>
                <c:pt idx="4">
                  <c:v>252</c:v>
                </c:pt>
                <c:pt idx="5">
                  <c:v>279</c:v>
                </c:pt>
                <c:pt idx="6">
                  <c:v>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8E-40A2-93F6-D42869140AB1}"/>
            </c:ext>
          </c:extLst>
        </c:ser>
        <c:ser>
          <c:idx val="1"/>
          <c:order val="1"/>
          <c:tx>
            <c:strRef>
              <c:f>'Monthly June 2025'!$AG$99</c:f>
              <c:strCache>
                <c:ptCount val="1"/>
                <c:pt idx="0">
                  <c:v>eGym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June 2025'!$AH$97:$AN$97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June 2025'!$AH$99:$AN$99</c:f>
              <c:numCache>
                <c:formatCode>General</c:formatCode>
                <c:ptCount val="7"/>
                <c:pt idx="0">
                  <c:v>58</c:v>
                </c:pt>
                <c:pt idx="1">
                  <c:v>43</c:v>
                </c:pt>
                <c:pt idx="2">
                  <c:v>119</c:v>
                </c:pt>
                <c:pt idx="3">
                  <c:v>87</c:v>
                </c:pt>
                <c:pt idx="4">
                  <c:v>114</c:v>
                </c:pt>
                <c:pt idx="5">
                  <c:v>124</c:v>
                </c:pt>
                <c:pt idx="6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8E-40A2-93F6-D42869140AB1}"/>
            </c:ext>
          </c:extLst>
        </c:ser>
        <c:ser>
          <c:idx val="2"/>
          <c:order val="2"/>
          <c:tx>
            <c:strRef>
              <c:f>'Monthly June 2025'!$AG$100</c:f>
              <c:strCache>
                <c:ptCount val="1"/>
                <c:pt idx="0">
                  <c:v>Free Weight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June 2025'!$AH$97:$AN$97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June 2025'!$AH$100:$AN$100</c:f>
              <c:numCache>
                <c:formatCode>General</c:formatCode>
                <c:ptCount val="7"/>
                <c:pt idx="0">
                  <c:v>171</c:v>
                </c:pt>
                <c:pt idx="1">
                  <c:v>114</c:v>
                </c:pt>
                <c:pt idx="2">
                  <c:v>268</c:v>
                </c:pt>
                <c:pt idx="3">
                  <c:v>261</c:v>
                </c:pt>
                <c:pt idx="4">
                  <c:v>214</c:v>
                </c:pt>
                <c:pt idx="5">
                  <c:v>285</c:v>
                </c:pt>
                <c:pt idx="6">
                  <c:v>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8E-40A2-93F6-D42869140AB1}"/>
            </c:ext>
          </c:extLst>
        </c:ser>
        <c:ser>
          <c:idx val="3"/>
          <c:order val="3"/>
          <c:tx>
            <c:strRef>
              <c:f>'Monthly June 2025'!$AG$101</c:f>
              <c:strCache>
                <c:ptCount val="1"/>
                <c:pt idx="0">
                  <c:v>Track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June 2025'!$AH$97:$AN$97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June 2025'!$AH$101:$AN$101</c:f>
              <c:numCache>
                <c:formatCode>General</c:formatCode>
                <c:ptCount val="7"/>
                <c:pt idx="0">
                  <c:v>38</c:v>
                </c:pt>
                <c:pt idx="1">
                  <c:v>20</c:v>
                </c:pt>
                <c:pt idx="2">
                  <c:v>88</c:v>
                </c:pt>
                <c:pt idx="3">
                  <c:v>46</c:v>
                </c:pt>
                <c:pt idx="4">
                  <c:v>86</c:v>
                </c:pt>
                <c:pt idx="5">
                  <c:v>82</c:v>
                </c:pt>
                <c:pt idx="6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48E-40A2-93F6-D42869140AB1}"/>
            </c:ext>
          </c:extLst>
        </c:ser>
        <c:ser>
          <c:idx val="4"/>
          <c:order val="4"/>
          <c:tx>
            <c:strRef>
              <c:f>'Monthly June 2025'!$AG$102</c:f>
              <c:strCache>
                <c:ptCount val="1"/>
                <c:pt idx="0">
                  <c:v>Stretch &amp; Core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June 2025'!$AH$97:$AN$97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June 2025'!$AH$102:$AN$102</c:f>
              <c:numCache>
                <c:formatCode>General</c:formatCode>
                <c:ptCount val="7"/>
                <c:pt idx="0">
                  <c:v>65</c:v>
                </c:pt>
                <c:pt idx="1">
                  <c:v>33</c:v>
                </c:pt>
                <c:pt idx="2">
                  <c:v>88</c:v>
                </c:pt>
                <c:pt idx="3">
                  <c:v>70</c:v>
                </c:pt>
                <c:pt idx="4">
                  <c:v>62</c:v>
                </c:pt>
                <c:pt idx="5">
                  <c:v>78</c:v>
                </c:pt>
                <c:pt idx="6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48E-40A2-93F6-D42869140AB1}"/>
            </c:ext>
          </c:extLst>
        </c:ser>
        <c:ser>
          <c:idx val="5"/>
          <c:order val="5"/>
          <c:tx>
            <c:strRef>
              <c:f>'Monthly June 2025'!$AG$103</c:f>
              <c:strCache>
                <c:ptCount val="1"/>
                <c:pt idx="0">
                  <c:v>SPC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June 2025'!$AH$97:$AN$97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June 2025'!$AH$103:$AN$103</c:f>
              <c:numCache>
                <c:formatCode>General</c:formatCode>
                <c:ptCount val="7"/>
                <c:pt idx="0">
                  <c:v>72</c:v>
                </c:pt>
                <c:pt idx="1">
                  <c:v>37</c:v>
                </c:pt>
                <c:pt idx="2">
                  <c:v>99</c:v>
                </c:pt>
                <c:pt idx="3">
                  <c:v>80</c:v>
                </c:pt>
                <c:pt idx="4">
                  <c:v>100</c:v>
                </c:pt>
                <c:pt idx="5">
                  <c:v>99</c:v>
                </c:pt>
                <c:pt idx="6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48E-40A2-93F6-D42869140A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Room Popularity - Week of: 06/14/25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June 2025'!$AH$97</c:f>
              <c:strCache>
                <c:ptCount val="1"/>
                <c:pt idx="0">
                  <c:v>Saturday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June 2025'!$AG$98:$AG$103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June 2025'!$AH$98:$AH$103</c:f>
              <c:numCache>
                <c:formatCode>General</c:formatCode>
                <c:ptCount val="6"/>
                <c:pt idx="0">
                  <c:v>160</c:v>
                </c:pt>
                <c:pt idx="1">
                  <c:v>58</c:v>
                </c:pt>
                <c:pt idx="2">
                  <c:v>171</c:v>
                </c:pt>
                <c:pt idx="3">
                  <c:v>38</c:v>
                </c:pt>
                <c:pt idx="4">
                  <c:v>65</c:v>
                </c:pt>
                <c:pt idx="5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CB-44CD-9450-81E8C06467B1}"/>
            </c:ext>
          </c:extLst>
        </c:ser>
        <c:ser>
          <c:idx val="1"/>
          <c:order val="1"/>
          <c:tx>
            <c:strRef>
              <c:f>'Monthly June 2025'!$AI$97</c:f>
              <c:strCache>
                <c:ptCount val="1"/>
                <c:pt idx="0">
                  <c:v>Sunday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June 2025'!$AG$98:$AG$103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June 2025'!$AI$98:$AI$103</c:f>
              <c:numCache>
                <c:formatCode>General</c:formatCode>
                <c:ptCount val="6"/>
                <c:pt idx="0">
                  <c:v>128</c:v>
                </c:pt>
                <c:pt idx="1">
                  <c:v>43</c:v>
                </c:pt>
                <c:pt idx="2">
                  <c:v>114</c:v>
                </c:pt>
                <c:pt idx="3">
                  <c:v>20</c:v>
                </c:pt>
                <c:pt idx="4">
                  <c:v>33</c:v>
                </c:pt>
                <c:pt idx="5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CB-44CD-9450-81E8C06467B1}"/>
            </c:ext>
          </c:extLst>
        </c:ser>
        <c:ser>
          <c:idx val="2"/>
          <c:order val="2"/>
          <c:tx>
            <c:strRef>
              <c:f>'Monthly June 2025'!$AJ$97</c:f>
              <c:strCache>
                <c:ptCount val="1"/>
                <c:pt idx="0">
                  <c:v>Monday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June 2025'!$AG$98:$AG$103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June 2025'!$AJ$98:$AJ$103</c:f>
              <c:numCache>
                <c:formatCode>General</c:formatCode>
                <c:ptCount val="6"/>
                <c:pt idx="0">
                  <c:v>277</c:v>
                </c:pt>
                <c:pt idx="1">
                  <c:v>119</c:v>
                </c:pt>
                <c:pt idx="2">
                  <c:v>268</c:v>
                </c:pt>
                <c:pt idx="3">
                  <c:v>88</c:v>
                </c:pt>
                <c:pt idx="4">
                  <c:v>88</c:v>
                </c:pt>
                <c:pt idx="5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CB-44CD-9450-81E8C06467B1}"/>
            </c:ext>
          </c:extLst>
        </c:ser>
        <c:ser>
          <c:idx val="3"/>
          <c:order val="3"/>
          <c:tx>
            <c:strRef>
              <c:f>'Monthly June 2025'!$AK$97</c:f>
              <c:strCache>
                <c:ptCount val="1"/>
                <c:pt idx="0">
                  <c:v>Tuesday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June 2025'!$AG$98:$AG$103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June 2025'!$AK$98:$AK$103</c:f>
              <c:numCache>
                <c:formatCode>General</c:formatCode>
                <c:ptCount val="6"/>
                <c:pt idx="0">
                  <c:v>234</c:v>
                </c:pt>
                <c:pt idx="1">
                  <c:v>87</c:v>
                </c:pt>
                <c:pt idx="2">
                  <c:v>261</c:v>
                </c:pt>
                <c:pt idx="3">
                  <c:v>46</c:v>
                </c:pt>
                <c:pt idx="4">
                  <c:v>70</c:v>
                </c:pt>
                <c:pt idx="5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ECB-44CD-9450-81E8C06467B1}"/>
            </c:ext>
          </c:extLst>
        </c:ser>
        <c:ser>
          <c:idx val="4"/>
          <c:order val="4"/>
          <c:tx>
            <c:strRef>
              <c:f>'Monthly June 2025'!$AL$97</c:f>
              <c:strCache>
                <c:ptCount val="1"/>
                <c:pt idx="0">
                  <c:v>Wednesday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June 2025'!$AG$98:$AG$103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June 2025'!$AL$98:$AL$103</c:f>
              <c:numCache>
                <c:formatCode>General</c:formatCode>
                <c:ptCount val="6"/>
                <c:pt idx="0">
                  <c:v>252</c:v>
                </c:pt>
                <c:pt idx="1">
                  <c:v>114</c:v>
                </c:pt>
                <c:pt idx="2">
                  <c:v>214</c:v>
                </c:pt>
                <c:pt idx="3">
                  <c:v>86</c:v>
                </c:pt>
                <c:pt idx="4">
                  <c:v>62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ECB-44CD-9450-81E8C06467B1}"/>
            </c:ext>
          </c:extLst>
        </c:ser>
        <c:ser>
          <c:idx val="5"/>
          <c:order val="5"/>
          <c:tx>
            <c:strRef>
              <c:f>'Monthly June 2025'!$AM$97</c:f>
              <c:strCache>
                <c:ptCount val="1"/>
                <c:pt idx="0">
                  <c:v>Thursday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June 2025'!$AG$98:$AG$103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June 2025'!$AM$98:$AM$103</c:f>
              <c:numCache>
                <c:formatCode>General</c:formatCode>
                <c:ptCount val="6"/>
                <c:pt idx="0">
                  <c:v>279</c:v>
                </c:pt>
                <c:pt idx="1">
                  <c:v>124</c:v>
                </c:pt>
                <c:pt idx="2">
                  <c:v>285</c:v>
                </c:pt>
                <c:pt idx="3">
                  <c:v>82</c:v>
                </c:pt>
                <c:pt idx="4">
                  <c:v>78</c:v>
                </c:pt>
                <c:pt idx="5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ECB-44CD-9450-81E8C06467B1}"/>
            </c:ext>
          </c:extLst>
        </c:ser>
        <c:ser>
          <c:idx val="6"/>
          <c:order val="6"/>
          <c:tx>
            <c:strRef>
              <c:f>'Monthly June 2025'!$AN$97</c:f>
              <c:strCache>
                <c:ptCount val="1"/>
                <c:pt idx="0">
                  <c:v>Friday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'Monthly June 2025'!$AG$98:$AG$103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June 2025'!$AN$98:$AN$103</c:f>
              <c:numCache>
                <c:formatCode>General</c:formatCode>
                <c:ptCount val="6"/>
                <c:pt idx="0">
                  <c:v>216</c:v>
                </c:pt>
                <c:pt idx="1">
                  <c:v>110</c:v>
                </c:pt>
                <c:pt idx="2">
                  <c:v>216</c:v>
                </c:pt>
                <c:pt idx="3">
                  <c:v>48</c:v>
                </c:pt>
                <c:pt idx="4">
                  <c:v>84</c:v>
                </c:pt>
                <c:pt idx="5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ECB-44CD-9450-81E8C06467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Room Attendance - Week of: 06/21/25	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June 2025'!$AG$144</c:f>
              <c:strCache>
                <c:ptCount val="1"/>
                <c:pt idx="0">
                  <c:v>Cardio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June 2025'!$AH$143:$AN$143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June 2025'!$AH$144:$AN$144</c:f>
              <c:numCache>
                <c:formatCode>General</c:formatCode>
                <c:ptCount val="7"/>
                <c:pt idx="0">
                  <c:v>175</c:v>
                </c:pt>
                <c:pt idx="1">
                  <c:v>0</c:v>
                </c:pt>
                <c:pt idx="2">
                  <c:v>302</c:v>
                </c:pt>
                <c:pt idx="3">
                  <c:v>239</c:v>
                </c:pt>
                <c:pt idx="4">
                  <c:v>314</c:v>
                </c:pt>
                <c:pt idx="5">
                  <c:v>312</c:v>
                </c:pt>
                <c:pt idx="6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65-428B-ABBC-B72E47732629}"/>
            </c:ext>
          </c:extLst>
        </c:ser>
        <c:ser>
          <c:idx val="1"/>
          <c:order val="1"/>
          <c:tx>
            <c:strRef>
              <c:f>'Monthly June 2025'!$AG$145</c:f>
              <c:strCache>
                <c:ptCount val="1"/>
                <c:pt idx="0">
                  <c:v>eGym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June 2025'!$AH$143:$AN$143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June 2025'!$AH$145:$AN$145</c:f>
              <c:numCache>
                <c:formatCode>General</c:formatCode>
                <c:ptCount val="7"/>
                <c:pt idx="0">
                  <c:v>66</c:v>
                </c:pt>
                <c:pt idx="1">
                  <c:v>0</c:v>
                </c:pt>
                <c:pt idx="2">
                  <c:v>119</c:v>
                </c:pt>
                <c:pt idx="3">
                  <c:v>102</c:v>
                </c:pt>
                <c:pt idx="4">
                  <c:v>106</c:v>
                </c:pt>
                <c:pt idx="5">
                  <c:v>125</c:v>
                </c:pt>
                <c:pt idx="6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65-428B-ABBC-B72E47732629}"/>
            </c:ext>
          </c:extLst>
        </c:ser>
        <c:ser>
          <c:idx val="2"/>
          <c:order val="2"/>
          <c:tx>
            <c:strRef>
              <c:f>'Monthly June 2025'!$AG$146</c:f>
              <c:strCache>
                <c:ptCount val="1"/>
                <c:pt idx="0">
                  <c:v>Free Weight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June 2025'!$AH$143:$AN$143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June 2025'!$AH$146:$AN$146</c:f>
              <c:numCache>
                <c:formatCode>General</c:formatCode>
                <c:ptCount val="7"/>
                <c:pt idx="0">
                  <c:v>164</c:v>
                </c:pt>
                <c:pt idx="1">
                  <c:v>0</c:v>
                </c:pt>
                <c:pt idx="2">
                  <c:v>292</c:v>
                </c:pt>
                <c:pt idx="3">
                  <c:v>237</c:v>
                </c:pt>
                <c:pt idx="4">
                  <c:v>334</c:v>
                </c:pt>
                <c:pt idx="5">
                  <c:v>367</c:v>
                </c:pt>
                <c:pt idx="6">
                  <c:v>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65-428B-ABBC-B72E47732629}"/>
            </c:ext>
          </c:extLst>
        </c:ser>
        <c:ser>
          <c:idx val="3"/>
          <c:order val="3"/>
          <c:tx>
            <c:strRef>
              <c:f>'Monthly June 2025'!$AG$147</c:f>
              <c:strCache>
                <c:ptCount val="1"/>
                <c:pt idx="0">
                  <c:v>Track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June 2025'!$AH$143:$AN$143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June 2025'!$AH$147:$AN$147</c:f>
              <c:numCache>
                <c:formatCode>General</c:formatCode>
                <c:ptCount val="7"/>
                <c:pt idx="0">
                  <c:v>37</c:v>
                </c:pt>
                <c:pt idx="1">
                  <c:v>0</c:v>
                </c:pt>
                <c:pt idx="2">
                  <c:v>85</c:v>
                </c:pt>
                <c:pt idx="3">
                  <c:v>65</c:v>
                </c:pt>
                <c:pt idx="4">
                  <c:v>96</c:v>
                </c:pt>
                <c:pt idx="5">
                  <c:v>119</c:v>
                </c:pt>
                <c:pt idx="6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C65-428B-ABBC-B72E47732629}"/>
            </c:ext>
          </c:extLst>
        </c:ser>
        <c:ser>
          <c:idx val="4"/>
          <c:order val="4"/>
          <c:tx>
            <c:strRef>
              <c:f>'Monthly June 2025'!$AG$148</c:f>
              <c:strCache>
                <c:ptCount val="1"/>
                <c:pt idx="0">
                  <c:v>Stretch &amp; Core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June 2025'!$AH$143:$AN$143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June 2025'!$AH$148:$AN$148</c:f>
              <c:numCache>
                <c:formatCode>General</c:formatCode>
                <c:ptCount val="7"/>
                <c:pt idx="0">
                  <c:v>61</c:v>
                </c:pt>
                <c:pt idx="1">
                  <c:v>0</c:v>
                </c:pt>
                <c:pt idx="2">
                  <c:v>84</c:v>
                </c:pt>
                <c:pt idx="3">
                  <c:v>62</c:v>
                </c:pt>
                <c:pt idx="4">
                  <c:v>95</c:v>
                </c:pt>
                <c:pt idx="5">
                  <c:v>114</c:v>
                </c:pt>
                <c:pt idx="6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C65-428B-ABBC-B72E47732629}"/>
            </c:ext>
          </c:extLst>
        </c:ser>
        <c:ser>
          <c:idx val="5"/>
          <c:order val="5"/>
          <c:tx>
            <c:strRef>
              <c:f>'Monthly June 2025'!$AG$149</c:f>
              <c:strCache>
                <c:ptCount val="1"/>
                <c:pt idx="0">
                  <c:v>SPC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June 2025'!$AH$143:$AN$143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June 2025'!$AH$149:$AN$149</c:f>
              <c:numCache>
                <c:formatCode>General</c:formatCode>
                <c:ptCount val="7"/>
                <c:pt idx="0">
                  <c:v>61</c:v>
                </c:pt>
                <c:pt idx="1">
                  <c:v>0</c:v>
                </c:pt>
                <c:pt idx="2">
                  <c:v>102</c:v>
                </c:pt>
                <c:pt idx="3">
                  <c:v>68</c:v>
                </c:pt>
                <c:pt idx="4">
                  <c:v>113</c:v>
                </c:pt>
                <c:pt idx="5">
                  <c:v>130</c:v>
                </c:pt>
                <c:pt idx="6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C65-428B-ABBC-B72E47732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Room Popularity - Week of: 06/21/25		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June 2025'!$AH$143</c:f>
              <c:strCache>
                <c:ptCount val="1"/>
                <c:pt idx="0">
                  <c:v>Saturday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June 2025'!$AG$144:$AG$149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June 2025'!$AH$144:$AH$149</c:f>
              <c:numCache>
                <c:formatCode>General</c:formatCode>
                <c:ptCount val="6"/>
                <c:pt idx="0">
                  <c:v>175</c:v>
                </c:pt>
                <c:pt idx="1">
                  <c:v>66</c:v>
                </c:pt>
                <c:pt idx="2">
                  <c:v>164</c:v>
                </c:pt>
                <c:pt idx="3">
                  <c:v>37</c:v>
                </c:pt>
                <c:pt idx="4">
                  <c:v>61</c:v>
                </c:pt>
                <c:pt idx="5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4C-46CA-8BE9-0C8361AD9109}"/>
            </c:ext>
          </c:extLst>
        </c:ser>
        <c:ser>
          <c:idx val="1"/>
          <c:order val="1"/>
          <c:tx>
            <c:strRef>
              <c:f>'Monthly June 2025'!$AI$143</c:f>
              <c:strCache>
                <c:ptCount val="1"/>
                <c:pt idx="0">
                  <c:v>Sunday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June 2025'!$AG$144:$AG$149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June 2025'!$AI$144:$AI$149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4C-46CA-8BE9-0C8361AD9109}"/>
            </c:ext>
          </c:extLst>
        </c:ser>
        <c:ser>
          <c:idx val="2"/>
          <c:order val="2"/>
          <c:tx>
            <c:strRef>
              <c:f>'Monthly June 2025'!$AJ$143</c:f>
              <c:strCache>
                <c:ptCount val="1"/>
                <c:pt idx="0">
                  <c:v>Monday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June 2025'!$AG$144:$AG$149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June 2025'!$AJ$144:$AJ$149</c:f>
              <c:numCache>
                <c:formatCode>General</c:formatCode>
                <c:ptCount val="6"/>
                <c:pt idx="0">
                  <c:v>302</c:v>
                </c:pt>
                <c:pt idx="1">
                  <c:v>119</c:v>
                </c:pt>
                <c:pt idx="2">
                  <c:v>292</c:v>
                </c:pt>
                <c:pt idx="3">
                  <c:v>85</c:v>
                </c:pt>
                <c:pt idx="4">
                  <c:v>84</c:v>
                </c:pt>
                <c:pt idx="5">
                  <c:v>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4C-46CA-8BE9-0C8361AD9109}"/>
            </c:ext>
          </c:extLst>
        </c:ser>
        <c:ser>
          <c:idx val="3"/>
          <c:order val="3"/>
          <c:tx>
            <c:strRef>
              <c:f>'Monthly June 2025'!$AK$143</c:f>
              <c:strCache>
                <c:ptCount val="1"/>
                <c:pt idx="0">
                  <c:v>Tuesday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June 2025'!$AG$144:$AG$149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June 2025'!$AK$144:$AK$149</c:f>
              <c:numCache>
                <c:formatCode>General</c:formatCode>
                <c:ptCount val="6"/>
                <c:pt idx="0">
                  <c:v>239</c:v>
                </c:pt>
                <c:pt idx="1">
                  <c:v>102</c:v>
                </c:pt>
                <c:pt idx="2">
                  <c:v>237</c:v>
                </c:pt>
                <c:pt idx="3">
                  <c:v>65</c:v>
                </c:pt>
                <c:pt idx="4">
                  <c:v>62</c:v>
                </c:pt>
                <c:pt idx="5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D4C-46CA-8BE9-0C8361AD9109}"/>
            </c:ext>
          </c:extLst>
        </c:ser>
        <c:ser>
          <c:idx val="4"/>
          <c:order val="4"/>
          <c:tx>
            <c:strRef>
              <c:f>'Monthly June 2025'!$AL$143</c:f>
              <c:strCache>
                <c:ptCount val="1"/>
                <c:pt idx="0">
                  <c:v>Wednesday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June 2025'!$AG$144:$AG$149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June 2025'!$AL$144:$AL$149</c:f>
              <c:numCache>
                <c:formatCode>General</c:formatCode>
                <c:ptCount val="6"/>
                <c:pt idx="0">
                  <c:v>314</c:v>
                </c:pt>
                <c:pt idx="1">
                  <c:v>106</c:v>
                </c:pt>
                <c:pt idx="2">
                  <c:v>334</c:v>
                </c:pt>
                <c:pt idx="3">
                  <c:v>96</c:v>
                </c:pt>
                <c:pt idx="4">
                  <c:v>95</c:v>
                </c:pt>
                <c:pt idx="5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D4C-46CA-8BE9-0C8361AD9109}"/>
            </c:ext>
          </c:extLst>
        </c:ser>
        <c:ser>
          <c:idx val="5"/>
          <c:order val="5"/>
          <c:tx>
            <c:strRef>
              <c:f>'Monthly June 2025'!$AM$143</c:f>
              <c:strCache>
                <c:ptCount val="1"/>
                <c:pt idx="0">
                  <c:v>Thursday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June 2025'!$AG$144:$AG$149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June 2025'!$AM$144:$AM$149</c:f>
              <c:numCache>
                <c:formatCode>General</c:formatCode>
                <c:ptCount val="6"/>
                <c:pt idx="0">
                  <c:v>312</c:v>
                </c:pt>
                <c:pt idx="1">
                  <c:v>125</c:v>
                </c:pt>
                <c:pt idx="2">
                  <c:v>367</c:v>
                </c:pt>
                <c:pt idx="3">
                  <c:v>119</c:v>
                </c:pt>
                <c:pt idx="4">
                  <c:v>114</c:v>
                </c:pt>
                <c:pt idx="5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D4C-46CA-8BE9-0C8361AD9109}"/>
            </c:ext>
          </c:extLst>
        </c:ser>
        <c:ser>
          <c:idx val="6"/>
          <c:order val="6"/>
          <c:tx>
            <c:strRef>
              <c:f>'Monthly June 2025'!$AN$143</c:f>
              <c:strCache>
                <c:ptCount val="1"/>
                <c:pt idx="0">
                  <c:v>Friday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'Monthly June 2025'!$AG$144:$AG$149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June 2025'!$AN$144:$AN$149</c:f>
              <c:numCache>
                <c:formatCode>General</c:formatCode>
                <c:ptCount val="6"/>
                <c:pt idx="0">
                  <c:v>288</c:v>
                </c:pt>
                <c:pt idx="1">
                  <c:v>130</c:v>
                </c:pt>
                <c:pt idx="2">
                  <c:v>274</c:v>
                </c:pt>
                <c:pt idx="3">
                  <c:v>80</c:v>
                </c:pt>
                <c:pt idx="4">
                  <c:v>90</c:v>
                </c:pt>
                <c:pt idx="5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D4C-46CA-8BE9-0C8361AD9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Room Popularity - "Week of: 06/28/25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June 2025'!$AH$189</c:f>
              <c:strCache>
                <c:ptCount val="1"/>
                <c:pt idx="0">
                  <c:v>Saturday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June 2025'!$AG$190:$AG$195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June 2025'!$AH$190:$AH$195</c:f>
              <c:numCache>
                <c:formatCode>General</c:formatCode>
                <c:ptCount val="6"/>
                <c:pt idx="0">
                  <c:v>199</c:v>
                </c:pt>
                <c:pt idx="1">
                  <c:v>58</c:v>
                </c:pt>
                <c:pt idx="2">
                  <c:v>199</c:v>
                </c:pt>
                <c:pt idx="3">
                  <c:v>50</c:v>
                </c:pt>
                <c:pt idx="4">
                  <c:v>60</c:v>
                </c:pt>
                <c:pt idx="5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0F-4FDC-8359-63E429EA11D3}"/>
            </c:ext>
          </c:extLst>
        </c:ser>
        <c:ser>
          <c:idx val="1"/>
          <c:order val="1"/>
          <c:tx>
            <c:strRef>
              <c:f>'Monthly June 2025'!$AI$189</c:f>
              <c:strCache>
                <c:ptCount val="1"/>
                <c:pt idx="0">
                  <c:v>Sunday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June 2025'!$AG$190:$AG$195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June 2025'!$AI$190:$AI$195</c:f>
              <c:numCache>
                <c:formatCode>General</c:formatCode>
                <c:ptCount val="6"/>
                <c:pt idx="0">
                  <c:v>163</c:v>
                </c:pt>
                <c:pt idx="1">
                  <c:v>75</c:v>
                </c:pt>
                <c:pt idx="2">
                  <c:v>142</c:v>
                </c:pt>
                <c:pt idx="3">
                  <c:v>44</c:v>
                </c:pt>
                <c:pt idx="4">
                  <c:v>51</c:v>
                </c:pt>
                <c:pt idx="5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0F-4FDC-8359-63E429EA11D3}"/>
            </c:ext>
          </c:extLst>
        </c:ser>
        <c:ser>
          <c:idx val="2"/>
          <c:order val="2"/>
          <c:tx>
            <c:strRef>
              <c:f>'Monthly June 2025'!$AJ$189</c:f>
              <c:strCache>
                <c:ptCount val="1"/>
                <c:pt idx="0">
                  <c:v>Monday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June 2025'!$AG$190:$AG$195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June 2025'!$AJ$190:$AJ$195</c:f>
              <c:numCache>
                <c:formatCode>General</c:formatCode>
                <c:ptCount val="6"/>
                <c:pt idx="0">
                  <c:v>364</c:v>
                </c:pt>
                <c:pt idx="1">
                  <c:v>159</c:v>
                </c:pt>
                <c:pt idx="2">
                  <c:v>388</c:v>
                </c:pt>
                <c:pt idx="3">
                  <c:v>128</c:v>
                </c:pt>
                <c:pt idx="4">
                  <c:v>111</c:v>
                </c:pt>
                <c:pt idx="5">
                  <c:v>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0F-4FDC-8359-63E429EA11D3}"/>
            </c:ext>
          </c:extLst>
        </c:ser>
        <c:ser>
          <c:idx val="3"/>
          <c:order val="3"/>
          <c:tx>
            <c:strRef>
              <c:f>'Monthly June 2025'!$AK$189</c:f>
              <c:strCache>
                <c:ptCount val="1"/>
                <c:pt idx="0">
                  <c:v>Tuesday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June 2025'!$AG$190:$AG$195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June 2025'!$AK$190:$AK$195</c:f>
              <c:numCache>
                <c:formatCode>General</c:formatCode>
                <c:ptCount val="6"/>
                <c:pt idx="0">
                  <c:v>371</c:v>
                </c:pt>
                <c:pt idx="1">
                  <c:v>135</c:v>
                </c:pt>
                <c:pt idx="2">
                  <c:v>386</c:v>
                </c:pt>
                <c:pt idx="3">
                  <c:v>99</c:v>
                </c:pt>
                <c:pt idx="4">
                  <c:v>107</c:v>
                </c:pt>
                <c:pt idx="5">
                  <c:v>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40F-4FDC-8359-63E429EA11D3}"/>
            </c:ext>
          </c:extLst>
        </c:ser>
        <c:ser>
          <c:idx val="4"/>
          <c:order val="4"/>
          <c:tx>
            <c:strRef>
              <c:f>'Monthly June 2025'!$AL$189</c:f>
              <c:strCache>
                <c:ptCount val="1"/>
                <c:pt idx="0">
                  <c:v>Wednesday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June 2025'!$AG$190:$AG$195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June 2025'!$AL$190:$AL$195</c:f>
              <c:numCache>
                <c:formatCode>General</c:formatCode>
                <c:ptCount val="6"/>
                <c:pt idx="0">
                  <c:v>303</c:v>
                </c:pt>
                <c:pt idx="1">
                  <c:v>115</c:v>
                </c:pt>
                <c:pt idx="2">
                  <c:v>368</c:v>
                </c:pt>
                <c:pt idx="3">
                  <c:v>84</c:v>
                </c:pt>
                <c:pt idx="4">
                  <c:v>93</c:v>
                </c:pt>
                <c:pt idx="5">
                  <c:v>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40F-4FDC-8359-63E429EA11D3}"/>
            </c:ext>
          </c:extLst>
        </c:ser>
        <c:ser>
          <c:idx val="5"/>
          <c:order val="5"/>
          <c:tx>
            <c:strRef>
              <c:f>'Monthly June 2025'!$AM$189</c:f>
              <c:strCache>
                <c:ptCount val="1"/>
                <c:pt idx="0">
                  <c:v>Thursday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June 2025'!$AG$190:$AG$195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June 2025'!$AM$190:$AM$195</c:f>
              <c:numCache>
                <c:formatCode>General</c:formatCode>
                <c:ptCount val="6"/>
                <c:pt idx="0">
                  <c:v>325</c:v>
                </c:pt>
                <c:pt idx="1">
                  <c:v>148</c:v>
                </c:pt>
                <c:pt idx="2">
                  <c:v>401</c:v>
                </c:pt>
                <c:pt idx="3">
                  <c:v>91</c:v>
                </c:pt>
                <c:pt idx="4">
                  <c:v>100</c:v>
                </c:pt>
                <c:pt idx="5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40F-4FDC-8359-63E429EA11D3}"/>
            </c:ext>
          </c:extLst>
        </c:ser>
        <c:ser>
          <c:idx val="6"/>
          <c:order val="6"/>
          <c:tx>
            <c:strRef>
              <c:f>'Monthly June 2025'!$AN$189</c:f>
              <c:strCache>
                <c:ptCount val="1"/>
                <c:pt idx="0">
                  <c:v>Friday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'Monthly June 2025'!$AG$190:$AG$195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June 2025'!$AN$190:$AN$195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40F-4FDC-8359-63E429EA11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Room Attendance - Week of: 06/28/25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June 2025'!$AG$190</c:f>
              <c:strCache>
                <c:ptCount val="1"/>
                <c:pt idx="0">
                  <c:v>Cardio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June 2025'!$AH$189:$AN$189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June 2025'!$AH$190:$AN$190</c:f>
              <c:numCache>
                <c:formatCode>General</c:formatCode>
                <c:ptCount val="7"/>
                <c:pt idx="0">
                  <c:v>199</c:v>
                </c:pt>
                <c:pt idx="1">
                  <c:v>163</c:v>
                </c:pt>
                <c:pt idx="2">
                  <c:v>364</c:v>
                </c:pt>
                <c:pt idx="3">
                  <c:v>371</c:v>
                </c:pt>
                <c:pt idx="4">
                  <c:v>303</c:v>
                </c:pt>
                <c:pt idx="5">
                  <c:v>325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FF-45B7-8112-1E242F63054F}"/>
            </c:ext>
          </c:extLst>
        </c:ser>
        <c:ser>
          <c:idx val="1"/>
          <c:order val="1"/>
          <c:tx>
            <c:strRef>
              <c:f>'Monthly June 2025'!$AG$191</c:f>
              <c:strCache>
                <c:ptCount val="1"/>
                <c:pt idx="0">
                  <c:v>eGym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June 2025'!$AH$189:$AN$189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June 2025'!$AH$191:$AN$191</c:f>
              <c:numCache>
                <c:formatCode>General</c:formatCode>
                <c:ptCount val="7"/>
                <c:pt idx="0">
                  <c:v>58</c:v>
                </c:pt>
                <c:pt idx="1">
                  <c:v>75</c:v>
                </c:pt>
                <c:pt idx="2">
                  <c:v>159</c:v>
                </c:pt>
                <c:pt idx="3">
                  <c:v>135</c:v>
                </c:pt>
                <c:pt idx="4">
                  <c:v>115</c:v>
                </c:pt>
                <c:pt idx="5">
                  <c:v>148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FF-45B7-8112-1E242F63054F}"/>
            </c:ext>
          </c:extLst>
        </c:ser>
        <c:ser>
          <c:idx val="2"/>
          <c:order val="2"/>
          <c:tx>
            <c:strRef>
              <c:f>'Monthly June 2025'!$AG$192</c:f>
              <c:strCache>
                <c:ptCount val="1"/>
                <c:pt idx="0">
                  <c:v>Free Weight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June 2025'!$AH$189:$AN$189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June 2025'!$AH$192:$AN$192</c:f>
              <c:numCache>
                <c:formatCode>General</c:formatCode>
                <c:ptCount val="7"/>
                <c:pt idx="0">
                  <c:v>199</c:v>
                </c:pt>
                <c:pt idx="1">
                  <c:v>142</c:v>
                </c:pt>
                <c:pt idx="2">
                  <c:v>388</c:v>
                </c:pt>
                <c:pt idx="3">
                  <c:v>386</c:v>
                </c:pt>
                <c:pt idx="4">
                  <c:v>368</c:v>
                </c:pt>
                <c:pt idx="5">
                  <c:v>401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FF-45B7-8112-1E242F63054F}"/>
            </c:ext>
          </c:extLst>
        </c:ser>
        <c:ser>
          <c:idx val="3"/>
          <c:order val="3"/>
          <c:tx>
            <c:strRef>
              <c:f>'Monthly June 2025'!$AG$193</c:f>
              <c:strCache>
                <c:ptCount val="1"/>
                <c:pt idx="0">
                  <c:v>Track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June 2025'!$AH$189:$AN$189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June 2025'!$AH$193:$AN$193</c:f>
              <c:numCache>
                <c:formatCode>General</c:formatCode>
                <c:ptCount val="7"/>
                <c:pt idx="0">
                  <c:v>50</c:v>
                </c:pt>
                <c:pt idx="1">
                  <c:v>44</c:v>
                </c:pt>
                <c:pt idx="2">
                  <c:v>128</c:v>
                </c:pt>
                <c:pt idx="3">
                  <c:v>99</c:v>
                </c:pt>
                <c:pt idx="4">
                  <c:v>84</c:v>
                </c:pt>
                <c:pt idx="5">
                  <c:v>91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3FF-45B7-8112-1E242F63054F}"/>
            </c:ext>
          </c:extLst>
        </c:ser>
        <c:ser>
          <c:idx val="4"/>
          <c:order val="4"/>
          <c:tx>
            <c:strRef>
              <c:f>'Monthly June 2025'!$AG$194</c:f>
              <c:strCache>
                <c:ptCount val="1"/>
                <c:pt idx="0">
                  <c:v>Stretch &amp; Core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June 2025'!$AH$189:$AN$189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June 2025'!$AH$194:$AN$194</c:f>
              <c:numCache>
                <c:formatCode>General</c:formatCode>
                <c:ptCount val="7"/>
                <c:pt idx="0">
                  <c:v>60</c:v>
                </c:pt>
                <c:pt idx="1">
                  <c:v>51</c:v>
                </c:pt>
                <c:pt idx="2">
                  <c:v>111</c:v>
                </c:pt>
                <c:pt idx="3">
                  <c:v>107</c:v>
                </c:pt>
                <c:pt idx="4">
                  <c:v>93</c:v>
                </c:pt>
                <c:pt idx="5">
                  <c:v>100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3FF-45B7-8112-1E242F63054F}"/>
            </c:ext>
          </c:extLst>
        </c:ser>
        <c:ser>
          <c:idx val="5"/>
          <c:order val="5"/>
          <c:tx>
            <c:strRef>
              <c:f>'Monthly June 2025'!$AG$195</c:f>
              <c:strCache>
                <c:ptCount val="1"/>
                <c:pt idx="0">
                  <c:v>SPC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June 2025'!$AH$189:$AN$189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June 2025'!$AH$195:$AN$195</c:f>
              <c:numCache>
                <c:formatCode>General</c:formatCode>
                <c:ptCount val="7"/>
                <c:pt idx="0">
                  <c:v>79</c:v>
                </c:pt>
                <c:pt idx="1">
                  <c:v>21</c:v>
                </c:pt>
                <c:pt idx="2">
                  <c:v>152</c:v>
                </c:pt>
                <c:pt idx="3">
                  <c:v>143</c:v>
                </c:pt>
                <c:pt idx="4">
                  <c:v>137</c:v>
                </c:pt>
                <c:pt idx="5">
                  <c:v>115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3FF-45B7-8112-1E242F630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Room Attendance - June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June 2025'!$AP$6</c:f>
              <c:strCache>
                <c:ptCount val="1"/>
                <c:pt idx="0">
                  <c:v>Cardio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June 2025'!$AQ$5:$AW$5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June 2025'!$AQ$6:$AW$6</c:f>
              <c:numCache>
                <c:formatCode>General</c:formatCode>
                <c:ptCount val="7"/>
                <c:pt idx="0">
                  <c:v>977</c:v>
                </c:pt>
                <c:pt idx="1">
                  <c:v>648</c:v>
                </c:pt>
                <c:pt idx="2">
                  <c:v>1546</c:v>
                </c:pt>
                <c:pt idx="3">
                  <c:v>1321</c:v>
                </c:pt>
                <c:pt idx="4">
                  <c:v>1293</c:v>
                </c:pt>
                <c:pt idx="5">
                  <c:v>1316</c:v>
                </c:pt>
                <c:pt idx="6">
                  <c:v>749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21-400A-8D59-7652402C2FA7}"/>
            </c:ext>
          </c:extLst>
        </c:ser>
        <c:ser>
          <c:idx val="1"/>
          <c:order val="1"/>
          <c:tx>
            <c:strRef>
              <c:f>'Monthly June 2025'!$AP$7</c:f>
              <c:strCache>
                <c:ptCount val="1"/>
                <c:pt idx="0">
                  <c:v>eGym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June 2025'!$AQ$5:$AW$5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June 2025'!$AQ$7:$AW$7</c:f>
              <c:numCache>
                <c:formatCode>General</c:formatCode>
                <c:ptCount val="7"/>
                <c:pt idx="0">
                  <c:v>355</c:v>
                </c:pt>
                <c:pt idx="1">
                  <c:v>240</c:v>
                </c:pt>
                <c:pt idx="2">
                  <c:v>671</c:v>
                </c:pt>
                <c:pt idx="3">
                  <c:v>545</c:v>
                </c:pt>
                <c:pt idx="4">
                  <c:v>570</c:v>
                </c:pt>
                <c:pt idx="5">
                  <c:v>616</c:v>
                </c:pt>
                <c:pt idx="6">
                  <c:v>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21-400A-8D59-7652402C2FA7}"/>
            </c:ext>
          </c:extLst>
        </c:ser>
        <c:ser>
          <c:idx val="2"/>
          <c:order val="2"/>
          <c:tx>
            <c:strRef>
              <c:f>'Monthly June 2025'!$AP$8</c:f>
              <c:strCache>
                <c:ptCount val="1"/>
                <c:pt idx="0">
                  <c:v>Free Weight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June 2025'!$AQ$5:$AW$5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June 2025'!$AQ$8:$AW$8</c:f>
              <c:numCache>
                <c:formatCode>General</c:formatCode>
                <c:ptCount val="7"/>
                <c:pt idx="0">
                  <c:v>994</c:v>
                </c:pt>
                <c:pt idx="1">
                  <c:v>576</c:v>
                </c:pt>
                <c:pt idx="2">
                  <c:v>1531</c:v>
                </c:pt>
                <c:pt idx="3">
                  <c:v>1379</c:v>
                </c:pt>
                <c:pt idx="4">
                  <c:v>1349</c:v>
                </c:pt>
                <c:pt idx="5">
                  <c:v>1497</c:v>
                </c:pt>
                <c:pt idx="6">
                  <c:v>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21-400A-8D59-7652402C2FA7}"/>
            </c:ext>
          </c:extLst>
        </c:ser>
        <c:ser>
          <c:idx val="3"/>
          <c:order val="3"/>
          <c:tx>
            <c:strRef>
              <c:f>'Monthly June 2025'!$AP$9</c:f>
              <c:strCache>
                <c:ptCount val="1"/>
                <c:pt idx="0">
                  <c:v>Track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June 2025'!$AQ$5:$AW$5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June 2025'!$AQ$9:$AW$9</c:f>
              <c:numCache>
                <c:formatCode>General</c:formatCode>
                <c:ptCount val="7"/>
                <c:pt idx="0">
                  <c:v>298</c:v>
                </c:pt>
                <c:pt idx="1">
                  <c:v>159</c:v>
                </c:pt>
                <c:pt idx="2">
                  <c:v>506</c:v>
                </c:pt>
                <c:pt idx="3">
                  <c:v>352</c:v>
                </c:pt>
                <c:pt idx="4">
                  <c:v>429</c:v>
                </c:pt>
                <c:pt idx="5">
                  <c:v>455</c:v>
                </c:pt>
                <c:pt idx="6">
                  <c:v>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21-400A-8D59-7652402C2FA7}"/>
            </c:ext>
          </c:extLst>
        </c:ser>
        <c:ser>
          <c:idx val="4"/>
          <c:order val="4"/>
          <c:tx>
            <c:strRef>
              <c:f>'Monthly June 2025'!$AP$10</c:f>
              <c:strCache>
                <c:ptCount val="1"/>
                <c:pt idx="0">
                  <c:v>Stretch &amp; Core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June 2025'!$AQ$5:$AW$5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June 2025'!$AQ$10:$AW$10</c:f>
              <c:numCache>
                <c:formatCode>General</c:formatCode>
                <c:ptCount val="7"/>
                <c:pt idx="0">
                  <c:v>315</c:v>
                </c:pt>
                <c:pt idx="1">
                  <c:v>179</c:v>
                </c:pt>
                <c:pt idx="2">
                  <c:v>442</c:v>
                </c:pt>
                <c:pt idx="3">
                  <c:v>388</c:v>
                </c:pt>
                <c:pt idx="4">
                  <c:v>392</c:v>
                </c:pt>
                <c:pt idx="5">
                  <c:v>449</c:v>
                </c:pt>
                <c:pt idx="6">
                  <c:v>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21-400A-8D59-7652402C2FA7}"/>
            </c:ext>
          </c:extLst>
        </c:ser>
        <c:ser>
          <c:idx val="5"/>
          <c:order val="5"/>
          <c:tx>
            <c:strRef>
              <c:f>'Monthly June 2025'!$AP$11</c:f>
              <c:strCache>
                <c:ptCount val="1"/>
                <c:pt idx="0">
                  <c:v>SPC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June 2025'!$AQ$5:$AW$5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June 2025'!$AQ$11:$AW$11</c:f>
              <c:numCache>
                <c:formatCode>General</c:formatCode>
                <c:ptCount val="7"/>
                <c:pt idx="0">
                  <c:v>359</c:v>
                </c:pt>
                <c:pt idx="1">
                  <c:v>172</c:v>
                </c:pt>
                <c:pt idx="2">
                  <c:v>538</c:v>
                </c:pt>
                <c:pt idx="3">
                  <c:v>478</c:v>
                </c:pt>
                <c:pt idx="4">
                  <c:v>528</c:v>
                </c:pt>
                <c:pt idx="5">
                  <c:v>492</c:v>
                </c:pt>
                <c:pt idx="6">
                  <c:v>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121-400A-8D59-7652402C2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Room Popularity - Week of: 7/5/25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July 2025'!$AH$5</c:f>
              <c:strCache>
                <c:ptCount val="1"/>
                <c:pt idx="0">
                  <c:v>Saturday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July 2025'!$AG$6:$AG$11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July 2025'!$AH$6:$AH$11</c:f>
              <c:numCache>
                <c:formatCode>General</c:formatCode>
                <c:ptCount val="6"/>
                <c:pt idx="0">
                  <c:v>142</c:v>
                </c:pt>
                <c:pt idx="1">
                  <c:v>62</c:v>
                </c:pt>
                <c:pt idx="2">
                  <c:v>204</c:v>
                </c:pt>
                <c:pt idx="3">
                  <c:v>56</c:v>
                </c:pt>
                <c:pt idx="4">
                  <c:v>58</c:v>
                </c:pt>
                <c:pt idx="5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BF-449D-B40A-F4C2924F5F22}"/>
            </c:ext>
          </c:extLst>
        </c:ser>
        <c:ser>
          <c:idx val="1"/>
          <c:order val="1"/>
          <c:tx>
            <c:strRef>
              <c:f>'Monthly July 2025'!$AI$5</c:f>
              <c:strCache>
                <c:ptCount val="1"/>
                <c:pt idx="0">
                  <c:v>Sunday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July 2025'!$AG$6:$AG$11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July 2025'!$AI$6:$AI$11</c:f>
              <c:numCache>
                <c:formatCode>General</c:formatCode>
                <c:ptCount val="6"/>
                <c:pt idx="0">
                  <c:v>169</c:v>
                </c:pt>
                <c:pt idx="1">
                  <c:v>56</c:v>
                </c:pt>
                <c:pt idx="2">
                  <c:v>140</c:v>
                </c:pt>
                <c:pt idx="3">
                  <c:v>48</c:v>
                </c:pt>
                <c:pt idx="4">
                  <c:v>39</c:v>
                </c:pt>
                <c:pt idx="5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BF-449D-B40A-F4C2924F5F22}"/>
            </c:ext>
          </c:extLst>
        </c:ser>
        <c:ser>
          <c:idx val="2"/>
          <c:order val="2"/>
          <c:tx>
            <c:strRef>
              <c:f>'Monthly July 2025'!$AJ$5</c:f>
              <c:strCache>
                <c:ptCount val="1"/>
                <c:pt idx="0">
                  <c:v>Monday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July 2025'!$AG$6:$AG$11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July 2025'!$AJ$6:$AJ$11</c:f>
              <c:numCache>
                <c:formatCode>General</c:formatCode>
                <c:ptCount val="6"/>
                <c:pt idx="0">
                  <c:v>394</c:v>
                </c:pt>
                <c:pt idx="1">
                  <c:v>167</c:v>
                </c:pt>
                <c:pt idx="2">
                  <c:v>404</c:v>
                </c:pt>
                <c:pt idx="3">
                  <c:v>113</c:v>
                </c:pt>
                <c:pt idx="4">
                  <c:v>109</c:v>
                </c:pt>
                <c:pt idx="5">
                  <c:v>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BF-449D-B40A-F4C2924F5F22}"/>
            </c:ext>
          </c:extLst>
        </c:ser>
        <c:ser>
          <c:idx val="3"/>
          <c:order val="3"/>
          <c:tx>
            <c:strRef>
              <c:f>'Monthly July 2025'!$AK$5</c:f>
              <c:strCache>
                <c:ptCount val="1"/>
                <c:pt idx="0">
                  <c:v>Tuesday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July 2025'!$AG$6:$AG$11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July 2025'!$AK$6:$AK$11</c:f>
              <c:numCache>
                <c:formatCode>General</c:formatCode>
                <c:ptCount val="6"/>
                <c:pt idx="0">
                  <c:v>334</c:v>
                </c:pt>
                <c:pt idx="1">
                  <c:v>125</c:v>
                </c:pt>
                <c:pt idx="2">
                  <c:v>366</c:v>
                </c:pt>
                <c:pt idx="3">
                  <c:v>91</c:v>
                </c:pt>
                <c:pt idx="4">
                  <c:v>113</c:v>
                </c:pt>
                <c:pt idx="5">
                  <c:v>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BF-449D-B40A-F4C2924F5F22}"/>
            </c:ext>
          </c:extLst>
        </c:ser>
        <c:ser>
          <c:idx val="4"/>
          <c:order val="4"/>
          <c:tx>
            <c:strRef>
              <c:f>'Monthly July 2025'!$AL$5</c:f>
              <c:strCache>
                <c:ptCount val="1"/>
                <c:pt idx="0">
                  <c:v>Wednesday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July 2025'!$AG$6:$AG$11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July 2025'!$AL$6:$AL$11</c:f>
              <c:numCache>
                <c:formatCode>General</c:formatCode>
                <c:ptCount val="6"/>
                <c:pt idx="0">
                  <c:v>341</c:v>
                </c:pt>
                <c:pt idx="1">
                  <c:v>172</c:v>
                </c:pt>
                <c:pt idx="2">
                  <c:v>375</c:v>
                </c:pt>
                <c:pt idx="3">
                  <c:v>86</c:v>
                </c:pt>
                <c:pt idx="4">
                  <c:v>97</c:v>
                </c:pt>
                <c:pt idx="5">
                  <c:v>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BF-449D-B40A-F4C2924F5F22}"/>
            </c:ext>
          </c:extLst>
        </c:ser>
        <c:ser>
          <c:idx val="5"/>
          <c:order val="5"/>
          <c:tx>
            <c:strRef>
              <c:f>'Monthly July 2025'!$AM$5</c:f>
              <c:strCache>
                <c:ptCount val="1"/>
                <c:pt idx="0">
                  <c:v>Thursday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July 2025'!$AG$6:$AG$11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July 2025'!$AM$6:$AM$11</c:f>
              <c:numCache>
                <c:formatCode>General</c:formatCode>
                <c:ptCount val="6"/>
                <c:pt idx="0">
                  <c:v>299</c:v>
                </c:pt>
                <c:pt idx="1">
                  <c:v>115</c:v>
                </c:pt>
                <c:pt idx="2">
                  <c:v>338</c:v>
                </c:pt>
                <c:pt idx="3">
                  <c:v>94</c:v>
                </c:pt>
                <c:pt idx="4">
                  <c:v>97</c:v>
                </c:pt>
                <c:pt idx="5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2BF-449D-B40A-F4C2924F5F22}"/>
            </c:ext>
          </c:extLst>
        </c:ser>
        <c:ser>
          <c:idx val="6"/>
          <c:order val="6"/>
          <c:tx>
            <c:strRef>
              <c:f>'Monthly July 2025'!$AN$5</c:f>
              <c:strCache>
                <c:ptCount val="1"/>
                <c:pt idx="0">
                  <c:v>Friday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'Monthly July 2025'!$AG$6:$AG$11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July 2025'!$AN$6:$AN$11</c:f>
              <c:numCache>
                <c:formatCode>General</c:formatCode>
                <c:ptCount val="6"/>
                <c:pt idx="0">
                  <c:v>261</c:v>
                </c:pt>
                <c:pt idx="1">
                  <c:v>130</c:v>
                </c:pt>
                <c:pt idx="2">
                  <c:v>319</c:v>
                </c:pt>
                <c:pt idx="3">
                  <c:v>75</c:v>
                </c:pt>
                <c:pt idx="4">
                  <c:v>90</c:v>
                </c:pt>
                <c:pt idx="5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2BF-449D-B40A-F4C2924F5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Room Attendance - [Week]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July 2025'!$AG$6</c:f>
              <c:strCache>
                <c:ptCount val="1"/>
                <c:pt idx="0">
                  <c:v>Cardio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July 2025'!$AH$5:$AN$5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July 2025'!$AH$6:$AN$6</c:f>
              <c:numCache>
                <c:formatCode>General</c:formatCode>
                <c:ptCount val="7"/>
                <c:pt idx="0">
                  <c:v>142</c:v>
                </c:pt>
                <c:pt idx="1">
                  <c:v>169</c:v>
                </c:pt>
                <c:pt idx="2">
                  <c:v>394</c:v>
                </c:pt>
                <c:pt idx="3">
                  <c:v>334</c:v>
                </c:pt>
                <c:pt idx="4">
                  <c:v>341</c:v>
                </c:pt>
                <c:pt idx="5">
                  <c:v>299</c:v>
                </c:pt>
                <c:pt idx="6">
                  <c:v>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2F-4570-8592-0E78292CD36D}"/>
            </c:ext>
          </c:extLst>
        </c:ser>
        <c:ser>
          <c:idx val="1"/>
          <c:order val="1"/>
          <c:tx>
            <c:strRef>
              <c:f>'Monthly July 2025'!$AG$7</c:f>
              <c:strCache>
                <c:ptCount val="1"/>
                <c:pt idx="0">
                  <c:v>eGym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July 2025'!$AH$5:$AN$5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July 2025'!$AH$7:$AN$7</c:f>
              <c:numCache>
                <c:formatCode>General</c:formatCode>
                <c:ptCount val="7"/>
                <c:pt idx="0">
                  <c:v>62</c:v>
                </c:pt>
                <c:pt idx="1">
                  <c:v>56</c:v>
                </c:pt>
                <c:pt idx="2">
                  <c:v>167</c:v>
                </c:pt>
                <c:pt idx="3">
                  <c:v>125</c:v>
                </c:pt>
                <c:pt idx="4">
                  <c:v>172</c:v>
                </c:pt>
                <c:pt idx="5">
                  <c:v>115</c:v>
                </c:pt>
                <c:pt idx="6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2F-4570-8592-0E78292CD36D}"/>
            </c:ext>
          </c:extLst>
        </c:ser>
        <c:ser>
          <c:idx val="2"/>
          <c:order val="2"/>
          <c:tx>
            <c:strRef>
              <c:f>'Monthly July 2025'!$AG$8</c:f>
              <c:strCache>
                <c:ptCount val="1"/>
                <c:pt idx="0">
                  <c:v>Free Weight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July 2025'!$AH$5:$AN$5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July 2025'!$AH$8:$AN$8</c:f>
              <c:numCache>
                <c:formatCode>General</c:formatCode>
                <c:ptCount val="7"/>
                <c:pt idx="0">
                  <c:v>204</c:v>
                </c:pt>
                <c:pt idx="1">
                  <c:v>140</c:v>
                </c:pt>
                <c:pt idx="2">
                  <c:v>404</c:v>
                </c:pt>
                <c:pt idx="3">
                  <c:v>366</c:v>
                </c:pt>
                <c:pt idx="4">
                  <c:v>375</c:v>
                </c:pt>
                <c:pt idx="5">
                  <c:v>338</c:v>
                </c:pt>
                <c:pt idx="6">
                  <c:v>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2F-4570-8592-0E78292CD36D}"/>
            </c:ext>
          </c:extLst>
        </c:ser>
        <c:ser>
          <c:idx val="3"/>
          <c:order val="3"/>
          <c:tx>
            <c:strRef>
              <c:f>'Monthly July 2025'!$AG$9</c:f>
              <c:strCache>
                <c:ptCount val="1"/>
                <c:pt idx="0">
                  <c:v>Track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July 2025'!$AH$5:$AN$5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July 2025'!$AH$9:$AN$9</c:f>
              <c:numCache>
                <c:formatCode>General</c:formatCode>
                <c:ptCount val="7"/>
                <c:pt idx="0">
                  <c:v>56</c:v>
                </c:pt>
                <c:pt idx="1">
                  <c:v>48</c:v>
                </c:pt>
                <c:pt idx="2">
                  <c:v>113</c:v>
                </c:pt>
                <c:pt idx="3">
                  <c:v>91</c:v>
                </c:pt>
                <c:pt idx="4">
                  <c:v>86</c:v>
                </c:pt>
                <c:pt idx="5">
                  <c:v>94</c:v>
                </c:pt>
                <c:pt idx="6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2F-4570-8592-0E78292CD36D}"/>
            </c:ext>
          </c:extLst>
        </c:ser>
        <c:ser>
          <c:idx val="4"/>
          <c:order val="4"/>
          <c:tx>
            <c:strRef>
              <c:f>'Monthly July 2025'!$AG$10</c:f>
              <c:strCache>
                <c:ptCount val="1"/>
                <c:pt idx="0">
                  <c:v>Stretch &amp; Core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July 2025'!$AH$5:$AN$5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July 2025'!$AH$10:$AN$10</c:f>
              <c:numCache>
                <c:formatCode>General</c:formatCode>
                <c:ptCount val="7"/>
                <c:pt idx="0">
                  <c:v>58</c:v>
                </c:pt>
                <c:pt idx="1">
                  <c:v>39</c:v>
                </c:pt>
                <c:pt idx="2">
                  <c:v>109</c:v>
                </c:pt>
                <c:pt idx="3">
                  <c:v>113</c:v>
                </c:pt>
                <c:pt idx="4">
                  <c:v>97</c:v>
                </c:pt>
                <c:pt idx="5">
                  <c:v>97</c:v>
                </c:pt>
                <c:pt idx="6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52F-4570-8592-0E78292CD36D}"/>
            </c:ext>
          </c:extLst>
        </c:ser>
        <c:ser>
          <c:idx val="5"/>
          <c:order val="5"/>
          <c:tx>
            <c:strRef>
              <c:f>'Monthly July 2025'!$AG$11</c:f>
              <c:strCache>
                <c:ptCount val="1"/>
                <c:pt idx="0">
                  <c:v>SPC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July 2025'!$AH$5:$AN$5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July 2025'!$AH$11:$AN$11</c:f>
              <c:numCache>
                <c:formatCode>General</c:formatCode>
                <c:ptCount val="7"/>
                <c:pt idx="0">
                  <c:v>72</c:v>
                </c:pt>
                <c:pt idx="1">
                  <c:v>52</c:v>
                </c:pt>
                <c:pt idx="2">
                  <c:v>163</c:v>
                </c:pt>
                <c:pt idx="3">
                  <c:v>143</c:v>
                </c:pt>
                <c:pt idx="4">
                  <c:v>151</c:v>
                </c:pt>
                <c:pt idx="5">
                  <c:v>112</c:v>
                </c:pt>
                <c:pt idx="6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52F-4570-8592-0E78292CD3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Room Popularity - Week of: 7/12/25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July 2025'!$AH$51</c:f>
              <c:strCache>
                <c:ptCount val="1"/>
                <c:pt idx="0">
                  <c:v>Saturday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July 2025'!$AG$52:$AG$57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July 2025'!$AH$52:$AH$57</c:f>
              <c:numCache>
                <c:formatCode>General</c:formatCode>
                <c:ptCount val="6"/>
                <c:pt idx="0">
                  <c:v>214</c:v>
                </c:pt>
                <c:pt idx="1">
                  <c:v>66</c:v>
                </c:pt>
                <c:pt idx="2">
                  <c:v>185</c:v>
                </c:pt>
                <c:pt idx="3">
                  <c:v>55</c:v>
                </c:pt>
                <c:pt idx="4">
                  <c:v>70</c:v>
                </c:pt>
                <c:pt idx="5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6D-4F30-A68B-C723C2B543F8}"/>
            </c:ext>
          </c:extLst>
        </c:ser>
        <c:ser>
          <c:idx val="1"/>
          <c:order val="1"/>
          <c:tx>
            <c:strRef>
              <c:f>'Monthly July 2025'!$AI$51</c:f>
              <c:strCache>
                <c:ptCount val="1"/>
                <c:pt idx="0">
                  <c:v>Sunday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July 2025'!$AG$52:$AG$57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July 2025'!$AI$52:$AI$57</c:f>
              <c:numCache>
                <c:formatCode>General</c:formatCode>
                <c:ptCount val="6"/>
                <c:pt idx="0">
                  <c:v>181</c:v>
                </c:pt>
                <c:pt idx="1">
                  <c:v>68</c:v>
                </c:pt>
                <c:pt idx="2">
                  <c:v>181</c:v>
                </c:pt>
                <c:pt idx="3">
                  <c:v>40</c:v>
                </c:pt>
                <c:pt idx="4">
                  <c:v>58</c:v>
                </c:pt>
                <c:pt idx="5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6D-4F30-A68B-C723C2B543F8}"/>
            </c:ext>
          </c:extLst>
        </c:ser>
        <c:ser>
          <c:idx val="2"/>
          <c:order val="2"/>
          <c:tx>
            <c:strRef>
              <c:f>'Monthly July 2025'!$AJ$51</c:f>
              <c:strCache>
                <c:ptCount val="1"/>
                <c:pt idx="0">
                  <c:v>Monday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July 2025'!$AG$52:$AG$57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July 2025'!$AJ$52:$AJ$57</c:f>
              <c:numCache>
                <c:formatCode>General</c:formatCode>
                <c:ptCount val="6"/>
                <c:pt idx="0">
                  <c:v>415</c:v>
                </c:pt>
                <c:pt idx="1">
                  <c:v>172</c:v>
                </c:pt>
                <c:pt idx="2">
                  <c:v>403</c:v>
                </c:pt>
                <c:pt idx="3">
                  <c:v>126</c:v>
                </c:pt>
                <c:pt idx="4">
                  <c:v>122</c:v>
                </c:pt>
                <c:pt idx="5">
                  <c:v>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6D-4F30-A68B-C723C2B543F8}"/>
            </c:ext>
          </c:extLst>
        </c:ser>
        <c:ser>
          <c:idx val="3"/>
          <c:order val="3"/>
          <c:tx>
            <c:strRef>
              <c:f>'Monthly July 2025'!$AK$51</c:f>
              <c:strCache>
                <c:ptCount val="1"/>
                <c:pt idx="0">
                  <c:v>Tuesday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July 2025'!$AG$52:$AG$57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July 2025'!$AK$52:$AK$57</c:f>
              <c:numCache>
                <c:formatCode>General</c:formatCode>
                <c:ptCount val="6"/>
                <c:pt idx="0">
                  <c:v>321</c:v>
                </c:pt>
                <c:pt idx="1">
                  <c:v>118</c:v>
                </c:pt>
                <c:pt idx="2">
                  <c:v>362</c:v>
                </c:pt>
                <c:pt idx="3">
                  <c:v>78</c:v>
                </c:pt>
                <c:pt idx="4">
                  <c:v>96</c:v>
                </c:pt>
                <c:pt idx="5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56D-4F30-A68B-C723C2B543F8}"/>
            </c:ext>
          </c:extLst>
        </c:ser>
        <c:ser>
          <c:idx val="4"/>
          <c:order val="4"/>
          <c:tx>
            <c:strRef>
              <c:f>'Monthly July 2025'!$AL$51</c:f>
              <c:strCache>
                <c:ptCount val="1"/>
                <c:pt idx="0">
                  <c:v>Wednesday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July 2025'!$AG$52:$AG$57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July 2025'!$AL$52:$AL$57</c:f>
              <c:numCache>
                <c:formatCode>General</c:formatCode>
                <c:ptCount val="6"/>
                <c:pt idx="0">
                  <c:v>352</c:v>
                </c:pt>
                <c:pt idx="1">
                  <c:v>142</c:v>
                </c:pt>
                <c:pt idx="2">
                  <c:v>340</c:v>
                </c:pt>
                <c:pt idx="3">
                  <c:v>107</c:v>
                </c:pt>
                <c:pt idx="4">
                  <c:v>119</c:v>
                </c:pt>
                <c:pt idx="5">
                  <c:v>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56D-4F30-A68B-C723C2B543F8}"/>
            </c:ext>
          </c:extLst>
        </c:ser>
        <c:ser>
          <c:idx val="5"/>
          <c:order val="5"/>
          <c:tx>
            <c:strRef>
              <c:f>'Monthly July 2025'!$AM$51</c:f>
              <c:strCache>
                <c:ptCount val="1"/>
                <c:pt idx="0">
                  <c:v>Thursday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July 2025'!$AG$52:$AG$57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July 2025'!$AM$52:$AM$57</c:f>
              <c:numCache>
                <c:formatCode>General</c:formatCode>
                <c:ptCount val="6"/>
                <c:pt idx="0">
                  <c:v>339</c:v>
                </c:pt>
                <c:pt idx="1">
                  <c:v>138</c:v>
                </c:pt>
                <c:pt idx="2">
                  <c:v>314</c:v>
                </c:pt>
                <c:pt idx="3">
                  <c:v>92</c:v>
                </c:pt>
                <c:pt idx="4">
                  <c:v>92</c:v>
                </c:pt>
                <c:pt idx="5">
                  <c:v>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56D-4F30-A68B-C723C2B543F8}"/>
            </c:ext>
          </c:extLst>
        </c:ser>
        <c:ser>
          <c:idx val="6"/>
          <c:order val="6"/>
          <c:tx>
            <c:strRef>
              <c:f>'Monthly July 2025'!$AN$51</c:f>
              <c:strCache>
                <c:ptCount val="1"/>
                <c:pt idx="0">
                  <c:v>Friday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'Monthly July 2025'!$AG$52:$AG$57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July 2025'!$AN$52:$AN$57</c:f>
              <c:numCache>
                <c:formatCode>General</c:formatCode>
                <c:ptCount val="6"/>
                <c:pt idx="0">
                  <c:v>227</c:v>
                </c:pt>
                <c:pt idx="1">
                  <c:v>97</c:v>
                </c:pt>
                <c:pt idx="2">
                  <c:v>283</c:v>
                </c:pt>
                <c:pt idx="3">
                  <c:v>44</c:v>
                </c:pt>
                <c:pt idx="4">
                  <c:v>86</c:v>
                </c:pt>
                <c:pt idx="5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56D-4F30-A68B-C723C2B543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Room Attendance - [Week]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July 2025'!$AG$52</c:f>
              <c:strCache>
                <c:ptCount val="1"/>
                <c:pt idx="0">
                  <c:v>Cardio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July 2025'!$AH$51:$AN$51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July 2025'!$AH$52:$AN$52</c:f>
              <c:numCache>
                <c:formatCode>General</c:formatCode>
                <c:ptCount val="7"/>
                <c:pt idx="0">
                  <c:v>214</c:v>
                </c:pt>
                <c:pt idx="1">
                  <c:v>181</c:v>
                </c:pt>
                <c:pt idx="2">
                  <c:v>415</c:v>
                </c:pt>
                <c:pt idx="3">
                  <c:v>321</c:v>
                </c:pt>
                <c:pt idx="4">
                  <c:v>352</c:v>
                </c:pt>
                <c:pt idx="5">
                  <c:v>339</c:v>
                </c:pt>
                <c:pt idx="6">
                  <c:v>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A4-4A95-B8F0-D78550AF85E7}"/>
            </c:ext>
          </c:extLst>
        </c:ser>
        <c:ser>
          <c:idx val="1"/>
          <c:order val="1"/>
          <c:tx>
            <c:strRef>
              <c:f>'Monthly July 2025'!$AG$53</c:f>
              <c:strCache>
                <c:ptCount val="1"/>
                <c:pt idx="0">
                  <c:v>eGym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July 2025'!$AH$51:$AN$51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July 2025'!$AH$53:$AN$53</c:f>
              <c:numCache>
                <c:formatCode>General</c:formatCode>
                <c:ptCount val="7"/>
                <c:pt idx="0">
                  <c:v>66</c:v>
                </c:pt>
                <c:pt idx="1">
                  <c:v>68</c:v>
                </c:pt>
                <c:pt idx="2">
                  <c:v>172</c:v>
                </c:pt>
                <c:pt idx="3">
                  <c:v>118</c:v>
                </c:pt>
                <c:pt idx="4">
                  <c:v>142</c:v>
                </c:pt>
                <c:pt idx="5">
                  <c:v>138</c:v>
                </c:pt>
                <c:pt idx="6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A4-4A95-B8F0-D78550AF85E7}"/>
            </c:ext>
          </c:extLst>
        </c:ser>
        <c:ser>
          <c:idx val="2"/>
          <c:order val="2"/>
          <c:tx>
            <c:strRef>
              <c:f>'Monthly July 2025'!$AG$54</c:f>
              <c:strCache>
                <c:ptCount val="1"/>
                <c:pt idx="0">
                  <c:v>Free Weight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July 2025'!$AH$51:$AN$51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July 2025'!$AH$54:$AN$54</c:f>
              <c:numCache>
                <c:formatCode>General</c:formatCode>
                <c:ptCount val="7"/>
                <c:pt idx="0">
                  <c:v>185</c:v>
                </c:pt>
                <c:pt idx="1">
                  <c:v>181</c:v>
                </c:pt>
                <c:pt idx="2">
                  <c:v>403</c:v>
                </c:pt>
                <c:pt idx="3">
                  <c:v>362</c:v>
                </c:pt>
                <c:pt idx="4">
                  <c:v>340</c:v>
                </c:pt>
                <c:pt idx="5">
                  <c:v>314</c:v>
                </c:pt>
                <c:pt idx="6">
                  <c:v>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A4-4A95-B8F0-D78550AF85E7}"/>
            </c:ext>
          </c:extLst>
        </c:ser>
        <c:ser>
          <c:idx val="3"/>
          <c:order val="3"/>
          <c:tx>
            <c:strRef>
              <c:f>'Monthly July 2025'!$AG$55</c:f>
              <c:strCache>
                <c:ptCount val="1"/>
                <c:pt idx="0">
                  <c:v>Track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July 2025'!$AH$51:$AN$51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July 2025'!$AH$55:$AN$55</c:f>
              <c:numCache>
                <c:formatCode>General</c:formatCode>
                <c:ptCount val="7"/>
                <c:pt idx="0">
                  <c:v>55</c:v>
                </c:pt>
                <c:pt idx="1">
                  <c:v>40</c:v>
                </c:pt>
                <c:pt idx="2">
                  <c:v>126</c:v>
                </c:pt>
                <c:pt idx="3">
                  <c:v>78</c:v>
                </c:pt>
                <c:pt idx="4">
                  <c:v>107</c:v>
                </c:pt>
                <c:pt idx="5">
                  <c:v>92</c:v>
                </c:pt>
                <c:pt idx="6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3A4-4A95-B8F0-D78550AF85E7}"/>
            </c:ext>
          </c:extLst>
        </c:ser>
        <c:ser>
          <c:idx val="4"/>
          <c:order val="4"/>
          <c:tx>
            <c:strRef>
              <c:f>'Monthly July 2025'!$AG$56</c:f>
              <c:strCache>
                <c:ptCount val="1"/>
                <c:pt idx="0">
                  <c:v>Stretch &amp; Core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July 2025'!$AH$51:$AN$51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July 2025'!$AH$56:$AN$56</c:f>
              <c:numCache>
                <c:formatCode>General</c:formatCode>
                <c:ptCount val="7"/>
                <c:pt idx="0">
                  <c:v>70</c:v>
                </c:pt>
                <c:pt idx="1">
                  <c:v>58</c:v>
                </c:pt>
                <c:pt idx="2">
                  <c:v>122</c:v>
                </c:pt>
                <c:pt idx="3">
                  <c:v>96</c:v>
                </c:pt>
                <c:pt idx="4">
                  <c:v>119</c:v>
                </c:pt>
                <c:pt idx="5">
                  <c:v>92</c:v>
                </c:pt>
                <c:pt idx="6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3A4-4A95-B8F0-D78550AF85E7}"/>
            </c:ext>
          </c:extLst>
        </c:ser>
        <c:ser>
          <c:idx val="5"/>
          <c:order val="5"/>
          <c:tx>
            <c:strRef>
              <c:f>'Monthly July 2025'!$AG$57</c:f>
              <c:strCache>
                <c:ptCount val="1"/>
                <c:pt idx="0">
                  <c:v>SPC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July 2025'!$AH$51:$AN$51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July 2025'!$AH$57:$AN$57</c:f>
              <c:numCache>
                <c:formatCode>General</c:formatCode>
                <c:ptCount val="7"/>
                <c:pt idx="0">
                  <c:v>80</c:v>
                </c:pt>
                <c:pt idx="1">
                  <c:v>48</c:v>
                </c:pt>
                <c:pt idx="2">
                  <c:v>188</c:v>
                </c:pt>
                <c:pt idx="3">
                  <c:v>110</c:v>
                </c:pt>
                <c:pt idx="4">
                  <c:v>138</c:v>
                </c:pt>
                <c:pt idx="5">
                  <c:v>159</c:v>
                </c:pt>
                <c:pt idx="6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3A4-4A95-B8F0-D78550AF8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Room Attendance - [Week]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July 2025'!$AG$98</c:f>
              <c:strCache>
                <c:ptCount val="1"/>
                <c:pt idx="0">
                  <c:v>Cardio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July 2025'!$AH$97:$AN$97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July 2025'!$AH$98:$AN$98</c:f>
              <c:numCache>
                <c:formatCode>General</c:formatCode>
                <c:ptCount val="7"/>
                <c:pt idx="0">
                  <c:v>186</c:v>
                </c:pt>
                <c:pt idx="1">
                  <c:v>185</c:v>
                </c:pt>
                <c:pt idx="2">
                  <c:v>361</c:v>
                </c:pt>
                <c:pt idx="3">
                  <c:v>275</c:v>
                </c:pt>
                <c:pt idx="4">
                  <c:v>325</c:v>
                </c:pt>
                <c:pt idx="5">
                  <c:v>298</c:v>
                </c:pt>
                <c:pt idx="6">
                  <c:v>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A5-454E-B034-3ED4A87DA13D}"/>
            </c:ext>
          </c:extLst>
        </c:ser>
        <c:ser>
          <c:idx val="1"/>
          <c:order val="1"/>
          <c:tx>
            <c:strRef>
              <c:f>'Monthly July 2025'!$AG$99</c:f>
              <c:strCache>
                <c:ptCount val="1"/>
                <c:pt idx="0">
                  <c:v>eGym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July 2025'!$AH$97:$AN$97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July 2025'!$AH$99:$AN$99</c:f>
              <c:numCache>
                <c:formatCode>General</c:formatCode>
                <c:ptCount val="7"/>
                <c:pt idx="0">
                  <c:v>60</c:v>
                </c:pt>
                <c:pt idx="1">
                  <c:v>52</c:v>
                </c:pt>
                <c:pt idx="2">
                  <c:v>159</c:v>
                </c:pt>
                <c:pt idx="3">
                  <c:v>112</c:v>
                </c:pt>
                <c:pt idx="4">
                  <c:v>119</c:v>
                </c:pt>
                <c:pt idx="5">
                  <c:v>121</c:v>
                </c:pt>
                <c:pt idx="6">
                  <c:v>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A5-454E-B034-3ED4A87DA13D}"/>
            </c:ext>
          </c:extLst>
        </c:ser>
        <c:ser>
          <c:idx val="2"/>
          <c:order val="2"/>
          <c:tx>
            <c:strRef>
              <c:f>'Monthly July 2025'!$AG$100</c:f>
              <c:strCache>
                <c:ptCount val="1"/>
                <c:pt idx="0">
                  <c:v>Free Weight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July 2025'!$AH$97:$AN$97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July 2025'!$AH$100:$AN$100</c:f>
              <c:numCache>
                <c:formatCode>General</c:formatCode>
                <c:ptCount val="7"/>
                <c:pt idx="0">
                  <c:v>197</c:v>
                </c:pt>
                <c:pt idx="1">
                  <c:v>136</c:v>
                </c:pt>
                <c:pt idx="2">
                  <c:v>359</c:v>
                </c:pt>
                <c:pt idx="3">
                  <c:v>373</c:v>
                </c:pt>
                <c:pt idx="4">
                  <c:v>369</c:v>
                </c:pt>
                <c:pt idx="5">
                  <c:v>336</c:v>
                </c:pt>
                <c:pt idx="6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A5-454E-B034-3ED4A87DA13D}"/>
            </c:ext>
          </c:extLst>
        </c:ser>
        <c:ser>
          <c:idx val="3"/>
          <c:order val="3"/>
          <c:tx>
            <c:strRef>
              <c:f>'Monthly July 2025'!$AG$101</c:f>
              <c:strCache>
                <c:ptCount val="1"/>
                <c:pt idx="0">
                  <c:v>Track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July 2025'!$AH$97:$AN$97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July 2025'!$AH$101:$AN$101</c:f>
              <c:numCache>
                <c:formatCode>General</c:formatCode>
                <c:ptCount val="7"/>
                <c:pt idx="0">
                  <c:v>42</c:v>
                </c:pt>
                <c:pt idx="1">
                  <c:v>46</c:v>
                </c:pt>
                <c:pt idx="2">
                  <c:v>100</c:v>
                </c:pt>
                <c:pt idx="3">
                  <c:v>81</c:v>
                </c:pt>
                <c:pt idx="4">
                  <c:v>87</c:v>
                </c:pt>
                <c:pt idx="5">
                  <c:v>87</c:v>
                </c:pt>
                <c:pt idx="6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EA5-454E-B034-3ED4A87DA13D}"/>
            </c:ext>
          </c:extLst>
        </c:ser>
        <c:ser>
          <c:idx val="4"/>
          <c:order val="4"/>
          <c:tx>
            <c:strRef>
              <c:f>'Monthly July 2025'!$AG$102</c:f>
              <c:strCache>
                <c:ptCount val="1"/>
                <c:pt idx="0">
                  <c:v>Stretch &amp; Core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July 2025'!$AH$97:$AN$97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July 2025'!$AH$102:$AN$102</c:f>
              <c:numCache>
                <c:formatCode>General</c:formatCode>
                <c:ptCount val="7"/>
                <c:pt idx="0">
                  <c:v>49</c:v>
                </c:pt>
                <c:pt idx="1">
                  <c:v>59</c:v>
                </c:pt>
                <c:pt idx="2">
                  <c:v>141</c:v>
                </c:pt>
                <c:pt idx="3">
                  <c:v>106</c:v>
                </c:pt>
                <c:pt idx="4">
                  <c:v>94</c:v>
                </c:pt>
                <c:pt idx="5">
                  <c:v>100</c:v>
                </c:pt>
                <c:pt idx="6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EA5-454E-B034-3ED4A87DA13D}"/>
            </c:ext>
          </c:extLst>
        </c:ser>
        <c:ser>
          <c:idx val="5"/>
          <c:order val="5"/>
          <c:tx>
            <c:strRef>
              <c:f>'Monthly July 2025'!$AG$103</c:f>
              <c:strCache>
                <c:ptCount val="1"/>
                <c:pt idx="0">
                  <c:v>SPC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July 2025'!$AH$97:$AN$97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July 2025'!$AH$103:$AN$103</c:f>
              <c:numCache>
                <c:formatCode>General</c:formatCode>
                <c:ptCount val="7"/>
                <c:pt idx="0">
                  <c:v>69</c:v>
                </c:pt>
                <c:pt idx="1">
                  <c:v>63</c:v>
                </c:pt>
                <c:pt idx="2">
                  <c:v>157</c:v>
                </c:pt>
                <c:pt idx="3">
                  <c:v>130</c:v>
                </c:pt>
                <c:pt idx="4">
                  <c:v>137</c:v>
                </c:pt>
                <c:pt idx="5">
                  <c:v>140</c:v>
                </c:pt>
                <c:pt idx="6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EA5-454E-B034-3ED4A87DA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Room Popularity - Week of: 7/19/25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July 2025'!$AH$97</c:f>
              <c:strCache>
                <c:ptCount val="1"/>
                <c:pt idx="0">
                  <c:v>Saturday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July 2025'!$AG$98:$AG$103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July 2025'!$AH$98:$AH$103</c:f>
              <c:numCache>
                <c:formatCode>General</c:formatCode>
                <c:ptCount val="6"/>
                <c:pt idx="0">
                  <c:v>186</c:v>
                </c:pt>
                <c:pt idx="1">
                  <c:v>60</c:v>
                </c:pt>
                <c:pt idx="2">
                  <c:v>197</c:v>
                </c:pt>
                <c:pt idx="3">
                  <c:v>42</c:v>
                </c:pt>
                <c:pt idx="4">
                  <c:v>49</c:v>
                </c:pt>
                <c:pt idx="5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AD-48A9-A5D2-0A318EBB2E29}"/>
            </c:ext>
          </c:extLst>
        </c:ser>
        <c:ser>
          <c:idx val="1"/>
          <c:order val="1"/>
          <c:tx>
            <c:strRef>
              <c:f>'Monthly July 2025'!$AI$97</c:f>
              <c:strCache>
                <c:ptCount val="1"/>
                <c:pt idx="0">
                  <c:v>Sunday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July 2025'!$AG$98:$AG$103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July 2025'!$AI$98:$AI$103</c:f>
              <c:numCache>
                <c:formatCode>General</c:formatCode>
                <c:ptCount val="6"/>
                <c:pt idx="0">
                  <c:v>185</c:v>
                </c:pt>
                <c:pt idx="1">
                  <c:v>52</c:v>
                </c:pt>
                <c:pt idx="2">
                  <c:v>136</c:v>
                </c:pt>
                <c:pt idx="3">
                  <c:v>46</c:v>
                </c:pt>
                <c:pt idx="4">
                  <c:v>59</c:v>
                </c:pt>
                <c:pt idx="5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AD-48A9-A5D2-0A318EBB2E29}"/>
            </c:ext>
          </c:extLst>
        </c:ser>
        <c:ser>
          <c:idx val="2"/>
          <c:order val="2"/>
          <c:tx>
            <c:strRef>
              <c:f>'Monthly July 2025'!$AJ$97</c:f>
              <c:strCache>
                <c:ptCount val="1"/>
                <c:pt idx="0">
                  <c:v>Monday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July 2025'!$AG$98:$AG$103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July 2025'!$AJ$98:$AJ$103</c:f>
              <c:numCache>
                <c:formatCode>General</c:formatCode>
                <c:ptCount val="6"/>
                <c:pt idx="0">
                  <c:v>361</c:v>
                </c:pt>
                <c:pt idx="1">
                  <c:v>159</c:v>
                </c:pt>
                <c:pt idx="2">
                  <c:v>359</c:v>
                </c:pt>
                <c:pt idx="3">
                  <c:v>100</c:v>
                </c:pt>
                <c:pt idx="4">
                  <c:v>141</c:v>
                </c:pt>
                <c:pt idx="5">
                  <c:v>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AD-48A9-A5D2-0A318EBB2E29}"/>
            </c:ext>
          </c:extLst>
        </c:ser>
        <c:ser>
          <c:idx val="3"/>
          <c:order val="3"/>
          <c:tx>
            <c:strRef>
              <c:f>'Monthly July 2025'!$AK$97</c:f>
              <c:strCache>
                <c:ptCount val="1"/>
                <c:pt idx="0">
                  <c:v>Tuesday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July 2025'!$AG$98:$AG$103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July 2025'!$AK$98:$AK$103</c:f>
              <c:numCache>
                <c:formatCode>General</c:formatCode>
                <c:ptCount val="6"/>
                <c:pt idx="0">
                  <c:v>275</c:v>
                </c:pt>
                <c:pt idx="1">
                  <c:v>112</c:v>
                </c:pt>
                <c:pt idx="2">
                  <c:v>373</c:v>
                </c:pt>
                <c:pt idx="3">
                  <c:v>81</c:v>
                </c:pt>
                <c:pt idx="4">
                  <c:v>106</c:v>
                </c:pt>
                <c:pt idx="5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0AD-48A9-A5D2-0A318EBB2E29}"/>
            </c:ext>
          </c:extLst>
        </c:ser>
        <c:ser>
          <c:idx val="4"/>
          <c:order val="4"/>
          <c:tx>
            <c:strRef>
              <c:f>'Monthly July 2025'!$AL$97</c:f>
              <c:strCache>
                <c:ptCount val="1"/>
                <c:pt idx="0">
                  <c:v>Wednesday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July 2025'!$AG$98:$AG$103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July 2025'!$AL$98:$AL$103</c:f>
              <c:numCache>
                <c:formatCode>General</c:formatCode>
                <c:ptCount val="6"/>
                <c:pt idx="0">
                  <c:v>325</c:v>
                </c:pt>
                <c:pt idx="1">
                  <c:v>119</c:v>
                </c:pt>
                <c:pt idx="2">
                  <c:v>369</c:v>
                </c:pt>
                <c:pt idx="3">
                  <c:v>87</c:v>
                </c:pt>
                <c:pt idx="4">
                  <c:v>94</c:v>
                </c:pt>
                <c:pt idx="5">
                  <c:v>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0AD-48A9-A5D2-0A318EBB2E29}"/>
            </c:ext>
          </c:extLst>
        </c:ser>
        <c:ser>
          <c:idx val="5"/>
          <c:order val="5"/>
          <c:tx>
            <c:strRef>
              <c:f>'Monthly July 2025'!$AM$97</c:f>
              <c:strCache>
                <c:ptCount val="1"/>
                <c:pt idx="0">
                  <c:v>Thursday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July 2025'!$AG$98:$AG$103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July 2025'!$AM$98:$AM$103</c:f>
              <c:numCache>
                <c:formatCode>General</c:formatCode>
                <c:ptCount val="6"/>
                <c:pt idx="0">
                  <c:v>298</c:v>
                </c:pt>
                <c:pt idx="1">
                  <c:v>121</c:v>
                </c:pt>
                <c:pt idx="2">
                  <c:v>336</c:v>
                </c:pt>
                <c:pt idx="3">
                  <c:v>87</c:v>
                </c:pt>
                <c:pt idx="4">
                  <c:v>100</c:v>
                </c:pt>
                <c:pt idx="5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0AD-48A9-A5D2-0A318EBB2E29}"/>
            </c:ext>
          </c:extLst>
        </c:ser>
        <c:ser>
          <c:idx val="6"/>
          <c:order val="6"/>
          <c:tx>
            <c:strRef>
              <c:f>'Monthly July 2025'!$AN$97</c:f>
              <c:strCache>
                <c:ptCount val="1"/>
                <c:pt idx="0">
                  <c:v>Friday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'Monthly July 2025'!$AG$98:$AG$103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July 2025'!$AN$98:$AN$103</c:f>
              <c:numCache>
                <c:formatCode>General</c:formatCode>
                <c:ptCount val="6"/>
                <c:pt idx="0">
                  <c:v>291</c:v>
                </c:pt>
                <c:pt idx="1">
                  <c:v>119</c:v>
                </c:pt>
                <c:pt idx="2">
                  <c:v>300</c:v>
                </c:pt>
                <c:pt idx="3">
                  <c:v>97</c:v>
                </c:pt>
                <c:pt idx="4">
                  <c:v>85</c:v>
                </c:pt>
                <c:pt idx="5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0AD-48A9-A5D2-0A318EBB2E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Room Attendance - [Week]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July 2025'!$AG$144</c:f>
              <c:strCache>
                <c:ptCount val="1"/>
                <c:pt idx="0">
                  <c:v>Cardio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July 2025'!$AH$143:$AN$143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July 2025'!$AH$144:$AN$144</c:f>
              <c:numCache>
                <c:formatCode>General</c:formatCode>
                <c:ptCount val="7"/>
                <c:pt idx="0">
                  <c:v>200</c:v>
                </c:pt>
                <c:pt idx="1">
                  <c:v>173</c:v>
                </c:pt>
                <c:pt idx="2">
                  <c:v>384</c:v>
                </c:pt>
                <c:pt idx="3">
                  <c:v>342</c:v>
                </c:pt>
                <c:pt idx="4">
                  <c:v>313</c:v>
                </c:pt>
                <c:pt idx="5">
                  <c:v>328</c:v>
                </c:pt>
                <c:pt idx="6">
                  <c:v>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2B-48F3-820C-9DA7EC29062E}"/>
            </c:ext>
          </c:extLst>
        </c:ser>
        <c:ser>
          <c:idx val="1"/>
          <c:order val="1"/>
          <c:tx>
            <c:strRef>
              <c:f>'Monthly July 2025'!$AG$145</c:f>
              <c:strCache>
                <c:ptCount val="1"/>
                <c:pt idx="0">
                  <c:v>eGym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July 2025'!$AH$143:$AN$143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July 2025'!$AH$145:$AN$145</c:f>
              <c:numCache>
                <c:formatCode>General</c:formatCode>
                <c:ptCount val="7"/>
                <c:pt idx="0">
                  <c:v>51</c:v>
                </c:pt>
                <c:pt idx="1">
                  <c:v>47</c:v>
                </c:pt>
                <c:pt idx="2">
                  <c:v>211</c:v>
                </c:pt>
                <c:pt idx="3">
                  <c:v>111</c:v>
                </c:pt>
                <c:pt idx="4">
                  <c:v>121</c:v>
                </c:pt>
                <c:pt idx="5">
                  <c:v>129</c:v>
                </c:pt>
                <c:pt idx="6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2B-48F3-820C-9DA7EC29062E}"/>
            </c:ext>
          </c:extLst>
        </c:ser>
        <c:ser>
          <c:idx val="2"/>
          <c:order val="2"/>
          <c:tx>
            <c:strRef>
              <c:f>'Monthly July 2025'!$AG$146</c:f>
              <c:strCache>
                <c:ptCount val="1"/>
                <c:pt idx="0">
                  <c:v>Free Weight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July 2025'!$AH$143:$AN$143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July 2025'!$AH$146:$AN$146</c:f>
              <c:numCache>
                <c:formatCode>General</c:formatCode>
                <c:ptCount val="7"/>
                <c:pt idx="0">
                  <c:v>174</c:v>
                </c:pt>
                <c:pt idx="1">
                  <c:v>152</c:v>
                </c:pt>
                <c:pt idx="2">
                  <c:v>380</c:v>
                </c:pt>
                <c:pt idx="3">
                  <c:v>375</c:v>
                </c:pt>
                <c:pt idx="4">
                  <c:v>324</c:v>
                </c:pt>
                <c:pt idx="5">
                  <c:v>360</c:v>
                </c:pt>
                <c:pt idx="6">
                  <c:v>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2B-48F3-820C-9DA7EC29062E}"/>
            </c:ext>
          </c:extLst>
        </c:ser>
        <c:ser>
          <c:idx val="3"/>
          <c:order val="3"/>
          <c:tx>
            <c:strRef>
              <c:f>'Monthly July 2025'!$AG$147</c:f>
              <c:strCache>
                <c:ptCount val="1"/>
                <c:pt idx="0">
                  <c:v>Track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July 2025'!$AH$143:$AN$143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July 2025'!$AH$147:$AN$147</c:f>
              <c:numCache>
                <c:formatCode>General</c:formatCode>
                <c:ptCount val="7"/>
                <c:pt idx="0">
                  <c:v>62</c:v>
                </c:pt>
                <c:pt idx="1">
                  <c:v>58</c:v>
                </c:pt>
                <c:pt idx="2">
                  <c:v>103</c:v>
                </c:pt>
                <c:pt idx="3">
                  <c:v>108</c:v>
                </c:pt>
                <c:pt idx="4">
                  <c:v>51</c:v>
                </c:pt>
                <c:pt idx="5">
                  <c:v>106</c:v>
                </c:pt>
                <c:pt idx="6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2B-48F3-820C-9DA7EC29062E}"/>
            </c:ext>
          </c:extLst>
        </c:ser>
        <c:ser>
          <c:idx val="4"/>
          <c:order val="4"/>
          <c:tx>
            <c:strRef>
              <c:f>'Monthly July 2025'!$AG$148</c:f>
              <c:strCache>
                <c:ptCount val="1"/>
                <c:pt idx="0">
                  <c:v>Stretch &amp; Core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July 2025'!$AH$143:$AN$143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July 2025'!$AH$148:$AN$148</c:f>
              <c:numCache>
                <c:formatCode>General</c:formatCode>
                <c:ptCount val="7"/>
                <c:pt idx="0">
                  <c:v>52</c:v>
                </c:pt>
                <c:pt idx="1">
                  <c:v>66</c:v>
                </c:pt>
                <c:pt idx="2">
                  <c:v>97</c:v>
                </c:pt>
                <c:pt idx="3">
                  <c:v>111</c:v>
                </c:pt>
                <c:pt idx="4">
                  <c:v>95</c:v>
                </c:pt>
                <c:pt idx="5">
                  <c:v>113</c:v>
                </c:pt>
                <c:pt idx="6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12B-48F3-820C-9DA7EC29062E}"/>
            </c:ext>
          </c:extLst>
        </c:ser>
        <c:ser>
          <c:idx val="5"/>
          <c:order val="5"/>
          <c:tx>
            <c:strRef>
              <c:f>'Monthly July 2025'!$AG$149</c:f>
              <c:strCache>
                <c:ptCount val="1"/>
                <c:pt idx="0">
                  <c:v>SPC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July 2025'!$AH$143:$AN$143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July 2025'!$AH$149:$AN$149</c:f>
              <c:numCache>
                <c:formatCode>General</c:formatCode>
                <c:ptCount val="7"/>
                <c:pt idx="0">
                  <c:v>70</c:v>
                </c:pt>
                <c:pt idx="1">
                  <c:v>62</c:v>
                </c:pt>
                <c:pt idx="2">
                  <c:v>147</c:v>
                </c:pt>
                <c:pt idx="3">
                  <c:v>107</c:v>
                </c:pt>
                <c:pt idx="4">
                  <c:v>99</c:v>
                </c:pt>
                <c:pt idx="5">
                  <c:v>127</c:v>
                </c:pt>
                <c:pt idx="6">
                  <c:v>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12B-48F3-820C-9DA7EC290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Room Popularity - Week of: 7/26/25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July 2025'!$AH$143</c:f>
              <c:strCache>
                <c:ptCount val="1"/>
                <c:pt idx="0">
                  <c:v>Saturday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July 2025'!$AG$144:$AG$149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July 2025'!$AH$144:$AH$149</c:f>
              <c:numCache>
                <c:formatCode>General</c:formatCode>
                <c:ptCount val="6"/>
                <c:pt idx="0">
                  <c:v>200</c:v>
                </c:pt>
                <c:pt idx="1">
                  <c:v>51</c:v>
                </c:pt>
                <c:pt idx="2">
                  <c:v>174</c:v>
                </c:pt>
                <c:pt idx="3">
                  <c:v>62</c:v>
                </c:pt>
                <c:pt idx="4">
                  <c:v>52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93-4789-BC77-D4071282FECB}"/>
            </c:ext>
          </c:extLst>
        </c:ser>
        <c:ser>
          <c:idx val="1"/>
          <c:order val="1"/>
          <c:tx>
            <c:strRef>
              <c:f>'Monthly July 2025'!$AI$143</c:f>
              <c:strCache>
                <c:ptCount val="1"/>
                <c:pt idx="0">
                  <c:v>Sunday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July 2025'!$AG$144:$AG$149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July 2025'!$AI$144:$AI$149</c:f>
              <c:numCache>
                <c:formatCode>General</c:formatCode>
                <c:ptCount val="6"/>
                <c:pt idx="0">
                  <c:v>173</c:v>
                </c:pt>
                <c:pt idx="1">
                  <c:v>47</c:v>
                </c:pt>
                <c:pt idx="2">
                  <c:v>152</c:v>
                </c:pt>
                <c:pt idx="3">
                  <c:v>58</c:v>
                </c:pt>
                <c:pt idx="4">
                  <c:v>66</c:v>
                </c:pt>
                <c:pt idx="5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93-4789-BC77-D4071282FECB}"/>
            </c:ext>
          </c:extLst>
        </c:ser>
        <c:ser>
          <c:idx val="2"/>
          <c:order val="2"/>
          <c:tx>
            <c:strRef>
              <c:f>'Monthly July 2025'!$AJ$143</c:f>
              <c:strCache>
                <c:ptCount val="1"/>
                <c:pt idx="0">
                  <c:v>Monday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July 2025'!$AG$144:$AG$149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July 2025'!$AJ$144:$AJ$149</c:f>
              <c:numCache>
                <c:formatCode>General</c:formatCode>
                <c:ptCount val="6"/>
                <c:pt idx="0">
                  <c:v>384</c:v>
                </c:pt>
                <c:pt idx="1">
                  <c:v>211</c:v>
                </c:pt>
                <c:pt idx="2">
                  <c:v>380</c:v>
                </c:pt>
                <c:pt idx="3">
                  <c:v>103</c:v>
                </c:pt>
                <c:pt idx="4">
                  <c:v>97</c:v>
                </c:pt>
                <c:pt idx="5">
                  <c:v>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93-4789-BC77-D4071282FECB}"/>
            </c:ext>
          </c:extLst>
        </c:ser>
        <c:ser>
          <c:idx val="3"/>
          <c:order val="3"/>
          <c:tx>
            <c:strRef>
              <c:f>'Monthly July 2025'!$AK$143</c:f>
              <c:strCache>
                <c:ptCount val="1"/>
                <c:pt idx="0">
                  <c:v>Tuesday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July 2025'!$AG$144:$AG$149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July 2025'!$AK$144:$AK$149</c:f>
              <c:numCache>
                <c:formatCode>General</c:formatCode>
                <c:ptCount val="6"/>
                <c:pt idx="0">
                  <c:v>342</c:v>
                </c:pt>
                <c:pt idx="1">
                  <c:v>111</c:v>
                </c:pt>
                <c:pt idx="2">
                  <c:v>375</c:v>
                </c:pt>
                <c:pt idx="3">
                  <c:v>108</c:v>
                </c:pt>
                <c:pt idx="4">
                  <c:v>111</c:v>
                </c:pt>
                <c:pt idx="5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A93-4789-BC77-D4071282FECB}"/>
            </c:ext>
          </c:extLst>
        </c:ser>
        <c:ser>
          <c:idx val="4"/>
          <c:order val="4"/>
          <c:tx>
            <c:strRef>
              <c:f>'Monthly July 2025'!$AL$143</c:f>
              <c:strCache>
                <c:ptCount val="1"/>
                <c:pt idx="0">
                  <c:v>Wednesday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July 2025'!$AG$144:$AG$149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July 2025'!$AL$144:$AL$149</c:f>
              <c:numCache>
                <c:formatCode>General</c:formatCode>
                <c:ptCount val="6"/>
                <c:pt idx="0">
                  <c:v>313</c:v>
                </c:pt>
                <c:pt idx="1">
                  <c:v>121</c:v>
                </c:pt>
                <c:pt idx="2">
                  <c:v>324</c:v>
                </c:pt>
                <c:pt idx="3">
                  <c:v>51</c:v>
                </c:pt>
                <c:pt idx="4">
                  <c:v>95</c:v>
                </c:pt>
                <c:pt idx="5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A93-4789-BC77-D4071282FECB}"/>
            </c:ext>
          </c:extLst>
        </c:ser>
        <c:ser>
          <c:idx val="5"/>
          <c:order val="5"/>
          <c:tx>
            <c:strRef>
              <c:f>'Monthly July 2025'!$AM$143</c:f>
              <c:strCache>
                <c:ptCount val="1"/>
                <c:pt idx="0">
                  <c:v>Thursday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July 2025'!$AG$144:$AG$149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July 2025'!$AM$144:$AM$149</c:f>
              <c:numCache>
                <c:formatCode>General</c:formatCode>
                <c:ptCount val="6"/>
                <c:pt idx="0">
                  <c:v>328</c:v>
                </c:pt>
                <c:pt idx="1">
                  <c:v>129</c:v>
                </c:pt>
                <c:pt idx="2">
                  <c:v>360</c:v>
                </c:pt>
                <c:pt idx="3">
                  <c:v>106</c:v>
                </c:pt>
                <c:pt idx="4">
                  <c:v>113</c:v>
                </c:pt>
                <c:pt idx="5">
                  <c:v>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A93-4789-BC77-D4071282FECB}"/>
            </c:ext>
          </c:extLst>
        </c:ser>
        <c:ser>
          <c:idx val="6"/>
          <c:order val="6"/>
          <c:tx>
            <c:strRef>
              <c:f>'Monthly July 2025'!$AN$143</c:f>
              <c:strCache>
                <c:ptCount val="1"/>
                <c:pt idx="0">
                  <c:v>Friday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'Monthly July 2025'!$AG$144:$AG$149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July 2025'!$AN$144:$AN$149</c:f>
              <c:numCache>
                <c:formatCode>General</c:formatCode>
                <c:ptCount val="6"/>
                <c:pt idx="0">
                  <c:v>243</c:v>
                </c:pt>
                <c:pt idx="1">
                  <c:v>113</c:v>
                </c:pt>
                <c:pt idx="2">
                  <c:v>272</c:v>
                </c:pt>
                <c:pt idx="3">
                  <c:v>60</c:v>
                </c:pt>
                <c:pt idx="4">
                  <c:v>98</c:v>
                </c:pt>
                <c:pt idx="5">
                  <c:v>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A93-4789-BC77-D4071282FE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Room Attendance - July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July 2025'!$AP$6</c:f>
              <c:strCache>
                <c:ptCount val="1"/>
                <c:pt idx="0">
                  <c:v>Cardio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July 2025'!$AQ$5:$AW$5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July 2025'!$AQ$6:$AW$6</c:f>
              <c:numCache>
                <c:formatCode>General</c:formatCode>
                <c:ptCount val="7"/>
                <c:pt idx="0">
                  <c:v>742</c:v>
                </c:pt>
                <c:pt idx="1">
                  <c:v>708</c:v>
                </c:pt>
                <c:pt idx="2">
                  <c:v>1554</c:v>
                </c:pt>
                <c:pt idx="3">
                  <c:v>1272</c:v>
                </c:pt>
                <c:pt idx="4">
                  <c:v>1331</c:v>
                </c:pt>
                <c:pt idx="5">
                  <c:v>1264</c:v>
                </c:pt>
                <c:pt idx="6">
                  <c:v>1022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B8-4697-B15C-E04A8FF8FF12}"/>
            </c:ext>
          </c:extLst>
        </c:ser>
        <c:ser>
          <c:idx val="1"/>
          <c:order val="1"/>
          <c:tx>
            <c:strRef>
              <c:f>'Monthly July 2025'!$AP$7</c:f>
              <c:strCache>
                <c:ptCount val="1"/>
                <c:pt idx="0">
                  <c:v>eGym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July 2025'!$AQ$5:$AW$5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July 2025'!$AQ$7:$AW$7</c:f>
              <c:numCache>
                <c:formatCode>General</c:formatCode>
                <c:ptCount val="7"/>
                <c:pt idx="0">
                  <c:v>239</c:v>
                </c:pt>
                <c:pt idx="1">
                  <c:v>223</c:v>
                </c:pt>
                <c:pt idx="2">
                  <c:v>709</c:v>
                </c:pt>
                <c:pt idx="3">
                  <c:v>466</c:v>
                </c:pt>
                <c:pt idx="4">
                  <c:v>554</c:v>
                </c:pt>
                <c:pt idx="5">
                  <c:v>503</c:v>
                </c:pt>
                <c:pt idx="6">
                  <c:v>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B8-4697-B15C-E04A8FF8FF12}"/>
            </c:ext>
          </c:extLst>
        </c:ser>
        <c:ser>
          <c:idx val="2"/>
          <c:order val="2"/>
          <c:tx>
            <c:strRef>
              <c:f>'Monthly July 2025'!$AP$8</c:f>
              <c:strCache>
                <c:ptCount val="1"/>
                <c:pt idx="0">
                  <c:v>Free Weight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July 2025'!$AQ$5:$AW$5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July 2025'!$AQ$8:$AW$8</c:f>
              <c:numCache>
                <c:formatCode>General</c:formatCode>
                <c:ptCount val="7"/>
                <c:pt idx="0">
                  <c:v>760</c:v>
                </c:pt>
                <c:pt idx="1">
                  <c:v>609</c:v>
                </c:pt>
                <c:pt idx="2">
                  <c:v>1546</c:v>
                </c:pt>
                <c:pt idx="3">
                  <c:v>1476</c:v>
                </c:pt>
                <c:pt idx="4">
                  <c:v>1408</c:v>
                </c:pt>
                <c:pt idx="5">
                  <c:v>1348</c:v>
                </c:pt>
                <c:pt idx="6">
                  <c:v>1174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B8-4697-B15C-E04A8FF8FF12}"/>
            </c:ext>
          </c:extLst>
        </c:ser>
        <c:ser>
          <c:idx val="3"/>
          <c:order val="3"/>
          <c:tx>
            <c:strRef>
              <c:f>'Monthly July 2025'!$AP$9</c:f>
              <c:strCache>
                <c:ptCount val="1"/>
                <c:pt idx="0">
                  <c:v>Track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July 2025'!$AQ$5:$AW$5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July 2025'!$AQ$9:$AW$9</c:f>
              <c:numCache>
                <c:formatCode>General</c:formatCode>
                <c:ptCount val="7"/>
                <c:pt idx="0">
                  <c:v>215</c:v>
                </c:pt>
                <c:pt idx="1">
                  <c:v>192</c:v>
                </c:pt>
                <c:pt idx="2">
                  <c:v>442</c:v>
                </c:pt>
                <c:pt idx="3">
                  <c:v>358</c:v>
                </c:pt>
                <c:pt idx="4">
                  <c:v>331</c:v>
                </c:pt>
                <c:pt idx="5">
                  <c:v>379</c:v>
                </c:pt>
                <c:pt idx="6">
                  <c:v>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B8-4697-B15C-E04A8FF8FF12}"/>
            </c:ext>
          </c:extLst>
        </c:ser>
        <c:ser>
          <c:idx val="4"/>
          <c:order val="4"/>
          <c:tx>
            <c:strRef>
              <c:f>'Monthly July 2025'!$AP$10</c:f>
              <c:strCache>
                <c:ptCount val="1"/>
                <c:pt idx="0">
                  <c:v>Stretch &amp; Core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July 2025'!$AQ$5:$AW$5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July 2025'!$AQ$10:$AW$10</c:f>
              <c:numCache>
                <c:formatCode>General</c:formatCode>
                <c:ptCount val="7"/>
                <c:pt idx="0">
                  <c:v>229</c:v>
                </c:pt>
                <c:pt idx="1">
                  <c:v>222</c:v>
                </c:pt>
                <c:pt idx="2">
                  <c:v>469</c:v>
                </c:pt>
                <c:pt idx="3">
                  <c:v>426</c:v>
                </c:pt>
                <c:pt idx="4">
                  <c:v>405</c:v>
                </c:pt>
                <c:pt idx="5">
                  <c:v>402</c:v>
                </c:pt>
                <c:pt idx="6">
                  <c:v>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3B8-4697-B15C-E04A8FF8FF12}"/>
            </c:ext>
          </c:extLst>
        </c:ser>
        <c:ser>
          <c:idx val="5"/>
          <c:order val="5"/>
          <c:tx>
            <c:strRef>
              <c:f>'Monthly July 2025'!$AP$11</c:f>
              <c:strCache>
                <c:ptCount val="1"/>
                <c:pt idx="0">
                  <c:v>SPC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July 2025'!$AQ$5:$AW$5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July 2025'!$AQ$11:$AW$11</c:f>
              <c:numCache>
                <c:formatCode>General</c:formatCode>
                <c:ptCount val="7"/>
                <c:pt idx="0">
                  <c:v>291</c:v>
                </c:pt>
                <c:pt idx="1">
                  <c:v>225</c:v>
                </c:pt>
                <c:pt idx="2">
                  <c:v>655</c:v>
                </c:pt>
                <c:pt idx="3">
                  <c:v>490</c:v>
                </c:pt>
                <c:pt idx="4">
                  <c:v>525</c:v>
                </c:pt>
                <c:pt idx="5">
                  <c:v>538</c:v>
                </c:pt>
                <c:pt idx="6">
                  <c:v>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3B8-4697-B15C-E04A8FF8FF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Room Popularity - Week of: 8/2/25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August 2025'!$AH$5</c:f>
              <c:strCache>
                <c:ptCount val="1"/>
                <c:pt idx="0">
                  <c:v>Saturday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August 2025'!$AG$6:$AG$11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August 2025'!$AH$6:$AH$11</c:f>
              <c:numCache>
                <c:formatCode>General</c:formatCode>
                <c:ptCount val="6"/>
                <c:pt idx="0">
                  <c:v>235</c:v>
                </c:pt>
                <c:pt idx="1">
                  <c:v>72</c:v>
                </c:pt>
                <c:pt idx="2">
                  <c:v>227</c:v>
                </c:pt>
                <c:pt idx="3">
                  <c:v>40</c:v>
                </c:pt>
                <c:pt idx="4">
                  <c:v>66</c:v>
                </c:pt>
                <c:pt idx="5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24-4A79-8B3A-D6059F00CCB0}"/>
            </c:ext>
          </c:extLst>
        </c:ser>
        <c:ser>
          <c:idx val="1"/>
          <c:order val="1"/>
          <c:tx>
            <c:strRef>
              <c:f>'Monthly August 2025'!$AI$5</c:f>
              <c:strCache>
                <c:ptCount val="1"/>
                <c:pt idx="0">
                  <c:v>Sunday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August 2025'!$AG$6:$AG$11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August 2025'!$AI$6:$AI$11</c:f>
              <c:numCache>
                <c:formatCode>General</c:formatCode>
                <c:ptCount val="6"/>
                <c:pt idx="0">
                  <c:v>190</c:v>
                </c:pt>
                <c:pt idx="1">
                  <c:v>45</c:v>
                </c:pt>
                <c:pt idx="2">
                  <c:v>147</c:v>
                </c:pt>
                <c:pt idx="3">
                  <c:v>38</c:v>
                </c:pt>
                <c:pt idx="4">
                  <c:v>56</c:v>
                </c:pt>
                <c:pt idx="5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24-4A79-8B3A-D6059F00CCB0}"/>
            </c:ext>
          </c:extLst>
        </c:ser>
        <c:ser>
          <c:idx val="2"/>
          <c:order val="2"/>
          <c:tx>
            <c:strRef>
              <c:f>'Monthly August 2025'!$AJ$5</c:f>
              <c:strCache>
                <c:ptCount val="1"/>
                <c:pt idx="0">
                  <c:v>Monday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August 2025'!$AG$6:$AG$11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August 2025'!$AJ$6:$AJ$11</c:f>
              <c:numCache>
                <c:formatCode>General</c:formatCode>
                <c:ptCount val="6"/>
                <c:pt idx="0">
                  <c:v>352</c:v>
                </c:pt>
                <c:pt idx="1">
                  <c:v>171</c:v>
                </c:pt>
                <c:pt idx="2">
                  <c:v>368</c:v>
                </c:pt>
                <c:pt idx="3">
                  <c:v>109</c:v>
                </c:pt>
                <c:pt idx="4">
                  <c:v>122</c:v>
                </c:pt>
                <c:pt idx="5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24-4A79-8B3A-D6059F00CCB0}"/>
            </c:ext>
          </c:extLst>
        </c:ser>
        <c:ser>
          <c:idx val="3"/>
          <c:order val="3"/>
          <c:tx>
            <c:strRef>
              <c:f>'Monthly August 2025'!$AK$5</c:f>
              <c:strCache>
                <c:ptCount val="1"/>
                <c:pt idx="0">
                  <c:v>Tuesday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August 2025'!$AG$6:$AG$11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August 2025'!$AK$6:$AK$11</c:f>
              <c:numCache>
                <c:formatCode>General</c:formatCode>
                <c:ptCount val="6"/>
                <c:pt idx="0">
                  <c:v>320</c:v>
                </c:pt>
                <c:pt idx="1">
                  <c:v>138</c:v>
                </c:pt>
                <c:pt idx="2">
                  <c:v>403</c:v>
                </c:pt>
                <c:pt idx="3">
                  <c:v>103</c:v>
                </c:pt>
                <c:pt idx="4">
                  <c:v>97</c:v>
                </c:pt>
                <c:pt idx="5">
                  <c:v>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D24-4A79-8B3A-D6059F00CCB0}"/>
            </c:ext>
          </c:extLst>
        </c:ser>
        <c:ser>
          <c:idx val="4"/>
          <c:order val="4"/>
          <c:tx>
            <c:strRef>
              <c:f>'Monthly August 2025'!$AL$5</c:f>
              <c:strCache>
                <c:ptCount val="1"/>
                <c:pt idx="0">
                  <c:v>Wednesday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August 2025'!$AG$6:$AG$11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August 2025'!$AL$6:$AL$11</c:f>
              <c:numCache>
                <c:formatCode>General</c:formatCode>
                <c:ptCount val="6"/>
                <c:pt idx="0">
                  <c:v>310</c:v>
                </c:pt>
                <c:pt idx="1">
                  <c:v>132</c:v>
                </c:pt>
                <c:pt idx="2">
                  <c:v>274</c:v>
                </c:pt>
                <c:pt idx="3">
                  <c:v>106</c:v>
                </c:pt>
                <c:pt idx="4">
                  <c:v>99</c:v>
                </c:pt>
                <c:pt idx="5">
                  <c:v>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D24-4A79-8B3A-D6059F00CCB0}"/>
            </c:ext>
          </c:extLst>
        </c:ser>
        <c:ser>
          <c:idx val="5"/>
          <c:order val="5"/>
          <c:tx>
            <c:strRef>
              <c:f>'Monthly August 2025'!$AM$5</c:f>
              <c:strCache>
                <c:ptCount val="1"/>
                <c:pt idx="0">
                  <c:v>Thursday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August 2025'!$AG$6:$AG$11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August 2025'!$AM$6:$AM$11</c:f>
              <c:numCache>
                <c:formatCode>General</c:formatCode>
                <c:ptCount val="6"/>
                <c:pt idx="0">
                  <c:v>336</c:v>
                </c:pt>
                <c:pt idx="1">
                  <c:v>138</c:v>
                </c:pt>
                <c:pt idx="2">
                  <c:v>323</c:v>
                </c:pt>
                <c:pt idx="3">
                  <c:v>103</c:v>
                </c:pt>
                <c:pt idx="4">
                  <c:v>111</c:v>
                </c:pt>
                <c:pt idx="5">
                  <c:v>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D24-4A79-8B3A-D6059F00CCB0}"/>
            </c:ext>
          </c:extLst>
        </c:ser>
        <c:ser>
          <c:idx val="6"/>
          <c:order val="6"/>
          <c:tx>
            <c:strRef>
              <c:f>'Monthly August 2025'!$AN$5</c:f>
              <c:strCache>
                <c:ptCount val="1"/>
                <c:pt idx="0">
                  <c:v>Friday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'Monthly August 2025'!$AG$6:$AG$11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August 2025'!$AN$6:$AN$11</c:f>
              <c:numCache>
                <c:formatCode>General</c:formatCode>
                <c:ptCount val="6"/>
                <c:pt idx="0">
                  <c:v>265</c:v>
                </c:pt>
                <c:pt idx="1">
                  <c:v>102</c:v>
                </c:pt>
                <c:pt idx="2">
                  <c:v>296</c:v>
                </c:pt>
                <c:pt idx="3">
                  <c:v>78</c:v>
                </c:pt>
                <c:pt idx="4">
                  <c:v>69</c:v>
                </c:pt>
                <c:pt idx="5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D24-4A79-8B3A-D6059F00C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Room Attendance - Week of 8/2/2025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August 2025'!$AG$6</c:f>
              <c:strCache>
                <c:ptCount val="1"/>
                <c:pt idx="0">
                  <c:v>Cardio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August 2025'!$AH$5:$AN$5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August 2025'!$AH$6:$AN$6</c:f>
              <c:numCache>
                <c:formatCode>General</c:formatCode>
                <c:ptCount val="7"/>
                <c:pt idx="0">
                  <c:v>235</c:v>
                </c:pt>
                <c:pt idx="1">
                  <c:v>190</c:v>
                </c:pt>
                <c:pt idx="2">
                  <c:v>352</c:v>
                </c:pt>
                <c:pt idx="3">
                  <c:v>320</c:v>
                </c:pt>
                <c:pt idx="4">
                  <c:v>310</c:v>
                </c:pt>
                <c:pt idx="5">
                  <c:v>336</c:v>
                </c:pt>
                <c:pt idx="6">
                  <c:v>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9C-4103-B280-EBC54CA8C95A}"/>
            </c:ext>
          </c:extLst>
        </c:ser>
        <c:ser>
          <c:idx val="1"/>
          <c:order val="1"/>
          <c:tx>
            <c:strRef>
              <c:f>'Monthly August 2025'!$AG$7</c:f>
              <c:strCache>
                <c:ptCount val="1"/>
                <c:pt idx="0">
                  <c:v>eGym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August 2025'!$AH$5:$AN$5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August 2025'!$AH$7:$AN$7</c:f>
              <c:numCache>
                <c:formatCode>General</c:formatCode>
                <c:ptCount val="7"/>
                <c:pt idx="0">
                  <c:v>72</c:v>
                </c:pt>
                <c:pt idx="1">
                  <c:v>45</c:v>
                </c:pt>
                <c:pt idx="2">
                  <c:v>171</c:v>
                </c:pt>
                <c:pt idx="3">
                  <c:v>138</c:v>
                </c:pt>
                <c:pt idx="4">
                  <c:v>132</c:v>
                </c:pt>
                <c:pt idx="5">
                  <c:v>138</c:v>
                </c:pt>
                <c:pt idx="6">
                  <c:v>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9C-4103-B280-EBC54CA8C95A}"/>
            </c:ext>
          </c:extLst>
        </c:ser>
        <c:ser>
          <c:idx val="2"/>
          <c:order val="2"/>
          <c:tx>
            <c:strRef>
              <c:f>'Monthly August 2025'!$AG$8</c:f>
              <c:strCache>
                <c:ptCount val="1"/>
                <c:pt idx="0">
                  <c:v>Free Weight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August 2025'!$AH$5:$AN$5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August 2025'!$AH$8:$AN$8</c:f>
              <c:numCache>
                <c:formatCode>General</c:formatCode>
                <c:ptCount val="7"/>
                <c:pt idx="0">
                  <c:v>227</c:v>
                </c:pt>
                <c:pt idx="1">
                  <c:v>147</c:v>
                </c:pt>
                <c:pt idx="2">
                  <c:v>368</c:v>
                </c:pt>
                <c:pt idx="3">
                  <c:v>403</c:v>
                </c:pt>
                <c:pt idx="4">
                  <c:v>274</c:v>
                </c:pt>
                <c:pt idx="5">
                  <c:v>323</c:v>
                </c:pt>
                <c:pt idx="6">
                  <c:v>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9C-4103-B280-EBC54CA8C95A}"/>
            </c:ext>
          </c:extLst>
        </c:ser>
        <c:ser>
          <c:idx val="3"/>
          <c:order val="3"/>
          <c:tx>
            <c:strRef>
              <c:f>'Monthly August 2025'!$AG$9</c:f>
              <c:strCache>
                <c:ptCount val="1"/>
                <c:pt idx="0">
                  <c:v>Track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August 2025'!$AH$5:$AN$5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August 2025'!$AH$9:$AN$9</c:f>
              <c:numCache>
                <c:formatCode>General</c:formatCode>
                <c:ptCount val="7"/>
                <c:pt idx="0">
                  <c:v>40</c:v>
                </c:pt>
                <c:pt idx="1">
                  <c:v>38</c:v>
                </c:pt>
                <c:pt idx="2">
                  <c:v>109</c:v>
                </c:pt>
                <c:pt idx="3">
                  <c:v>103</c:v>
                </c:pt>
                <c:pt idx="4">
                  <c:v>106</c:v>
                </c:pt>
                <c:pt idx="5">
                  <c:v>103</c:v>
                </c:pt>
                <c:pt idx="6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9C-4103-B280-EBC54CA8C95A}"/>
            </c:ext>
          </c:extLst>
        </c:ser>
        <c:ser>
          <c:idx val="4"/>
          <c:order val="4"/>
          <c:tx>
            <c:strRef>
              <c:f>'Monthly August 2025'!$AG$10</c:f>
              <c:strCache>
                <c:ptCount val="1"/>
                <c:pt idx="0">
                  <c:v>Stretch &amp; Core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August 2025'!$AH$5:$AN$5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August 2025'!$AH$10:$AN$10</c:f>
              <c:numCache>
                <c:formatCode>General</c:formatCode>
                <c:ptCount val="7"/>
                <c:pt idx="0">
                  <c:v>66</c:v>
                </c:pt>
                <c:pt idx="1">
                  <c:v>56</c:v>
                </c:pt>
                <c:pt idx="2">
                  <c:v>122</c:v>
                </c:pt>
                <c:pt idx="3">
                  <c:v>97</c:v>
                </c:pt>
                <c:pt idx="4">
                  <c:v>99</c:v>
                </c:pt>
                <c:pt idx="5">
                  <c:v>111</c:v>
                </c:pt>
                <c:pt idx="6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9C-4103-B280-EBC54CA8C95A}"/>
            </c:ext>
          </c:extLst>
        </c:ser>
        <c:ser>
          <c:idx val="5"/>
          <c:order val="5"/>
          <c:tx>
            <c:strRef>
              <c:f>'Monthly August 2025'!$AG$11</c:f>
              <c:strCache>
                <c:ptCount val="1"/>
                <c:pt idx="0">
                  <c:v>SPC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August 2025'!$AH$5:$AN$5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August 2025'!$AH$11:$AN$11</c:f>
              <c:numCache>
                <c:formatCode>General</c:formatCode>
                <c:ptCount val="7"/>
                <c:pt idx="0">
                  <c:v>85</c:v>
                </c:pt>
                <c:pt idx="1">
                  <c:v>51</c:v>
                </c:pt>
                <c:pt idx="2">
                  <c:v>175</c:v>
                </c:pt>
                <c:pt idx="3">
                  <c:v>145</c:v>
                </c:pt>
                <c:pt idx="4">
                  <c:v>135</c:v>
                </c:pt>
                <c:pt idx="5">
                  <c:v>116</c:v>
                </c:pt>
                <c:pt idx="6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09C-4103-B280-EBC54CA8C9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Room Popularity - Week of 8/9/2025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August 2025'!$AH$51</c:f>
              <c:strCache>
                <c:ptCount val="1"/>
                <c:pt idx="0">
                  <c:v>Saturday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August 2025'!$AG$52:$AG$57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August 2025'!$AH$52:$AH$57</c:f>
              <c:numCache>
                <c:formatCode>General</c:formatCode>
                <c:ptCount val="6"/>
                <c:pt idx="0">
                  <c:v>181</c:v>
                </c:pt>
                <c:pt idx="1">
                  <c:v>55</c:v>
                </c:pt>
                <c:pt idx="2">
                  <c:v>156</c:v>
                </c:pt>
                <c:pt idx="3">
                  <c:v>48</c:v>
                </c:pt>
                <c:pt idx="4">
                  <c:v>62</c:v>
                </c:pt>
                <c:pt idx="5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F8-4EE0-98A7-A34CFEC76926}"/>
            </c:ext>
          </c:extLst>
        </c:ser>
        <c:ser>
          <c:idx val="1"/>
          <c:order val="1"/>
          <c:tx>
            <c:strRef>
              <c:f>'Monthly August 2025'!$AI$51</c:f>
              <c:strCache>
                <c:ptCount val="1"/>
                <c:pt idx="0">
                  <c:v>Sunday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August 2025'!$AG$52:$AG$57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August 2025'!$AI$52:$AI$57</c:f>
              <c:numCache>
                <c:formatCode>General</c:formatCode>
                <c:ptCount val="6"/>
                <c:pt idx="0">
                  <c:v>164</c:v>
                </c:pt>
                <c:pt idx="1">
                  <c:v>49</c:v>
                </c:pt>
                <c:pt idx="2">
                  <c:v>173</c:v>
                </c:pt>
                <c:pt idx="3">
                  <c:v>59</c:v>
                </c:pt>
                <c:pt idx="4">
                  <c:v>58</c:v>
                </c:pt>
                <c:pt idx="5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F8-4EE0-98A7-A34CFEC76926}"/>
            </c:ext>
          </c:extLst>
        </c:ser>
        <c:ser>
          <c:idx val="2"/>
          <c:order val="2"/>
          <c:tx>
            <c:strRef>
              <c:f>'Monthly August 2025'!$AJ$51</c:f>
              <c:strCache>
                <c:ptCount val="1"/>
                <c:pt idx="0">
                  <c:v>Monday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August 2025'!$AG$52:$AG$57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August 2025'!$AJ$52:$AJ$57</c:f>
              <c:numCache>
                <c:formatCode>General</c:formatCode>
                <c:ptCount val="6"/>
                <c:pt idx="0">
                  <c:v>369</c:v>
                </c:pt>
                <c:pt idx="1">
                  <c:v>160</c:v>
                </c:pt>
                <c:pt idx="2">
                  <c:v>385</c:v>
                </c:pt>
                <c:pt idx="3">
                  <c:v>116</c:v>
                </c:pt>
                <c:pt idx="4">
                  <c:v>111</c:v>
                </c:pt>
                <c:pt idx="5">
                  <c:v>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F8-4EE0-98A7-A34CFEC76926}"/>
            </c:ext>
          </c:extLst>
        </c:ser>
        <c:ser>
          <c:idx val="3"/>
          <c:order val="3"/>
          <c:tx>
            <c:strRef>
              <c:f>'Monthly August 2025'!$AK$51</c:f>
              <c:strCache>
                <c:ptCount val="1"/>
                <c:pt idx="0">
                  <c:v>Tuesday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August 2025'!$AG$52:$AG$57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August 2025'!$AK$52:$AK$57</c:f>
              <c:numCache>
                <c:formatCode>General</c:formatCode>
                <c:ptCount val="6"/>
                <c:pt idx="0">
                  <c:v>373</c:v>
                </c:pt>
                <c:pt idx="1">
                  <c:v>131</c:v>
                </c:pt>
                <c:pt idx="2">
                  <c:v>442</c:v>
                </c:pt>
                <c:pt idx="3">
                  <c:v>94</c:v>
                </c:pt>
                <c:pt idx="4">
                  <c:v>120</c:v>
                </c:pt>
                <c:pt idx="5">
                  <c:v>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AF8-4EE0-98A7-A34CFEC76926}"/>
            </c:ext>
          </c:extLst>
        </c:ser>
        <c:ser>
          <c:idx val="4"/>
          <c:order val="4"/>
          <c:tx>
            <c:strRef>
              <c:f>'Monthly August 2025'!$AL$51</c:f>
              <c:strCache>
                <c:ptCount val="1"/>
                <c:pt idx="0">
                  <c:v>Wednesday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August 2025'!$AG$52:$AG$57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August 2025'!$AL$52:$AL$57</c:f>
              <c:numCache>
                <c:formatCode>General</c:formatCode>
                <c:ptCount val="6"/>
                <c:pt idx="0">
                  <c:v>281</c:v>
                </c:pt>
                <c:pt idx="1">
                  <c:v>108</c:v>
                </c:pt>
                <c:pt idx="2">
                  <c:v>307</c:v>
                </c:pt>
                <c:pt idx="3">
                  <c:v>70</c:v>
                </c:pt>
                <c:pt idx="4">
                  <c:v>102</c:v>
                </c:pt>
                <c:pt idx="5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AF8-4EE0-98A7-A34CFEC76926}"/>
            </c:ext>
          </c:extLst>
        </c:ser>
        <c:ser>
          <c:idx val="5"/>
          <c:order val="5"/>
          <c:tx>
            <c:strRef>
              <c:f>'Monthly August 2025'!$AM$51</c:f>
              <c:strCache>
                <c:ptCount val="1"/>
                <c:pt idx="0">
                  <c:v>Thursday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August 2025'!$AG$52:$AG$57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August 2025'!$AM$52:$AM$57</c:f>
              <c:numCache>
                <c:formatCode>General</c:formatCode>
                <c:ptCount val="6"/>
                <c:pt idx="0">
                  <c:v>333</c:v>
                </c:pt>
                <c:pt idx="1">
                  <c:v>138</c:v>
                </c:pt>
                <c:pt idx="2">
                  <c:v>332</c:v>
                </c:pt>
                <c:pt idx="3">
                  <c:v>71</c:v>
                </c:pt>
                <c:pt idx="4">
                  <c:v>101</c:v>
                </c:pt>
                <c:pt idx="5">
                  <c:v>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AF8-4EE0-98A7-A34CFEC76926}"/>
            </c:ext>
          </c:extLst>
        </c:ser>
        <c:ser>
          <c:idx val="6"/>
          <c:order val="6"/>
          <c:tx>
            <c:strRef>
              <c:f>'Monthly August 2025'!$AN$51</c:f>
              <c:strCache>
                <c:ptCount val="1"/>
                <c:pt idx="0">
                  <c:v>Friday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'Monthly August 2025'!$AG$52:$AG$57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August 2025'!$AN$52:$AN$57</c:f>
              <c:numCache>
                <c:formatCode>General</c:formatCode>
                <c:ptCount val="6"/>
                <c:pt idx="0">
                  <c:v>249</c:v>
                </c:pt>
                <c:pt idx="1">
                  <c:v>119</c:v>
                </c:pt>
                <c:pt idx="2">
                  <c:v>269</c:v>
                </c:pt>
                <c:pt idx="3">
                  <c:v>64</c:v>
                </c:pt>
                <c:pt idx="4">
                  <c:v>68</c:v>
                </c:pt>
                <c:pt idx="5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AF8-4EE0-98A7-A34CFEC769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Room Attendance - Week of 8/09/2025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August 2025'!$AG$52</c:f>
              <c:strCache>
                <c:ptCount val="1"/>
                <c:pt idx="0">
                  <c:v>Cardio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August 2025'!$AH$51:$AN$51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August 2025'!$AH$52:$AN$52</c:f>
              <c:numCache>
                <c:formatCode>General</c:formatCode>
                <c:ptCount val="7"/>
                <c:pt idx="0">
                  <c:v>181</c:v>
                </c:pt>
                <c:pt idx="1">
                  <c:v>164</c:v>
                </c:pt>
                <c:pt idx="2">
                  <c:v>369</c:v>
                </c:pt>
                <c:pt idx="3">
                  <c:v>373</c:v>
                </c:pt>
                <c:pt idx="4">
                  <c:v>281</c:v>
                </c:pt>
                <c:pt idx="5">
                  <c:v>333</c:v>
                </c:pt>
                <c:pt idx="6">
                  <c:v>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0D-432C-9B2C-82636D1EA854}"/>
            </c:ext>
          </c:extLst>
        </c:ser>
        <c:ser>
          <c:idx val="1"/>
          <c:order val="1"/>
          <c:tx>
            <c:strRef>
              <c:f>'Monthly August 2025'!$AG$53</c:f>
              <c:strCache>
                <c:ptCount val="1"/>
                <c:pt idx="0">
                  <c:v>eGym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August 2025'!$AH$51:$AN$51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August 2025'!$AH$53:$AN$53</c:f>
              <c:numCache>
                <c:formatCode>General</c:formatCode>
                <c:ptCount val="7"/>
                <c:pt idx="0">
                  <c:v>55</c:v>
                </c:pt>
                <c:pt idx="1">
                  <c:v>49</c:v>
                </c:pt>
                <c:pt idx="2">
                  <c:v>160</c:v>
                </c:pt>
                <c:pt idx="3">
                  <c:v>131</c:v>
                </c:pt>
                <c:pt idx="4">
                  <c:v>108</c:v>
                </c:pt>
                <c:pt idx="5">
                  <c:v>138</c:v>
                </c:pt>
                <c:pt idx="6">
                  <c:v>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0D-432C-9B2C-82636D1EA854}"/>
            </c:ext>
          </c:extLst>
        </c:ser>
        <c:ser>
          <c:idx val="2"/>
          <c:order val="2"/>
          <c:tx>
            <c:strRef>
              <c:f>'Monthly August 2025'!$AG$54</c:f>
              <c:strCache>
                <c:ptCount val="1"/>
                <c:pt idx="0">
                  <c:v>Free Weight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August 2025'!$AH$51:$AN$51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August 2025'!$AH$54:$AN$54</c:f>
              <c:numCache>
                <c:formatCode>General</c:formatCode>
                <c:ptCount val="7"/>
                <c:pt idx="0">
                  <c:v>156</c:v>
                </c:pt>
                <c:pt idx="1">
                  <c:v>173</c:v>
                </c:pt>
                <c:pt idx="2">
                  <c:v>385</c:v>
                </c:pt>
                <c:pt idx="3">
                  <c:v>442</c:v>
                </c:pt>
                <c:pt idx="4">
                  <c:v>307</c:v>
                </c:pt>
                <c:pt idx="5">
                  <c:v>332</c:v>
                </c:pt>
                <c:pt idx="6">
                  <c:v>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0D-432C-9B2C-82636D1EA854}"/>
            </c:ext>
          </c:extLst>
        </c:ser>
        <c:ser>
          <c:idx val="3"/>
          <c:order val="3"/>
          <c:tx>
            <c:strRef>
              <c:f>'Monthly August 2025'!$AG$55</c:f>
              <c:strCache>
                <c:ptCount val="1"/>
                <c:pt idx="0">
                  <c:v>Track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August 2025'!$AH$51:$AN$51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August 2025'!$AH$55:$AN$55</c:f>
              <c:numCache>
                <c:formatCode>General</c:formatCode>
                <c:ptCount val="7"/>
                <c:pt idx="0">
                  <c:v>48</c:v>
                </c:pt>
                <c:pt idx="1">
                  <c:v>59</c:v>
                </c:pt>
                <c:pt idx="2">
                  <c:v>116</c:v>
                </c:pt>
                <c:pt idx="3">
                  <c:v>94</c:v>
                </c:pt>
                <c:pt idx="4">
                  <c:v>70</c:v>
                </c:pt>
                <c:pt idx="5">
                  <c:v>71</c:v>
                </c:pt>
                <c:pt idx="6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20D-432C-9B2C-82636D1EA854}"/>
            </c:ext>
          </c:extLst>
        </c:ser>
        <c:ser>
          <c:idx val="4"/>
          <c:order val="4"/>
          <c:tx>
            <c:strRef>
              <c:f>'Monthly August 2025'!$AG$56</c:f>
              <c:strCache>
                <c:ptCount val="1"/>
                <c:pt idx="0">
                  <c:v>Stretch &amp; Core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August 2025'!$AH$51:$AN$51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August 2025'!$AH$56:$AN$56</c:f>
              <c:numCache>
                <c:formatCode>General</c:formatCode>
                <c:ptCount val="7"/>
                <c:pt idx="0">
                  <c:v>62</c:v>
                </c:pt>
                <c:pt idx="1">
                  <c:v>58</c:v>
                </c:pt>
                <c:pt idx="2">
                  <c:v>111</c:v>
                </c:pt>
                <c:pt idx="3">
                  <c:v>120</c:v>
                </c:pt>
                <c:pt idx="4">
                  <c:v>102</c:v>
                </c:pt>
                <c:pt idx="5">
                  <c:v>101</c:v>
                </c:pt>
                <c:pt idx="6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20D-432C-9B2C-82636D1EA854}"/>
            </c:ext>
          </c:extLst>
        </c:ser>
        <c:ser>
          <c:idx val="5"/>
          <c:order val="5"/>
          <c:tx>
            <c:strRef>
              <c:f>'Monthly August 2025'!$AG$57</c:f>
              <c:strCache>
                <c:ptCount val="1"/>
                <c:pt idx="0">
                  <c:v>SPC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August 2025'!$AH$51:$AN$51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August 2025'!$AH$57:$AN$57</c:f>
              <c:numCache>
                <c:formatCode>General</c:formatCode>
                <c:ptCount val="7"/>
                <c:pt idx="0">
                  <c:v>81</c:v>
                </c:pt>
                <c:pt idx="1">
                  <c:v>40</c:v>
                </c:pt>
                <c:pt idx="2">
                  <c:v>123</c:v>
                </c:pt>
                <c:pt idx="3">
                  <c:v>119</c:v>
                </c:pt>
                <c:pt idx="4">
                  <c:v>82</c:v>
                </c:pt>
                <c:pt idx="5">
                  <c:v>125</c:v>
                </c:pt>
                <c:pt idx="6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20D-432C-9B2C-82636D1EA8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Room Attendance - Week of 8/16/2025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August 2025'!$AG$98</c:f>
              <c:strCache>
                <c:ptCount val="1"/>
                <c:pt idx="0">
                  <c:v>Cardio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August 2025'!$AH$97:$AN$97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August 2025'!$AH$98:$AN$98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390</c:v>
                </c:pt>
                <c:pt idx="3">
                  <c:v>363</c:v>
                </c:pt>
                <c:pt idx="4">
                  <c:v>424</c:v>
                </c:pt>
                <c:pt idx="5">
                  <c:v>330</c:v>
                </c:pt>
                <c:pt idx="6">
                  <c:v>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1C-4BB2-8A91-FD44E70E7278}"/>
            </c:ext>
          </c:extLst>
        </c:ser>
        <c:ser>
          <c:idx val="1"/>
          <c:order val="1"/>
          <c:tx>
            <c:strRef>
              <c:f>'Monthly August 2025'!$AG$99</c:f>
              <c:strCache>
                <c:ptCount val="1"/>
                <c:pt idx="0">
                  <c:v>eGym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August 2025'!$AH$97:$AN$97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August 2025'!$AH$99:$AN$99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158</c:v>
                </c:pt>
                <c:pt idx="3">
                  <c:v>104</c:v>
                </c:pt>
                <c:pt idx="4">
                  <c:v>204</c:v>
                </c:pt>
                <c:pt idx="5">
                  <c:v>116</c:v>
                </c:pt>
                <c:pt idx="6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1C-4BB2-8A91-FD44E70E7278}"/>
            </c:ext>
          </c:extLst>
        </c:ser>
        <c:ser>
          <c:idx val="2"/>
          <c:order val="2"/>
          <c:tx>
            <c:strRef>
              <c:f>'Monthly August 2025'!$AG$100</c:f>
              <c:strCache>
                <c:ptCount val="1"/>
                <c:pt idx="0">
                  <c:v>Free Weight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August 2025'!$AH$97:$AN$97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August 2025'!$AH$100:$AN$100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481</c:v>
                </c:pt>
                <c:pt idx="3">
                  <c:v>379</c:v>
                </c:pt>
                <c:pt idx="4">
                  <c:v>372</c:v>
                </c:pt>
                <c:pt idx="5">
                  <c:v>350</c:v>
                </c:pt>
                <c:pt idx="6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1C-4BB2-8A91-FD44E70E7278}"/>
            </c:ext>
          </c:extLst>
        </c:ser>
        <c:ser>
          <c:idx val="3"/>
          <c:order val="3"/>
          <c:tx>
            <c:strRef>
              <c:f>'Monthly August 2025'!$AG$101</c:f>
              <c:strCache>
                <c:ptCount val="1"/>
                <c:pt idx="0">
                  <c:v>Track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August 2025'!$AH$97:$AN$97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August 2025'!$AH$101:$AN$101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87</c:v>
                </c:pt>
                <c:pt idx="3">
                  <c:v>90</c:v>
                </c:pt>
                <c:pt idx="4">
                  <c:v>98</c:v>
                </c:pt>
                <c:pt idx="5">
                  <c:v>98</c:v>
                </c:pt>
                <c:pt idx="6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1C-4BB2-8A91-FD44E70E7278}"/>
            </c:ext>
          </c:extLst>
        </c:ser>
        <c:ser>
          <c:idx val="4"/>
          <c:order val="4"/>
          <c:tx>
            <c:strRef>
              <c:f>'Monthly August 2025'!$AG$102</c:f>
              <c:strCache>
                <c:ptCount val="1"/>
                <c:pt idx="0">
                  <c:v>Stretch &amp; Core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August 2025'!$AH$97:$AN$97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August 2025'!$AH$102:$AN$102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102</c:v>
                </c:pt>
                <c:pt idx="3">
                  <c:v>106</c:v>
                </c:pt>
                <c:pt idx="4">
                  <c:v>109</c:v>
                </c:pt>
                <c:pt idx="5">
                  <c:v>107</c:v>
                </c:pt>
                <c:pt idx="6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A1C-4BB2-8A91-FD44E70E7278}"/>
            </c:ext>
          </c:extLst>
        </c:ser>
        <c:ser>
          <c:idx val="5"/>
          <c:order val="5"/>
          <c:tx>
            <c:strRef>
              <c:f>'Monthly August 2025'!$AG$103</c:f>
              <c:strCache>
                <c:ptCount val="1"/>
                <c:pt idx="0">
                  <c:v>SPC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August 2025'!$AH$97:$AN$97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August 2025'!$AH$103:$AN$103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132</c:v>
                </c:pt>
                <c:pt idx="3">
                  <c:v>117</c:v>
                </c:pt>
                <c:pt idx="4">
                  <c:v>142</c:v>
                </c:pt>
                <c:pt idx="5">
                  <c:v>103</c:v>
                </c:pt>
                <c:pt idx="6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A1C-4BB2-8A91-FD44E70E72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Room Popularity - Week of 8/16/2025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August 2025'!$AH$97</c:f>
              <c:strCache>
                <c:ptCount val="1"/>
                <c:pt idx="0">
                  <c:v>Saturday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August 2025'!$AG$98:$AG$103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August 2025'!$AH$98:$AH$103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FC-4127-8786-FE93682EED88}"/>
            </c:ext>
          </c:extLst>
        </c:ser>
        <c:ser>
          <c:idx val="1"/>
          <c:order val="1"/>
          <c:tx>
            <c:strRef>
              <c:f>'Monthly August 2025'!$AI$97</c:f>
              <c:strCache>
                <c:ptCount val="1"/>
                <c:pt idx="0">
                  <c:v>Sunday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August 2025'!$AG$98:$AG$103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August 2025'!$AI$98:$AI$103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FC-4127-8786-FE93682EED88}"/>
            </c:ext>
          </c:extLst>
        </c:ser>
        <c:ser>
          <c:idx val="2"/>
          <c:order val="2"/>
          <c:tx>
            <c:strRef>
              <c:f>'Monthly August 2025'!$AJ$97</c:f>
              <c:strCache>
                <c:ptCount val="1"/>
                <c:pt idx="0">
                  <c:v>Monday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August 2025'!$AG$98:$AG$103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August 2025'!$AJ$98:$AJ$103</c:f>
              <c:numCache>
                <c:formatCode>General</c:formatCode>
                <c:ptCount val="6"/>
                <c:pt idx="0">
                  <c:v>390</c:v>
                </c:pt>
                <c:pt idx="1">
                  <c:v>158</c:v>
                </c:pt>
                <c:pt idx="2">
                  <c:v>481</c:v>
                </c:pt>
                <c:pt idx="3">
                  <c:v>87</c:v>
                </c:pt>
                <c:pt idx="4">
                  <c:v>102</c:v>
                </c:pt>
                <c:pt idx="5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FC-4127-8786-FE93682EED88}"/>
            </c:ext>
          </c:extLst>
        </c:ser>
        <c:ser>
          <c:idx val="3"/>
          <c:order val="3"/>
          <c:tx>
            <c:strRef>
              <c:f>'Monthly August 2025'!$AK$97</c:f>
              <c:strCache>
                <c:ptCount val="1"/>
                <c:pt idx="0">
                  <c:v>Tuesday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August 2025'!$AG$98:$AG$103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August 2025'!$AK$98:$AK$103</c:f>
              <c:numCache>
                <c:formatCode>General</c:formatCode>
                <c:ptCount val="6"/>
                <c:pt idx="0">
                  <c:v>363</c:v>
                </c:pt>
                <c:pt idx="1">
                  <c:v>104</c:v>
                </c:pt>
                <c:pt idx="2">
                  <c:v>379</c:v>
                </c:pt>
                <c:pt idx="3">
                  <c:v>90</c:v>
                </c:pt>
                <c:pt idx="4">
                  <c:v>106</c:v>
                </c:pt>
                <c:pt idx="5">
                  <c:v>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DFC-4127-8786-FE93682EED88}"/>
            </c:ext>
          </c:extLst>
        </c:ser>
        <c:ser>
          <c:idx val="4"/>
          <c:order val="4"/>
          <c:tx>
            <c:strRef>
              <c:f>'Monthly August 2025'!$AL$97</c:f>
              <c:strCache>
                <c:ptCount val="1"/>
                <c:pt idx="0">
                  <c:v>Wednesday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August 2025'!$AG$98:$AG$103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August 2025'!$AL$98:$AL$103</c:f>
              <c:numCache>
                <c:formatCode>General</c:formatCode>
                <c:ptCount val="6"/>
                <c:pt idx="0">
                  <c:v>424</c:v>
                </c:pt>
                <c:pt idx="1">
                  <c:v>204</c:v>
                </c:pt>
                <c:pt idx="2">
                  <c:v>372</c:v>
                </c:pt>
                <c:pt idx="3">
                  <c:v>98</c:v>
                </c:pt>
                <c:pt idx="4">
                  <c:v>109</c:v>
                </c:pt>
                <c:pt idx="5">
                  <c:v>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DFC-4127-8786-FE93682EED88}"/>
            </c:ext>
          </c:extLst>
        </c:ser>
        <c:ser>
          <c:idx val="5"/>
          <c:order val="5"/>
          <c:tx>
            <c:strRef>
              <c:f>'Monthly August 2025'!$AM$97</c:f>
              <c:strCache>
                <c:ptCount val="1"/>
                <c:pt idx="0">
                  <c:v>Thursday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August 2025'!$AG$98:$AG$103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August 2025'!$AM$98:$AM$103</c:f>
              <c:numCache>
                <c:formatCode>General</c:formatCode>
                <c:ptCount val="6"/>
                <c:pt idx="0">
                  <c:v>330</c:v>
                </c:pt>
                <c:pt idx="1">
                  <c:v>116</c:v>
                </c:pt>
                <c:pt idx="2">
                  <c:v>350</c:v>
                </c:pt>
                <c:pt idx="3">
                  <c:v>98</c:v>
                </c:pt>
                <c:pt idx="4">
                  <c:v>107</c:v>
                </c:pt>
                <c:pt idx="5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DFC-4127-8786-FE93682EED88}"/>
            </c:ext>
          </c:extLst>
        </c:ser>
        <c:ser>
          <c:idx val="6"/>
          <c:order val="6"/>
          <c:tx>
            <c:strRef>
              <c:f>'Monthly August 2025'!$AN$97</c:f>
              <c:strCache>
                <c:ptCount val="1"/>
                <c:pt idx="0">
                  <c:v>Friday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'Monthly August 2025'!$AG$98:$AG$103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August 2025'!$AN$98:$AN$103</c:f>
              <c:numCache>
                <c:formatCode>General</c:formatCode>
                <c:ptCount val="6"/>
                <c:pt idx="0">
                  <c:v>191</c:v>
                </c:pt>
                <c:pt idx="1">
                  <c:v>67</c:v>
                </c:pt>
                <c:pt idx="2">
                  <c:v>222</c:v>
                </c:pt>
                <c:pt idx="3">
                  <c:v>67</c:v>
                </c:pt>
                <c:pt idx="4">
                  <c:v>57</c:v>
                </c:pt>
                <c:pt idx="5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DFC-4127-8786-FE93682EED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Room Attendance - 8/30/2025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August 2025'!$AG$144</c:f>
              <c:strCache>
                <c:ptCount val="1"/>
                <c:pt idx="0">
                  <c:v>Cardio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August 2025'!$AH$143:$AN$143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August 2025'!$AH$144:$AN$144</c:f>
              <c:numCache>
                <c:formatCode>General</c:formatCode>
                <c:ptCount val="7"/>
                <c:pt idx="0">
                  <c:v>178</c:v>
                </c:pt>
                <c:pt idx="1">
                  <c:v>167</c:v>
                </c:pt>
                <c:pt idx="2">
                  <c:v>343</c:v>
                </c:pt>
                <c:pt idx="3">
                  <c:v>312</c:v>
                </c:pt>
                <c:pt idx="4">
                  <c:v>287</c:v>
                </c:pt>
                <c:pt idx="5">
                  <c:v>266</c:v>
                </c:pt>
                <c:pt idx="6">
                  <c:v>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7E-464A-AC9F-3A83D632CBAB}"/>
            </c:ext>
          </c:extLst>
        </c:ser>
        <c:ser>
          <c:idx val="1"/>
          <c:order val="1"/>
          <c:tx>
            <c:strRef>
              <c:f>'Monthly August 2025'!$AG$145</c:f>
              <c:strCache>
                <c:ptCount val="1"/>
                <c:pt idx="0">
                  <c:v>eGym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August 2025'!$AH$143:$AN$143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August 2025'!$AH$145:$AN$145</c:f>
              <c:numCache>
                <c:formatCode>General</c:formatCode>
                <c:ptCount val="7"/>
                <c:pt idx="0">
                  <c:v>62</c:v>
                </c:pt>
                <c:pt idx="1">
                  <c:v>48</c:v>
                </c:pt>
                <c:pt idx="2">
                  <c:v>228</c:v>
                </c:pt>
                <c:pt idx="3">
                  <c:v>121</c:v>
                </c:pt>
                <c:pt idx="4">
                  <c:v>142</c:v>
                </c:pt>
                <c:pt idx="5">
                  <c:v>130</c:v>
                </c:pt>
                <c:pt idx="6">
                  <c:v>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7E-464A-AC9F-3A83D632CBAB}"/>
            </c:ext>
          </c:extLst>
        </c:ser>
        <c:ser>
          <c:idx val="2"/>
          <c:order val="2"/>
          <c:tx>
            <c:strRef>
              <c:f>'Monthly August 2025'!$AG$146</c:f>
              <c:strCache>
                <c:ptCount val="1"/>
                <c:pt idx="0">
                  <c:v>Free Weight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August 2025'!$AH$143:$AN$143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August 2025'!$AH$146:$AN$146</c:f>
              <c:numCache>
                <c:formatCode>General</c:formatCode>
                <c:ptCount val="7"/>
                <c:pt idx="0">
                  <c:v>160</c:v>
                </c:pt>
                <c:pt idx="1">
                  <c:v>128</c:v>
                </c:pt>
                <c:pt idx="2">
                  <c:v>390</c:v>
                </c:pt>
                <c:pt idx="3">
                  <c:v>347</c:v>
                </c:pt>
                <c:pt idx="4">
                  <c:v>298</c:v>
                </c:pt>
                <c:pt idx="5">
                  <c:v>277</c:v>
                </c:pt>
                <c:pt idx="6">
                  <c:v>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7E-464A-AC9F-3A83D632CBAB}"/>
            </c:ext>
          </c:extLst>
        </c:ser>
        <c:ser>
          <c:idx val="3"/>
          <c:order val="3"/>
          <c:tx>
            <c:strRef>
              <c:f>'Monthly August 2025'!$AG$147</c:f>
              <c:strCache>
                <c:ptCount val="1"/>
                <c:pt idx="0">
                  <c:v>Track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August 2025'!$AH$143:$AN$143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August 2025'!$AH$147:$AN$147</c:f>
              <c:numCache>
                <c:formatCode>General</c:formatCode>
                <c:ptCount val="7"/>
                <c:pt idx="0">
                  <c:v>46</c:v>
                </c:pt>
                <c:pt idx="1">
                  <c:v>55</c:v>
                </c:pt>
                <c:pt idx="2">
                  <c:v>104</c:v>
                </c:pt>
                <c:pt idx="3">
                  <c:v>82</c:v>
                </c:pt>
                <c:pt idx="4">
                  <c:v>91</c:v>
                </c:pt>
                <c:pt idx="5">
                  <c:v>82</c:v>
                </c:pt>
                <c:pt idx="6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27E-464A-AC9F-3A83D632CBAB}"/>
            </c:ext>
          </c:extLst>
        </c:ser>
        <c:ser>
          <c:idx val="4"/>
          <c:order val="4"/>
          <c:tx>
            <c:strRef>
              <c:f>'Monthly August 2025'!$AG$148</c:f>
              <c:strCache>
                <c:ptCount val="1"/>
                <c:pt idx="0">
                  <c:v>Stretch &amp; Core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August 2025'!$AH$143:$AN$143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August 2025'!$AH$148:$AN$148</c:f>
              <c:numCache>
                <c:formatCode>General</c:formatCode>
                <c:ptCount val="7"/>
                <c:pt idx="0">
                  <c:v>47</c:v>
                </c:pt>
                <c:pt idx="1">
                  <c:v>61</c:v>
                </c:pt>
                <c:pt idx="2">
                  <c:v>132</c:v>
                </c:pt>
                <c:pt idx="3">
                  <c:v>103</c:v>
                </c:pt>
                <c:pt idx="4">
                  <c:v>96</c:v>
                </c:pt>
                <c:pt idx="5">
                  <c:v>101</c:v>
                </c:pt>
                <c:pt idx="6">
                  <c:v>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27E-464A-AC9F-3A83D632CBAB}"/>
            </c:ext>
          </c:extLst>
        </c:ser>
        <c:ser>
          <c:idx val="5"/>
          <c:order val="5"/>
          <c:tx>
            <c:strRef>
              <c:f>'Monthly August 2025'!$AG$149</c:f>
              <c:strCache>
                <c:ptCount val="1"/>
                <c:pt idx="0">
                  <c:v>SPC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August 2025'!$AH$143:$AN$143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August 2025'!$AH$149:$AN$149</c:f>
              <c:numCache>
                <c:formatCode>General</c:formatCode>
                <c:ptCount val="7"/>
                <c:pt idx="0">
                  <c:v>71</c:v>
                </c:pt>
                <c:pt idx="1">
                  <c:v>38</c:v>
                </c:pt>
                <c:pt idx="2">
                  <c:v>163</c:v>
                </c:pt>
                <c:pt idx="3">
                  <c:v>128</c:v>
                </c:pt>
                <c:pt idx="4">
                  <c:v>103</c:v>
                </c:pt>
                <c:pt idx="5">
                  <c:v>111</c:v>
                </c:pt>
                <c:pt idx="6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27E-464A-AC9F-3A83D632CB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Room Popularity - Week of 8/23/2025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August 2025'!$AH$143</c:f>
              <c:strCache>
                <c:ptCount val="1"/>
                <c:pt idx="0">
                  <c:v>Saturday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August 2025'!$AG$144:$AG$149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August 2025'!$AH$144:$AH$149</c:f>
              <c:numCache>
                <c:formatCode>General</c:formatCode>
                <c:ptCount val="6"/>
                <c:pt idx="0">
                  <c:v>178</c:v>
                </c:pt>
                <c:pt idx="1">
                  <c:v>62</c:v>
                </c:pt>
                <c:pt idx="2">
                  <c:v>160</c:v>
                </c:pt>
                <c:pt idx="3">
                  <c:v>46</c:v>
                </c:pt>
                <c:pt idx="4">
                  <c:v>47</c:v>
                </c:pt>
                <c:pt idx="5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51-485B-AAC3-69E7270BF410}"/>
            </c:ext>
          </c:extLst>
        </c:ser>
        <c:ser>
          <c:idx val="1"/>
          <c:order val="1"/>
          <c:tx>
            <c:strRef>
              <c:f>'Monthly August 2025'!$AI$143</c:f>
              <c:strCache>
                <c:ptCount val="1"/>
                <c:pt idx="0">
                  <c:v>Sunday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August 2025'!$AG$144:$AG$149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August 2025'!$AI$144:$AI$149</c:f>
              <c:numCache>
                <c:formatCode>General</c:formatCode>
                <c:ptCount val="6"/>
                <c:pt idx="0">
                  <c:v>167</c:v>
                </c:pt>
                <c:pt idx="1">
                  <c:v>48</c:v>
                </c:pt>
                <c:pt idx="2">
                  <c:v>128</c:v>
                </c:pt>
                <c:pt idx="3">
                  <c:v>55</c:v>
                </c:pt>
                <c:pt idx="4">
                  <c:v>61</c:v>
                </c:pt>
                <c:pt idx="5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51-485B-AAC3-69E7270BF410}"/>
            </c:ext>
          </c:extLst>
        </c:ser>
        <c:ser>
          <c:idx val="2"/>
          <c:order val="2"/>
          <c:tx>
            <c:strRef>
              <c:f>'Monthly August 2025'!$AJ$143</c:f>
              <c:strCache>
                <c:ptCount val="1"/>
                <c:pt idx="0">
                  <c:v>Monday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August 2025'!$AG$144:$AG$149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August 2025'!$AJ$144:$AJ$149</c:f>
              <c:numCache>
                <c:formatCode>General</c:formatCode>
                <c:ptCount val="6"/>
                <c:pt idx="0">
                  <c:v>343</c:v>
                </c:pt>
                <c:pt idx="1">
                  <c:v>228</c:v>
                </c:pt>
                <c:pt idx="2">
                  <c:v>390</c:v>
                </c:pt>
                <c:pt idx="3">
                  <c:v>104</c:v>
                </c:pt>
                <c:pt idx="4">
                  <c:v>132</c:v>
                </c:pt>
                <c:pt idx="5">
                  <c:v>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51-485B-AAC3-69E7270BF410}"/>
            </c:ext>
          </c:extLst>
        </c:ser>
        <c:ser>
          <c:idx val="3"/>
          <c:order val="3"/>
          <c:tx>
            <c:strRef>
              <c:f>'Monthly August 2025'!$AK$143</c:f>
              <c:strCache>
                <c:ptCount val="1"/>
                <c:pt idx="0">
                  <c:v>Tuesday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August 2025'!$AG$144:$AG$149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August 2025'!$AK$144:$AK$149</c:f>
              <c:numCache>
                <c:formatCode>General</c:formatCode>
                <c:ptCount val="6"/>
                <c:pt idx="0">
                  <c:v>312</c:v>
                </c:pt>
                <c:pt idx="1">
                  <c:v>121</c:v>
                </c:pt>
                <c:pt idx="2">
                  <c:v>347</c:v>
                </c:pt>
                <c:pt idx="3">
                  <c:v>82</c:v>
                </c:pt>
                <c:pt idx="4">
                  <c:v>103</c:v>
                </c:pt>
                <c:pt idx="5">
                  <c:v>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451-485B-AAC3-69E7270BF410}"/>
            </c:ext>
          </c:extLst>
        </c:ser>
        <c:ser>
          <c:idx val="4"/>
          <c:order val="4"/>
          <c:tx>
            <c:strRef>
              <c:f>'Monthly August 2025'!$AL$143</c:f>
              <c:strCache>
                <c:ptCount val="1"/>
                <c:pt idx="0">
                  <c:v>Wednesday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August 2025'!$AG$144:$AG$149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August 2025'!$AL$144:$AL$149</c:f>
              <c:numCache>
                <c:formatCode>General</c:formatCode>
                <c:ptCount val="6"/>
                <c:pt idx="0">
                  <c:v>287</c:v>
                </c:pt>
                <c:pt idx="1">
                  <c:v>142</c:v>
                </c:pt>
                <c:pt idx="2">
                  <c:v>298</c:v>
                </c:pt>
                <c:pt idx="3">
                  <c:v>91</c:v>
                </c:pt>
                <c:pt idx="4">
                  <c:v>96</c:v>
                </c:pt>
                <c:pt idx="5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451-485B-AAC3-69E7270BF410}"/>
            </c:ext>
          </c:extLst>
        </c:ser>
        <c:ser>
          <c:idx val="5"/>
          <c:order val="5"/>
          <c:tx>
            <c:strRef>
              <c:f>'Monthly August 2025'!$AM$143</c:f>
              <c:strCache>
                <c:ptCount val="1"/>
                <c:pt idx="0">
                  <c:v>Thursday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August 2025'!$AG$144:$AG$149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August 2025'!$AM$144:$AM$149</c:f>
              <c:numCache>
                <c:formatCode>General</c:formatCode>
                <c:ptCount val="6"/>
                <c:pt idx="0">
                  <c:v>266</c:v>
                </c:pt>
                <c:pt idx="1">
                  <c:v>130</c:v>
                </c:pt>
                <c:pt idx="2">
                  <c:v>277</c:v>
                </c:pt>
                <c:pt idx="3">
                  <c:v>82</c:v>
                </c:pt>
                <c:pt idx="4">
                  <c:v>101</c:v>
                </c:pt>
                <c:pt idx="5">
                  <c:v>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451-485B-AAC3-69E7270BF410}"/>
            </c:ext>
          </c:extLst>
        </c:ser>
        <c:ser>
          <c:idx val="6"/>
          <c:order val="6"/>
          <c:tx>
            <c:strRef>
              <c:f>'Monthly August 2025'!$AN$143</c:f>
              <c:strCache>
                <c:ptCount val="1"/>
                <c:pt idx="0">
                  <c:v>Friday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'Monthly August 2025'!$AG$144:$AG$149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August 2025'!$AN$144:$AN$149</c:f>
              <c:numCache>
                <c:formatCode>General</c:formatCode>
                <c:ptCount val="6"/>
                <c:pt idx="0">
                  <c:v>281</c:v>
                </c:pt>
                <c:pt idx="1">
                  <c:v>111</c:v>
                </c:pt>
                <c:pt idx="2">
                  <c:v>257</c:v>
                </c:pt>
                <c:pt idx="3">
                  <c:v>66</c:v>
                </c:pt>
                <c:pt idx="4">
                  <c:v>94</c:v>
                </c:pt>
                <c:pt idx="5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451-485B-AAC3-69E7270BF4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Room Popularity - [Week]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August 2025'!$AH$189</c:f>
              <c:strCache>
                <c:ptCount val="1"/>
                <c:pt idx="0">
                  <c:v>Saturday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August 2025'!$AG$190:$AG$195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August 2025'!$AH$190:$AH$195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D5-48F1-9587-0FF3637A73E0}"/>
            </c:ext>
          </c:extLst>
        </c:ser>
        <c:ser>
          <c:idx val="1"/>
          <c:order val="1"/>
          <c:tx>
            <c:strRef>
              <c:f>'Monthly August 2025'!$AI$189</c:f>
              <c:strCache>
                <c:ptCount val="1"/>
                <c:pt idx="0">
                  <c:v>Sunday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August 2025'!$AG$190:$AG$195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August 2025'!$AI$190:$AI$195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D5-48F1-9587-0FF3637A73E0}"/>
            </c:ext>
          </c:extLst>
        </c:ser>
        <c:ser>
          <c:idx val="2"/>
          <c:order val="2"/>
          <c:tx>
            <c:strRef>
              <c:f>'Monthly August 2025'!$AJ$189</c:f>
              <c:strCache>
                <c:ptCount val="1"/>
                <c:pt idx="0">
                  <c:v>Monday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August 2025'!$AG$190:$AG$195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August 2025'!$AJ$190:$AJ$195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D5-48F1-9587-0FF3637A73E0}"/>
            </c:ext>
          </c:extLst>
        </c:ser>
        <c:ser>
          <c:idx val="3"/>
          <c:order val="3"/>
          <c:tx>
            <c:strRef>
              <c:f>'Monthly August 2025'!$AK$189</c:f>
              <c:strCache>
                <c:ptCount val="1"/>
                <c:pt idx="0">
                  <c:v>Tuesday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August 2025'!$AG$190:$AG$195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August 2025'!$AK$190:$AK$195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ED5-48F1-9587-0FF3637A73E0}"/>
            </c:ext>
          </c:extLst>
        </c:ser>
        <c:ser>
          <c:idx val="4"/>
          <c:order val="4"/>
          <c:tx>
            <c:strRef>
              <c:f>'Monthly August 2025'!$AL$189</c:f>
              <c:strCache>
                <c:ptCount val="1"/>
                <c:pt idx="0">
                  <c:v>Wednesday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August 2025'!$AG$190:$AG$195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August 2025'!$AL$190:$AL$195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ED5-48F1-9587-0FF3637A73E0}"/>
            </c:ext>
          </c:extLst>
        </c:ser>
        <c:ser>
          <c:idx val="5"/>
          <c:order val="5"/>
          <c:tx>
            <c:strRef>
              <c:f>'Monthly August 2025'!$AM$189</c:f>
              <c:strCache>
                <c:ptCount val="1"/>
                <c:pt idx="0">
                  <c:v>Thursday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August 2025'!$AG$190:$AG$195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August 2025'!$AM$190:$AM$195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ED5-48F1-9587-0FF3637A73E0}"/>
            </c:ext>
          </c:extLst>
        </c:ser>
        <c:ser>
          <c:idx val="6"/>
          <c:order val="6"/>
          <c:tx>
            <c:strRef>
              <c:f>'Monthly August 2025'!$AN$189</c:f>
              <c:strCache>
                <c:ptCount val="1"/>
                <c:pt idx="0">
                  <c:v>Friday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'Monthly August 2025'!$AG$190:$AG$195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August 2025'!$AN$190:$AN$195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ED5-48F1-9587-0FF3637A73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Room Attendance - [Week]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August 2025'!$AG$190</c:f>
              <c:strCache>
                <c:ptCount val="1"/>
                <c:pt idx="0">
                  <c:v>Cardio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August 2025'!$AH$189:$AN$189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August 2025'!$AH$190:$AN$190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29-48DB-84A5-FEB392FEB804}"/>
            </c:ext>
          </c:extLst>
        </c:ser>
        <c:ser>
          <c:idx val="1"/>
          <c:order val="1"/>
          <c:tx>
            <c:strRef>
              <c:f>'Monthly August 2025'!$AG$191</c:f>
              <c:strCache>
                <c:ptCount val="1"/>
                <c:pt idx="0">
                  <c:v>eGym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August 2025'!$AH$189:$AN$189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August 2025'!$AH$191:$AN$191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29-48DB-84A5-FEB392FEB804}"/>
            </c:ext>
          </c:extLst>
        </c:ser>
        <c:ser>
          <c:idx val="2"/>
          <c:order val="2"/>
          <c:tx>
            <c:strRef>
              <c:f>'Monthly August 2025'!$AG$192</c:f>
              <c:strCache>
                <c:ptCount val="1"/>
                <c:pt idx="0">
                  <c:v>Free Weight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August 2025'!$AH$189:$AN$189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August 2025'!$AH$192:$AN$192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29-48DB-84A5-FEB392FEB804}"/>
            </c:ext>
          </c:extLst>
        </c:ser>
        <c:ser>
          <c:idx val="3"/>
          <c:order val="3"/>
          <c:tx>
            <c:strRef>
              <c:f>'Monthly August 2025'!$AG$193</c:f>
              <c:strCache>
                <c:ptCount val="1"/>
                <c:pt idx="0">
                  <c:v>Track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August 2025'!$AH$189:$AN$189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August 2025'!$AH$193:$AN$193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B29-48DB-84A5-FEB392FEB804}"/>
            </c:ext>
          </c:extLst>
        </c:ser>
        <c:ser>
          <c:idx val="4"/>
          <c:order val="4"/>
          <c:tx>
            <c:strRef>
              <c:f>'Monthly August 2025'!$AG$194</c:f>
              <c:strCache>
                <c:ptCount val="1"/>
                <c:pt idx="0">
                  <c:v>Stretch &amp; Core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August 2025'!$AH$189:$AN$189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August 2025'!$AH$194:$AN$194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B29-48DB-84A5-FEB392FEB804}"/>
            </c:ext>
          </c:extLst>
        </c:ser>
        <c:ser>
          <c:idx val="5"/>
          <c:order val="5"/>
          <c:tx>
            <c:strRef>
              <c:f>'Monthly August 2025'!$AG$195</c:f>
              <c:strCache>
                <c:ptCount val="1"/>
                <c:pt idx="0">
                  <c:v>SPC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August 2025'!$AH$189:$AN$189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August 2025'!$AH$195:$AN$195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B29-48DB-84A5-FEB392FEB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Room Attendance - August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August 2025'!$AP$6</c:f>
              <c:strCache>
                <c:ptCount val="1"/>
                <c:pt idx="0">
                  <c:v>Cardio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August 2025'!$AQ$5:$AW$5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August 2025'!$AQ$6:$AW$6</c:f>
              <c:numCache>
                <c:formatCode>General</c:formatCode>
                <c:ptCount val="7"/>
                <c:pt idx="0">
                  <c:v>594</c:v>
                </c:pt>
                <c:pt idx="1">
                  <c:v>521</c:v>
                </c:pt>
                <c:pt idx="2">
                  <c:v>1454</c:v>
                </c:pt>
                <c:pt idx="3">
                  <c:v>1368</c:v>
                </c:pt>
                <c:pt idx="4">
                  <c:v>1302</c:v>
                </c:pt>
                <c:pt idx="5">
                  <c:v>1265</c:v>
                </c:pt>
                <c:pt idx="6">
                  <c:v>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1F-4B0D-BFB4-75FEB3291FEB}"/>
            </c:ext>
          </c:extLst>
        </c:ser>
        <c:ser>
          <c:idx val="1"/>
          <c:order val="1"/>
          <c:tx>
            <c:strRef>
              <c:f>'Monthly August 2025'!$AP$7</c:f>
              <c:strCache>
                <c:ptCount val="1"/>
                <c:pt idx="0">
                  <c:v>eGym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August 2025'!$AQ$5:$AW$5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August 2025'!$AQ$7:$AW$7</c:f>
              <c:numCache>
                <c:formatCode>General</c:formatCode>
                <c:ptCount val="7"/>
                <c:pt idx="0">
                  <c:v>189</c:v>
                </c:pt>
                <c:pt idx="1">
                  <c:v>142</c:v>
                </c:pt>
                <c:pt idx="2">
                  <c:v>717</c:v>
                </c:pt>
                <c:pt idx="3">
                  <c:v>494</c:v>
                </c:pt>
                <c:pt idx="4">
                  <c:v>586</c:v>
                </c:pt>
                <c:pt idx="5">
                  <c:v>522</c:v>
                </c:pt>
                <c:pt idx="6">
                  <c:v>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1F-4B0D-BFB4-75FEB3291FEB}"/>
            </c:ext>
          </c:extLst>
        </c:ser>
        <c:ser>
          <c:idx val="2"/>
          <c:order val="2"/>
          <c:tx>
            <c:strRef>
              <c:f>'Monthly August 2025'!$AP$8</c:f>
              <c:strCache>
                <c:ptCount val="1"/>
                <c:pt idx="0">
                  <c:v>Free Weight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August 2025'!$AQ$5:$AW$5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August 2025'!$AQ$8:$AW$8</c:f>
              <c:numCache>
                <c:formatCode>General</c:formatCode>
                <c:ptCount val="7"/>
                <c:pt idx="0">
                  <c:v>543</c:v>
                </c:pt>
                <c:pt idx="1">
                  <c:v>448</c:v>
                </c:pt>
                <c:pt idx="2">
                  <c:v>1624</c:v>
                </c:pt>
                <c:pt idx="3">
                  <c:v>1571</c:v>
                </c:pt>
                <c:pt idx="4">
                  <c:v>1251</c:v>
                </c:pt>
                <c:pt idx="5">
                  <c:v>1282</c:v>
                </c:pt>
                <c:pt idx="6">
                  <c:v>1044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1F-4B0D-BFB4-75FEB3291FEB}"/>
            </c:ext>
          </c:extLst>
        </c:ser>
        <c:ser>
          <c:idx val="3"/>
          <c:order val="3"/>
          <c:tx>
            <c:strRef>
              <c:f>'Monthly August 2025'!$AP$9</c:f>
              <c:strCache>
                <c:ptCount val="1"/>
                <c:pt idx="0">
                  <c:v>Track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August 2025'!$AQ$5:$AW$5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August 2025'!$AQ$9:$AW$9</c:f>
              <c:numCache>
                <c:formatCode>General</c:formatCode>
                <c:ptCount val="7"/>
                <c:pt idx="0">
                  <c:v>134</c:v>
                </c:pt>
                <c:pt idx="1">
                  <c:v>152</c:v>
                </c:pt>
                <c:pt idx="2">
                  <c:v>416</c:v>
                </c:pt>
                <c:pt idx="3">
                  <c:v>369</c:v>
                </c:pt>
                <c:pt idx="4">
                  <c:v>365</c:v>
                </c:pt>
                <c:pt idx="5">
                  <c:v>354</c:v>
                </c:pt>
                <c:pt idx="6">
                  <c:v>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B1F-4B0D-BFB4-75FEB3291FEB}"/>
            </c:ext>
          </c:extLst>
        </c:ser>
        <c:ser>
          <c:idx val="4"/>
          <c:order val="4"/>
          <c:tx>
            <c:strRef>
              <c:f>'Monthly August 2025'!$AP$10</c:f>
              <c:strCache>
                <c:ptCount val="1"/>
                <c:pt idx="0">
                  <c:v>Stretch &amp; Core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August 2025'!$AQ$5:$AW$5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August 2025'!$AQ$10:$AW$10</c:f>
              <c:numCache>
                <c:formatCode>General</c:formatCode>
                <c:ptCount val="7"/>
                <c:pt idx="0">
                  <c:v>175</c:v>
                </c:pt>
                <c:pt idx="1">
                  <c:v>175</c:v>
                </c:pt>
                <c:pt idx="2">
                  <c:v>467</c:v>
                </c:pt>
                <c:pt idx="3">
                  <c:v>426</c:v>
                </c:pt>
                <c:pt idx="4">
                  <c:v>406</c:v>
                </c:pt>
                <c:pt idx="5">
                  <c:v>420</c:v>
                </c:pt>
                <c:pt idx="6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B1F-4B0D-BFB4-75FEB3291FEB}"/>
            </c:ext>
          </c:extLst>
        </c:ser>
        <c:ser>
          <c:idx val="5"/>
          <c:order val="5"/>
          <c:tx>
            <c:strRef>
              <c:f>'Monthly August 2025'!$AP$11</c:f>
              <c:strCache>
                <c:ptCount val="1"/>
                <c:pt idx="0">
                  <c:v>SPC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August 2025'!$AQ$5:$AW$5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August 2025'!$AQ$11:$AW$11</c:f>
              <c:numCache>
                <c:formatCode>General</c:formatCode>
                <c:ptCount val="7"/>
                <c:pt idx="0">
                  <c:v>237</c:v>
                </c:pt>
                <c:pt idx="1">
                  <c:v>129</c:v>
                </c:pt>
                <c:pt idx="2">
                  <c:v>593</c:v>
                </c:pt>
                <c:pt idx="3">
                  <c:v>509</c:v>
                </c:pt>
                <c:pt idx="4">
                  <c:v>462</c:v>
                </c:pt>
                <c:pt idx="5">
                  <c:v>455</c:v>
                </c:pt>
                <c:pt idx="6">
                  <c:v>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B1F-4B0D-BFB4-75FEB3291F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Room Popularity - [Week]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September 2025'!$AH$5</c:f>
              <c:strCache>
                <c:ptCount val="1"/>
                <c:pt idx="0">
                  <c:v>Saturday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September 2025'!$AG$6:$AG$11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September 2025'!$AH$6:$AH$11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42-46CB-AF69-C72A676FCCE8}"/>
            </c:ext>
          </c:extLst>
        </c:ser>
        <c:ser>
          <c:idx val="1"/>
          <c:order val="1"/>
          <c:tx>
            <c:strRef>
              <c:f>'Monthly September 2025'!$AI$5</c:f>
              <c:strCache>
                <c:ptCount val="1"/>
                <c:pt idx="0">
                  <c:v>Sunday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September 2025'!$AG$6:$AG$11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September 2025'!$AI$6:$AI$11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42-46CB-AF69-C72A676FCCE8}"/>
            </c:ext>
          </c:extLst>
        </c:ser>
        <c:ser>
          <c:idx val="2"/>
          <c:order val="2"/>
          <c:tx>
            <c:strRef>
              <c:f>'Monthly September 2025'!$AJ$5</c:f>
              <c:strCache>
                <c:ptCount val="1"/>
                <c:pt idx="0">
                  <c:v>Monday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September 2025'!$AG$6:$AG$11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September 2025'!$AJ$6:$AJ$11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42-46CB-AF69-C72A676FCCE8}"/>
            </c:ext>
          </c:extLst>
        </c:ser>
        <c:ser>
          <c:idx val="3"/>
          <c:order val="3"/>
          <c:tx>
            <c:strRef>
              <c:f>'Monthly September 2025'!$AK$5</c:f>
              <c:strCache>
                <c:ptCount val="1"/>
                <c:pt idx="0">
                  <c:v>Tuesday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September 2025'!$AG$6:$AG$11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September 2025'!$AK$6:$AK$11</c:f>
              <c:numCache>
                <c:formatCode>General</c:formatCode>
                <c:ptCount val="6"/>
                <c:pt idx="0">
                  <c:v>302</c:v>
                </c:pt>
                <c:pt idx="1">
                  <c:v>114</c:v>
                </c:pt>
                <c:pt idx="2">
                  <c:v>330</c:v>
                </c:pt>
                <c:pt idx="3">
                  <c:v>71</c:v>
                </c:pt>
                <c:pt idx="4">
                  <c:v>105</c:v>
                </c:pt>
                <c:pt idx="5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442-46CB-AF69-C72A676FCCE8}"/>
            </c:ext>
          </c:extLst>
        </c:ser>
        <c:ser>
          <c:idx val="4"/>
          <c:order val="4"/>
          <c:tx>
            <c:strRef>
              <c:f>'Monthly September 2025'!$AL$5</c:f>
              <c:strCache>
                <c:ptCount val="1"/>
                <c:pt idx="0">
                  <c:v>Wednesday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September 2025'!$AG$6:$AG$11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September 2025'!$AL$6:$AL$11</c:f>
              <c:numCache>
                <c:formatCode>General</c:formatCode>
                <c:ptCount val="6"/>
                <c:pt idx="0">
                  <c:v>273</c:v>
                </c:pt>
                <c:pt idx="1">
                  <c:v>143</c:v>
                </c:pt>
                <c:pt idx="2">
                  <c:v>352</c:v>
                </c:pt>
                <c:pt idx="3">
                  <c:v>79</c:v>
                </c:pt>
                <c:pt idx="4">
                  <c:v>81</c:v>
                </c:pt>
                <c:pt idx="5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442-46CB-AF69-C72A676FCCE8}"/>
            </c:ext>
          </c:extLst>
        </c:ser>
        <c:ser>
          <c:idx val="5"/>
          <c:order val="5"/>
          <c:tx>
            <c:strRef>
              <c:f>'Monthly September 2025'!$AM$5</c:f>
              <c:strCache>
                <c:ptCount val="1"/>
                <c:pt idx="0">
                  <c:v>Thursday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September 2025'!$AG$6:$AG$11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September 2025'!$AM$6:$AM$11</c:f>
              <c:numCache>
                <c:formatCode>General</c:formatCode>
                <c:ptCount val="6"/>
                <c:pt idx="0">
                  <c:v>303</c:v>
                </c:pt>
                <c:pt idx="1">
                  <c:v>135</c:v>
                </c:pt>
                <c:pt idx="2">
                  <c:v>310</c:v>
                </c:pt>
                <c:pt idx="3">
                  <c:v>118</c:v>
                </c:pt>
                <c:pt idx="4">
                  <c:v>119</c:v>
                </c:pt>
                <c:pt idx="5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442-46CB-AF69-C72A676FCCE8}"/>
            </c:ext>
          </c:extLst>
        </c:ser>
        <c:ser>
          <c:idx val="6"/>
          <c:order val="6"/>
          <c:tx>
            <c:strRef>
              <c:f>'Monthly September 2025'!$AN$5</c:f>
              <c:strCache>
                <c:ptCount val="1"/>
                <c:pt idx="0">
                  <c:v>Friday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'Monthly September 2025'!$AG$6:$AG$11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September 2025'!$AN$6:$AN$11</c:f>
              <c:numCache>
                <c:formatCode>General</c:formatCode>
                <c:ptCount val="6"/>
                <c:pt idx="0">
                  <c:v>293</c:v>
                </c:pt>
                <c:pt idx="1">
                  <c:v>140</c:v>
                </c:pt>
                <c:pt idx="2">
                  <c:v>256</c:v>
                </c:pt>
                <c:pt idx="3">
                  <c:v>78</c:v>
                </c:pt>
                <c:pt idx="4">
                  <c:v>95</c:v>
                </c:pt>
                <c:pt idx="5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442-46CB-AF69-C72A676FCC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Room Attendance - [Week]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September 2025'!$AG$6</c:f>
              <c:strCache>
                <c:ptCount val="1"/>
                <c:pt idx="0">
                  <c:v>Cardio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September 2025'!$AH$5:$AN$5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September 2025'!$AH$6:$AN$6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302</c:v>
                </c:pt>
                <c:pt idx="4">
                  <c:v>273</c:v>
                </c:pt>
                <c:pt idx="5">
                  <c:v>303</c:v>
                </c:pt>
                <c:pt idx="6">
                  <c:v>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10-437D-AF91-AC569BD448A3}"/>
            </c:ext>
          </c:extLst>
        </c:ser>
        <c:ser>
          <c:idx val="1"/>
          <c:order val="1"/>
          <c:tx>
            <c:strRef>
              <c:f>'Monthly September 2025'!$AG$7</c:f>
              <c:strCache>
                <c:ptCount val="1"/>
                <c:pt idx="0">
                  <c:v>eGym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September 2025'!$AH$5:$AN$5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September 2025'!$AH$7:$AN$7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114</c:v>
                </c:pt>
                <c:pt idx="4">
                  <c:v>143</c:v>
                </c:pt>
                <c:pt idx="5">
                  <c:v>135</c:v>
                </c:pt>
                <c:pt idx="6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10-437D-AF91-AC569BD448A3}"/>
            </c:ext>
          </c:extLst>
        </c:ser>
        <c:ser>
          <c:idx val="2"/>
          <c:order val="2"/>
          <c:tx>
            <c:strRef>
              <c:f>'Monthly September 2025'!$AG$8</c:f>
              <c:strCache>
                <c:ptCount val="1"/>
                <c:pt idx="0">
                  <c:v>Free Weight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September 2025'!$AH$5:$AN$5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September 2025'!$AH$8:$AN$8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330</c:v>
                </c:pt>
                <c:pt idx="4">
                  <c:v>352</c:v>
                </c:pt>
                <c:pt idx="5">
                  <c:v>310</c:v>
                </c:pt>
                <c:pt idx="6">
                  <c:v>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10-437D-AF91-AC569BD448A3}"/>
            </c:ext>
          </c:extLst>
        </c:ser>
        <c:ser>
          <c:idx val="3"/>
          <c:order val="3"/>
          <c:tx>
            <c:strRef>
              <c:f>'Monthly September 2025'!$AG$9</c:f>
              <c:strCache>
                <c:ptCount val="1"/>
                <c:pt idx="0">
                  <c:v>Track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September 2025'!$AH$5:$AN$5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September 2025'!$AH$9:$AN$9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71</c:v>
                </c:pt>
                <c:pt idx="4">
                  <c:v>79</c:v>
                </c:pt>
                <c:pt idx="5">
                  <c:v>118</c:v>
                </c:pt>
                <c:pt idx="6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910-437D-AF91-AC569BD448A3}"/>
            </c:ext>
          </c:extLst>
        </c:ser>
        <c:ser>
          <c:idx val="4"/>
          <c:order val="4"/>
          <c:tx>
            <c:strRef>
              <c:f>'Monthly September 2025'!$AG$10</c:f>
              <c:strCache>
                <c:ptCount val="1"/>
                <c:pt idx="0">
                  <c:v>Stretch &amp; Core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September 2025'!$AH$5:$AN$5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September 2025'!$AH$10:$AN$10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105</c:v>
                </c:pt>
                <c:pt idx="4">
                  <c:v>81</c:v>
                </c:pt>
                <c:pt idx="5">
                  <c:v>119</c:v>
                </c:pt>
                <c:pt idx="6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910-437D-AF91-AC569BD448A3}"/>
            </c:ext>
          </c:extLst>
        </c:ser>
        <c:ser>
          <c:idx val="5"/>
          <c:order val="5"/>
          <c:tx>
            <c:strRef>
              <c:f>'Monthly September 2025'!$AG$11</c:f>
              <c:strCache>
                <c:ptCount val="1"/>
                <c:pt idx="0">
                  <c:v>SPC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September 2025'!$AH$5:$AN$5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September 2025'!$AH$11:$AN$11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107</c:v>
                </c:pt>
                <c:pt idx="4">
                  <c:v>115</c:v>
                </c:pt>
                <c:pt idx="5">
                  <c:v>104</c:v>
                </c:pt>
                <c:pt idx="6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910-437D-AF91-AC569BD448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Room Popularity - [Week]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September 2025'!$AH$51</c:f>
              <c:strCache>
                <c:ptCount val="1"/>
                <c:pt idx="0">
                  <c:v>Saturday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September 2025'!$AG$52:$AG$57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September 2025'!$AH$52:$AH$57</c:f>
              <c:numCache>
                <c:formatCode>General</c:formatCode>
                <c:ptCount val="6"/>
                <c:pt idx="0">
                  <c:v>201</c:v>
                </c:pt>
                <c:pt idx="1">
                  <c:v>59</c:v>
                </c:pt>
                <c:pt idx="2">
                  <c:v>152</c:v>
                </c:pt>
                <c:pt idx="3">
                  <c:v>45</c:v>
                </c:pt>
                <c:pt idx="4">
                  <c:v>71</c:v>
                </c:pt>
                <c:pt idx="5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03-4618-B43C-538B9B626D0F}"/>
            </c:ext>
          </c:extLst>
        </c:ser>
        <c:ser>
          <c:idx val="1"/>
          <c:order val="1"/>
          <c:tx>
            <c:strRef>
              <c:f>'Monthly September 2025'!$AI$51</c:f>
              <c:strCache>
                <c:ptCount val="1"/>
                <c:pt idx="0">
                  <c:v>Sunday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September 2025'!$AG$52:$AG$57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September 2025'!$AI$52:$AI$57</c:f>
              <c:numCache>
                <c:formatCode>General</c:formatCode>
                <c:ptCount val="6"/>
                <c:pt idx="0">
                  <c:v>202</c:v>
                </c:pt>
                <c:pt idx="1">
                  <c:v>41</c:v>
                </c:pt>
                <c:pt idx="2">
                  <c:v>98</c:v>
                </c:pt>
                <c:pt idx="3">
                  <c:v>41</c:v>
                </c:pt>
                <c:pt idx="4">
                  <c:v>37</c:v>
                </c:pt>
                <c:pt idx="5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03-4618-B43C-538B9B626D0F}"/>
            </c:ext>
          </c:extLst>
        </c:ser>
        <c:ser>
          <c:idx val="2"/>
          <c:order val="2"/>
          <c:tx>
            <c:strRef>
              <c:f>'Monthly September 2025'!$AJ$51</c:f>
              <c:strCache>
                <c:ptCount val="1"/>
                <c:pt idx="0">
                  <c:v>Monday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September 2025'!$AG$52:$AG$57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September 2025'!$AJ$52:$AJ$57</c:f>
              <c:numCache>
                <c:formatCode>General</c:formatCode>
                <c:ptCount val="6"/>
                <c:pt idx="0">
                  <c:v>325</c:v>
                </c:pt>
                <c:pt idx="1">
                  <c:v>158</c:v>
                </c:pt>
                <c:pt idx="2">
                  <c:v>370</c:v>
                </c:pt>
                <c:pt idx="3">
                  <c:v>85</c:v>
                </c:pt>
                <c:pt idx="4">
                  <c:v>137</c:v>
                </c:pt>
                <c:pt idx="5">
                  <c:v>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03-4618-B43C-538B9B626D0F}"/>
            </c:ext>
          </c:extLst>
        </c:ser>
        <c:ser>
          <c:idx val="3"/>
          <c:order val="3"/>
          <c:tx>
            <c:strRef>
              <c:f>'Monthly September 2025'!$AK$51</c:f>
              <c:strCache>
                <c:ptCount val="1"/>
                <c:pt idx="0">
                  <c:v>Tuesday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September 2025'!$AG$52:$AG$57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September 2025'!$AK$52:$AK$57</c:f>
              <c:numCache>
                <c:formatCode>General</c:formatCode>
                <c:ptCount val="6"/>
                <c:pt idx="0">
                  <c:v>307</c:v>
                </c:pt>
                <c:pt idx="1">
                  <c:v>112</c:v>
                </c:pt>
                <c:pt idx="2">
                  <c:v>318</c:v>
                </c:pt>
                <c:pt idx="3">
                  <c:v>80</c:v>
                </c:pt>
                <c:pt idx="4">
                  <c:v>88</c:v>
                </c:pt>
                <c:pt idx="5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C03-4618-B43C-538B9B626D0F}"/>
            </c:ext>
          </c:extLst>
        </c:ser>
        <c:ser>
          <c:idx val="4"/>
          <c:order val="4"/>
          <c:tx>
            <c:strRef>
              <c:f>'Monthly September 2025'!$AL$51</c:f>
              <c:strCache>
                <c:ptCount val="1"/>
                <c:pt idx="0">
                  <c:v>Wednesday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September 2025'!$AG$52:$AG$57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September 2025'!$AL$52:$AL$57</c:f>
              <c:numCache>
                <c:formatCode>General</c:formatCode>
                <c:ptCount val="6"/>
                <c:pt idx="0">
                  <c:v>309</c:v>
                </c:pt>
                <c:pt idx="1">
                  <c:v>137</c:v>
                </c:pt>
                <c:pt idx="2">
                  <c:v>312</c:v>
                </c:pt>
                <c:pt idx="3">
                  <c:v>77</c:v>
                </c:pt>
                <c:pt idx="4">
                  <c:v>94</c:v>
                </c:pt>
                <c:pt idx="5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C03-4618-B43C-538B9B626D0F}"/>
            </c:ext>
          </c:extLst>
        </c:ser>
        <c:ser>
          <c:idx val="5"/>
          <c:order val="5"/>
          <c:tx>
            <c:strRef>
              <c:f>'Monthly September 2025'!$AM$51</c:f>
              <c:strCache>
                <c:ptCount val="1"/>
                <c:pt idx="0">
                  <c:v>Thursday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September 2025'!$AG$52:$AG$57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September 2025'!$AM$52:$AM$57</c:f>
              <c:numCache>
                <c:formatCode>General</c:formatCode>
                <c:ptCount val="6"/>
                <c:pt idx="0">
                  <c:v>295</c:v>
                </c:pt>
                <c:pt idx="1">
                  <c:v>118</c:v>
                </c:pt>
                <c:pt idx="2">
                  <c:v>267</c:v>
                </c:pt>
                <c:pt idx="3">
                  <c:v>74</c:v>
                </c:pt>
                <c:pt idx="4">
                  <c:v>85</c:v>
                </c:pt>
                <c:pt idx="5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C03-4618-B43C-538B9B626D0F}"/>
            </c:ext>
          </c:extLst>
        </c:ser>
        <c:ser>
          <c:idx val="6"/>
          <c:order val="6"/>
          <c:tx>
            <c:strRef>
              <c:f>'Monthly September 2025'!$AN$51</c:f>
              <c:strCache>
                <c:ptCount val="1"/>
                <c:pt idx="0">
                  <c:v>Friday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'Monthly September 2025'!$AG$52:$AG$57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September 2025'!$AN$52:$AN$57</c:f>
              <c:numCache>
                <c:formatCode>General</c:formatCode>
                <c:ptCount val="6"/>
                <c:pt idx="0">
                  <c:v>248</c:v>
                </c:pt>
                <c:pt idx="1">
                  <c:v>144</c:v>
                </c:pt>
                <c:pt idx="2">
                  <c:v>213</c:v>
                </c:pt>
                <c:pt idx="3">
                  <c:v>45</c:v>
                </c:pt>
                <c:pt idx="4">
                  <c:v>76</c:v>
                </c:pt>
                <c:pt idx="5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C03-4618-B43C-538B9B626D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Room Attendance - [Week]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September 2025'!$AG$52</c:f>
              <c:strCache>
                <c:ptCount val="1"/>
                <c:pt idx="0">
                  <c:v>Cardio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September 2025'!$AH$51:$AN$51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September 2025'!$AH$52:$AN$52</c:f>
              <c:numCache>
                <c:formatCode>General</c:formatCode>
                <c:ptCount val="7"/>
                <c:pt idx="0">
                  <c:v>201</c:v>
                </c:pt>
                <c:pt idx="1">
                  <c:v>202</c:v>
                </c:pt>
                <c:pt idx="2">
                  <c:v>325</c:v>
                </c:pt>
                <c:pt idx="3">
                  <c:v>307</c:v>
                </c:pt>
                <c:pt idx="4">
                  <c:v>309</c:v>
                </c:pt>
                <c:pt idx="5">
                  <c:v>295</c:v>
                </c:pt>
                <c:pt idx="6">
                  <c:v>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2B-4BC8-92DB-EAA116F27080}"/>
            </c:ext>
          </c:extLst>
        </c:ser>
        <c:ser>
          <c:idx val="1"/>
          <c:order val="1"/>
          <c:tx>
            <c:strRef>
              <c:f>'Monthly September 2025'!$AG$53</c:f>
              <c:strCache>
                <c:ptCount val="1"/>
                <c:pt idx="0">
                  <c:v>eGym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September 2025'!$AH$51:$AN$51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September 2025'!$AH$53:$AN$53</c:f>
              <c:numCache>
                <c:formatCode>General</c:formatCode>
                <c:ptCount val="7"/>
                <c:pt idx="0">
                  <c:v>59</c:v>
                </c:pt>
                <c:pt idx="1">
                  <c:v>41</c:v>
                </c:pt>
                <c:pt idx="2">
                  <c:v>158</c:v>
                </c:pt>
                <c:pt idx="3">
                  <c:v>112</c:v>
                </c:pt>
                <c:pt idx="4">
                  <c:v>137</c:v>
                </c:pt>
                <c:pt idx="5">
                  <c:v>118</c:v>
                </c:pt>
                <c:pt idx="6">
                  <c:v>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2B-4BC8-92DB-EAA116F27080}"/>
            </c:ext>
          </c:extLst>
        </c:ser>
        <c:ser>
          <c:idx val="2"/>
          <c:order val="2"/>
          <c:tx>
            <c:strRef>
              <c:f>'Monthly September 2025'!$AG$54</c:f>
              <c:strCache>
                <c:ptCount val="1"/>
                <c:pt idx="0">
                  <c:v>Free Weight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September 2025'!$AH$51:$AN$51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September 2025'!$AH$54:$AN$54</c:f>
              <c:numCache>
                <c:formatCode>General</c:formatCode>
                <c:ptCount val="7"/>
                <c:pt idx="0">
                  <c:v>152</c:v>
                </c:pt>
                <c:pt idx="1">
                  <c:v>98</c:v>
                </c:pt>
                <c:pt idx="2">
                  <c:v>370</c:v>
                </c:pt>
                <c:pt idx="3">
                  <c:v>318</c:v>
                </c:pt>
                <c:pt idx="4">
                  <c:v>312</c:v>
                </c:pt>
                <c:pt idx="5">
                  <c:v>267</c:v>
                </c:pt>
                <c:pt idx="6">
                  <c:v>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2B-4BC8-92DB-EAA116F27080}"/>
            </c:ext>
          </c:extLst>
        </c:ser>
        <c:ser>
          <c:idx val="3"/>
          <c:order val="3"/>
          <c:tx>
            <c:strRef>
              <c:f>'Monthly September 2025'!$AG$55</c:f>
              <c:strCache>
                <c:ptCount val="1"/>
                <c:pt idx="0">
                  <c:v>Track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September 2025'!$AH$51:$AN$51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September 2025'!$AH$55:$AN$55</c:f>
              <c:numCache>
                <c:formatCode>General</c:formatCode>
                <c:ptCount val="7"/>
                <c:pt idx="0">
                  <c:v>45</c:v>
                </c:pt>
                <c:pt idx="1">
                  <c:v>41</c:v>
                </c:pt>
                <c:pt idx="2">
                  <c:v>85</c:v>
                </c:pt>
                <c:pt idx="3">
                  <c:v>80</c:v>
                </c:pt>
                <c:pt idx="4">
                  <c:v>77</c:v>
                </c:pt>
                <c:pt idx="5">
                  <c:v>74</c:v>
                </c:pt>
                <c:pt idx="6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2B-4BC8-92DB-EAA116F27080}"/>
            </c:ext>
          </c:extLst>
        </c:ser>
        <c:ser>
          <c:idx val="4"/>
          <c:order val="4"/>
          <c:tx>
            <c:strRef>
              <c:f>'Monthly September 2025'!$AG$56</c:f>
              <c:strCache>
                <c:ptCount val="1"/>
                <c:pt idx="0">
                  <c:v>Stretch &amp; Core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September 2025'!$AH$51:$AN$51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September 2025'!$AH$56:$AN$56</c:f>
              <c:numCache>
                <c:formatCode>General</c:formatCode>
                <c:ptCount val="7"/>
                <c:pt idx="0">
                  <c:v>71</c:v>
                </c:pt>
                <c:pt idx="1">
                  <c:v>37</c:v>
                </c:pt>
                <c:pt idx="2">
                  <c:v>137</c:v>
                </c:pt>
                <c:pt idx="3">
                  <c:v>88</c:v>
                </c:pt>
                <c:pt idx="4">
                  <c:v>94</c:v>
                </c:pt>
                <c:pt idx="5">
                  <c:v>85</c:v>
                </c:pt>
                <c:pt idx="6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02B-4BC8-92DB-EAA116F27080}"/>
            </c:ext>
          </c:extLst>
        </c:ser>
        <c:ser>
          <c:idx val="5"/>
          <c:order val="5"/>
          <c:tx>
            <c:strRef>
              <c:f>'Monthly September 2025'!$AG$57</c:f>
              <c:strCache>
                <c:ptCount val="1"/>
                <c:pt idx="0">
                  <c:v>SPC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September 2025'!$AH$51:$AN$51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September 2025'!$AH$57:$AN$57</c:f>
              <c:numCache>
                <c:formatCode>General</c:formatCode>
                <c:ptCount val="7"/>
                <c:pt idx="0">
                  <c:v>41</c:v>
                </c:pt>
                <c:pt idx="1">
                  <c:v>36</c:v>
                </c:pt>
                <c:pt idx="2">
                  <c:v>119</c:v>
                </c:pt>
                <c:pt idx="3">
                  <c:v>96</c:v>
                </c:pt>
                <c:pt idx="4">
                  <c:v>95</c:v>
                </c:pt>
                <c:pt idx="5">
                  <c:v>101</c:v>
                </c:pt>
                <c:pt idx="6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02B-4BC8-92DB-EAA116F270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Room Attendance - [Week]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September 2025'!$AG$98</c:f>
              <c:strCache>
                <c:ptCount val="1"/>
                <c:pt idx="0">
                  <c:v>Cardio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September 2025'!$AH$97:$AN$97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September 2025'!$AH$98:$AN$98</c:f>
              <c:numCache>
                <c:formatCode>General</c:formatCode>
                <c:ptCount val="7"/>
                <c:pt idx="0">
                  <c:v>167</c:v>
                </c:pt>
                <c:pt idx="1">
                  <c:v>128</c:v>
                </c:pt>
                <c:pt idx="2">
                  <c:v>313</c:v>
                </c:pt>
                <c:pt idx="3">
                  <c:v>250</c:v>
                </c:pt>
                <c:pt idx="4">
                  <c:v>296</c:v>
                </c:pt>
                <c:pt idx="5">
                  <c:v>226</c:v>
                </c:pt>
                <c:pt idx="6">
                  <c:v>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9C-4750-AD92-6249390DE504}"/>
            </c:ext>
          </c:extLst>
        </c:ser>
        <c:ser>
          <c:idx val="1"/>
          <c:order val="1"/>
          <c:tx>
            <c:strRef>
              <c:f>'Monthly September 2025'!$AG$99</c:f>
              <c:strCache>
                <c:ptCount val="1"/>
                <c:pt idx="0">
                  <c:v>eGym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September 2025'!$AH$97:$AN$97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September 2025'!$AH$99:$AN$99</c:f>
              <c:numCache>
                <c:formatCode>General</c:formatCode>
                <c:ptCount val="7"/>
                <c:pt idx="0">
                  <c:v>53</c:v>
                </c:pt>
                <c:pt idx="1">
                  <c:v>35</c:v>
                </c:pt>
                <c:pt idx="2">
                  <c:v>164</c:v>
                </c:pt>
                <c:pt idx="3">
                  <c:v>110</c:v>
                </c:pt>
                <c:pt idx="4">
                  <c:v>151</c:v>
                </c:pt>
                <c:pt idx="5">
                  <c:v>109</c:v>
                </c:pt>
                <c:pt idx="6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9C-4750-AD92-6249390DE504}"/>
            </c:ext>
          </c:extLst>
        </c:ser>
        <c:ser>
          <c:idx val="2"/>
          <c:order val="2"/>
          <c:tx>
            <c:strRef>
              <c:f>'Monthly September 2025'!$AG$100</c:f>
              <c:strCache>
                <c:ptCount val="1"/>
                <c:pt idx="0">
                  <c:v>Free Weight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September 2025'!$AH$97:$AN$97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September 2025'!$AH$100:$AN$100</c:f>
              <c:numCache>
                <c:formatCode>General</c:formatCode>
                <c:ptCount val="7"/>
                <c:pt idx="0">
                  <c:v>191</c:v>
                </c:pt>
                <c:pt idx="1">
                  <c:v>107</c:v>
                </c:pt>
                <c:pt idx="2">
                  <c:v>348</c:v>
                </c:pt>
                <c:pt idx="3">
                  <c:v>285</c:v>
                </c:pt>
                <c:pt idx="4">
                  <c:v>289</c:v>
                </c:pt>
                <c:pt idx="5">
                  <c:v>258</c:v>
                </c:pt>
                <c:pt idx="6">
                  <c:v>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9C-4750-AD92-6249390DE504}"/>
            </c:ext>
          </c:extLst>
        </c:ser>
        <c:ser>
          <c:idx val="3"/>
          <c:order val="3"/>
          <c:tx>
            <c:strRef>
              <c:f>'Monthly September 2025'!$AG$101</c:f>
              <c:strCache>
                <c:ptCount val="1"/>
                <c:pt idx="0">
                  <c:v>Track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September 2025'!$AH$97:$AN$97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September 2025'!$AH$101:$AN$101</c:f>
              <c:numCache>
                <c:formatCode>General</c:formatCode>
                <c:ptCount val="7"/>
                <c:pt idx="0">
                  <c:v>61</c:v>
                </c:pt>
                <c:pt idx="1">
                  <c:v>50</c:v>
                </c:pt>
                <c:pt idx="2">
                  <c:v>98</c:v>
                </c:pt>
                <c:pt idx="3">
                  <c:v>66</c:v>
                </c:pt>
                <c:pt idx="4">
                  <c:v>84</c:v>
                </c:pt>
                <c:pt idx="5">
                  <c:v>65</c:v>
                </c:pt>
                <c:pt idx="6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89C-4750-AD92-6249390DE504}"/>
            </c:ext>
          </c:extLst>
        </c:ser>
        <c:ser>
          <c:idx val="4"/>
          <c:order val="4"/>
          <c:tx>
            <c:strRef>
              <c:f>'Monthly September 2025'!$AG$102</c:f>
              <c:strCache>
                <c:ptCount val="1"/>
                <c:pt idx="0">
                  <c:v>Stretch &amp; Core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September 2025'!$AH$97:$AN$97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September 2025'!$AH$102:$AN$102</c:f>
              <c:numCache>
                <c:formatCode>General</c:formatCode>
                <c:ptCount val="7"/>
                <c:pt idx="0">
                  <c:v>78</c:v>
                </c:pt>
                <c:pt idx="1">
                  <c:v>36</c:v>
                </c:pt>
                <c:pt idx="2">
                  <c:v>118</c:v>
                </c:pt>
                <c:pt idx="3">
                  <c:v>73</c:v>
                </c:pt>
                <c:pt idx="4">
                  <c:v>90</c:v>
                </c:pt>
                <c:pt idx="5">
                  <c:v>80</c:v>
                </c:pt>
                <c:pt idx="6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89C-4750-AD92-6249390DE504}"/>
            </c:ext>
          </c:extLst>
        </c:ser>
        <c:ser>
          <c:idx val="5"/>
          <c:order val="5"/>
          <c:tx>
            <c:strRef>
              <c:f>'Monthly September 2025'!$AG$103</c:f>
              <c:strCache>
                <c:ptCount val="1"/>
                <c:pt idx="0">
                  <c:v>SPC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September 2025'!$AH$97:$AN$97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September 2025'!$AH$103:$AN$103</c:f>
              <c:numCache>
                <c:formatCode>General</c:formatCode>
                <c:ptCount val="7"/>
                <c:pt idx="0">
                  <c:v>65</c:v>
                </c:pt>
                <c:pt idx="1">
                  <c:v>48</c:v>
                </c:pt>
                <c:pt idx="2">
                  <c:v>115</c:v>
                </c:pt>
                <c:pt idx="3">
                  <c:v>95</c:v>
                </c:pt>
                <c:pt idx="4">
                  <c:v>108</c:v>
                </c:pt>
                <c:pt idx="5">
                  <c:v>85</c:v>
                </c:pt>
                <c:pt idx="6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89C-4750-AD92-6249390DE5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Room Popularity - [Week]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September 2025'!$AH$97</c:f>
              <c:strCache>
                <c:ptCount val="1"/>
                <c:pt idx="0">
                  <c:v>Saturday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September 2025'!$AG$98:$AG$103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September 2025'!$AH$98:$AH$103</c:f>
              <c:numCache>
                <c:formatCode>General</c:formatCode>
                <c:ptCount val="6"/>
                <c:pt idx="0">
                  <c:v>167</c:v>
                </c:pt>
                <c:pt idx="1">
                  <c:v>53</c:v>
                </c:pt>
                <c:pt idx="2">
                  <c:v>191</c:v>
                </c:pt>
                <c:pt idx="3">
                  <c:v>61</c:v>
                </c:pt>
                <c:pt idx="4">
                  <c:v>78</c:v>
                </c:pt>
                <c:pt idx="5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6C-465B-9964-A4187A825F2A}"/>
            </c:ext>
          </c:extLst>
        </c:ser>
        <c:ser>
          <c:idx val="1"/>
          <c:order val="1"/>
          <c:tx>
            <c:strRef>
              <c:f>'Monthly September 2025'!$AI$97</c:f>
              <c:strCache>
                <c:ptCount val="1"/>
                <c:pt idx="0">
                  <c:v>Sunday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September 2025'!$AG$98:$AG$103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September 2025'!$AI$98:$AI$103</c:f>
              <c:numCache>
                <c:formatCode>General</c:formatCode>
                <c:ptCount val="6"/>
                <c:pt idx="0">
                  <c:v>128</c:v>
                </c:pt>
                <c:pt idx="1">
                  <c:v>35</c:v>
                </c:pt>
                <c:pt idx="2">
                  <c:v>107</c:v>
                </c:pt>
                <c:pt idx="3">
                  <c:v>50</c:v>
                </c:pt>
                <c:pt idx="4">
                  <c:v>36</c:v>
                </c:pt>
                <c:pt idx="5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6C-465B-9964-A4187A825F2A}"/>
            </c:ext>
          </c:extLst>
        </c:ser>
        <c:ser>
          <c:idx val="2"/>
          <c:order val="2"/>
          <c:tx>
            <c:strRef>
              <c:f>'Monthly September 2025'!$AJ$97</c:f>
              <c:strCache>
                <c:ptCount val="1"/>
                <c:pt idx="0">
                  <c:v>Monday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September 2025'!$AG$98:$AG$103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September 2025'!$AJ$98:$AJ$103</c:f>
              <c:numCache>
                <c:formatCode>General</c:formatCode>
                <c:ptCount val="6"/>
                <c:pt idx="0">
                  <c:v>313</c:v>
                </c:pt>
                <c:pt idx="1">
                  <c:v>164</c:v>
                </c:pt>
                <c:pt idx="2">
                  <c:v>348</c:v>
                </c:pt>
                <c:pt idx="3">
                  <c:v>98</c:v>
                </c:pt>
                <c:pt idx="4">
                  <c:v>118</c:v>
                </c:pt>
                <c:pt idx="5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6C-465B-9964-A4187A825F2A}"/>
            </c:ext>
          </c:extLst>
        </c:ser>
        <c:ser>
          <c:idx val="3"/>
          <c:order val="3"/>
          <c:tx>
            <c:strRef>
              <c:f>'Monthly September 2025'!$AK$97</c:f>
              <c:strCache>
                <c:ptCount val="1"/>
                <c:pt idx="0">
                  <c:v>Tuesday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September 2025'!$AG$98:$AG$103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September 2025'!$AK$98:$AK$103</c:f>
              <c:numCache>
                <c:formatCode>General</c:formatCode>
                <c:ptCount val="6"/>
                <c:pt idx="0">
                  <c:v>250</c:v>
                </c:pt>
                <c:pt idx="1">
                  <c:v>110</c:v>
                </c:pt>
                <c:pt idx="2">
                  <c:v>285</c:v>
                </c:pt>
                <c:pt idx="3">
                  <c:v>66</c:v>
                </c:pt>
                <c:pt idx="4">
                  <c:v>73</c:v>
                </c:pt>
                <c:pt idx="5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26C-465B-9964-A4187A825F2A}"/>
            </c:ext>
          </c:extLst>
        </c:ser>
        <c:ser>
          <c:idx val="4"/>
          <c:order val="4"/>
          <c:tx>
            <c:strRef>
              <c:f>'Monthly September 2025'!$AL$97</c:f>
              <c:strCache>
                <c:ptCount val="1"/>
                <c:pt idx="0">
                  <c:v>Wednesday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September 2025'!$AG$98:$AG$103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September 2025'!$AL$98:$AL$103</c:f>
              <c:numCache>
                <c:formatCode>General</c:formatCode>
                <c:ptCount val="6"/>
                <c:pt idx="0">
                  <c:v>296</c:v>
                </c:pt>
                <c:pt idx="1">
                  <c:v>151</c:v>
                </c:pt>
                <c:pt idx="2">
                  <c:v>289</c:v>
                </c:pt>
                <c:pt idx="3">
                  <c:v>84</c:v>
                </c:pt>
                <c:pt idx="4">
                  <c:v>90</c:v>
                </c:pt>
                <c:pt idx="5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26C-465B-9964-A4187A825F2A}"/>
            </c:ext>
          </c:extLst>
        </c:ser>
        <c:ser>
          <c:idx val="5"/>
          <c:order val="5"/>
          <c:tx>
            <c:strRef>
              <c:f>'Monthly September 2025'!$AM$97</c:f>
              <c:strCache>
                <c:ptCount val="1"/>
                <c:pt idx="0">
                  <c:v>Thursday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September 2025'!$AG$98:$AG$103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September 2025'!$AM$98:$AM$103</c:f>
              <c:numCache>
                <c:formatCode>General</c:formatCode>
                <c:ptCount val="6"/>
                <c:pt idx="0">
                  <c:v>226</c:v>
                </c:pt>
                <c:pt idx="1">
                  <c:v>109</c:v>
                </c:pt>
                <c:pt idx="2">
                  <c:v>258</c:v>
                </c:pt>
                <c:pt idx="3">
                  <c:v>65</c:v>
                </c:pt>
                <c:pt idx="4">
                  <c:v>80</c:v>
                </c:pt>
                <c:pt idx="5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26C-465B-9964-A4187A825F2A}"/>
            </c:ext>
          </c:extLst>
        </c:ser>
        <c:ser>
          <c:idx val="6"/>
          <c:order val="6"/>
          <c:tx>
            <c:strRef>
              <c:f>'Monthly September 2025'!$AN$97</c:f>
              <c:strCache>
                <c:ptCount val="1"/>
                <c:pt idx="0">
                  <c:v>Friday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'Monthly September 2025'!$AG$98:$AG$103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September 2025'!$AN$98:$AN$103</c:f>
              <c:numCache>
                <c:formatCode>General</c:formatCode>
                <c:ptCount val="6"/>
                <c:pt idx="0">
                  <c:v>217</c:v>
                </c:pt>
                <c:pt idx="1">
                  <c:v>91</c:v>
                </c:pt>
                <c:pt idx="2">
                  <c:v>168</c:v>
                </c:pt>
                <c:pt idx="3">
                  <c:v>56</c:v>
                </c:pt>
                <c:pt idx="4">
                  <c:v>60</c:v>
                </c:pt>
                <c:pt idx="5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26C-465B-9964-A4187A825F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Room Attendance - [Week]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September 2025'!$AG$144</c:f>
              <c:strCache>
                <c:ptCount val="1"/>
                <c:pt idx="0">
                  <c:v>Cardio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September 2025'!$AH$143:$AN$143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September 2025'!$AH$144:$AN$144</c:f>
              <c:numCache>
                <c:formatCode>General</c:formatCode>
                <c:ptCount val="7"/>
                <c:pt idx="0">
                  <c:v>155</c:v>
                </c:pt>
                <c:pt idx="1">
                  <c:v>161</c:v>
                </c:pt>
                <c:pt idx="2">
                  <c:v>372</c:v>
                </c:pt>
                <c:pt idx="3">
                  <c:v>308</c:v>
                </c:pt>
                <c:pt idx="4">
                  <c:v>0</c:v>
                </c:pt>
                <c:pt idx="5">
                  <c:v>188</c:v>
                </c:pt>
                <c:pt idx="6">
                  <c:v>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4D-4E88-B407-EB4F8044CC76}"/>
            </c:ext>
          </c:extLst>
        </c:ser>
        <c:ser>
          <c:idx val="1"/>
          <c:order val="1"/>
          <c:tx>
            <c:strRef>
              <c:f>'Monthly September 2025'!$AG$145</c:f>
              <c:strCache>
                <c:ptCount val="1"/>
                <c:pt idx="0">
                  <c:v>eGym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September 2025'!$AH$143:$AN$143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September 2025'!$AH$145:$AN$145</c:f>
              <c:numCache>
                <c:formatCode>General</c:formatCode>
                <c:ptCount val="7"/>
                <c:pt idx="0">
                  <c:v>52</c:v>
                </c:pt>
                <c:pt idx="1">
                  <c:v>53</c:v>
                </c:pt>
                <c:pt idx="2">
                  <c:v>161</c:v>
                </c:pt>
                <c:pt idx="3">
                  <c:v>120</c:v>
                </c:pt>
                <c:pt idx="4">
                  <c:v>81</c:v>
                </c:pt>
                <c:pt idx="5">
                  <c:v>81</c:v>
                </c:pt>
                <c:pt idx="6">
                  <c:v>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4D-4E88-B407-EB4F8044CC76}"/>
            </c:ext>
          </c:extLst>
        </c:ser>
        <c:ser>
          <c:idx val="2"/>
          <c:order val="2"/>
          <c:tx>
            <c:strRef>
              <c:f>'Monthly September 2025'!$AG$146</c:f>
              <c:strCache>
                <c:ptCount val="1"/>
                <c:pt idx="0">
                  <c:v>Free Weight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September 2025'!$AH$143:$AN$143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September 2025'!$AH$146:$AN$146</c:f>
              <c:numCache>
                <c:formatCode>General</c:formatCode>
                <c:ptCount val="7"/>
                <c:pt idx="0">
                  <c:v>174</c:v>
                </c:pt>
                <c:pt idx="1">
                  <c:v>145</c:v>
                </c:pt>
                <c:pt idx="2">
                  <c:v>371</c:v>
                </c:pt>
                <c:pt idx="3">
                  <c:v>310</c:v>
                </c:pt>
                <c:pt idx="4">
                  <c:v>153</c:v>
                </c:pt>
                <c:pt idx="5">
                  <c:v>134</c:v>
                </c:pt>
                <c:pt idx="6">
                  <c:v>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4D-4E88-B407-EB4F8044CC76}"/>
            </c:ext>
          </c:extLst>
        </c:ser>
        <c:ser>
          <c:idx val="3"/>
          <c:order val="3"/>
          <c:tx>
            <c:strRef>
              <c:f>'Monthly September 2025'!$AG$147</c:f>
              <c:strCache>
                <c:ptCount val="1"/>
                <c:pt idx="0">
                  <c:v>Track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September 2025'!$AH$143:$AN$143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September 2025'!$AH$147:$AN$147</c:f>
              <c:numCache>
                <c:formatCode>General</c:formatCode>
                <c:ptCount val="7"/>
                <c:pt idx="0">
                  <c:v>46</c:v>
                </c:pt>
                <c:pt idx="1">
                  <c:v>43</c:v>
                </c:pt>
                <c:pt idx="2">
                  <c:v>106</c:v>
                </c:pt>
                <c:pt idx="3">
                  <c:v>90</c:v>
                </c:pt>
                <c:pt idx="4">
                  <c:v>54</c:v>
                </c:pt>
                <c:pt idx="5">
                  <c:v>70</c:v>
                </c:pt>
                <c:pt idx="6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D4D-4E88-B407-EB4F8044CC76}"/>
            </c:ext>
          </c:extLst>
        </c:ser>
        <c:ser>
          <c:idx val="4"/>
          <c:order val="4"/>
          <c:tx>
            <c:strRef>
              <c:f>'Monthly September 2025'!$AG$148</c:f>
              <c:strCache>
                <c:ptCount val="1"/>
                <c:pt idx="0">
                  <c:v>Stretch &amp; Core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September 2025'!$AH$143:$AN$143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September 2025'!$AH$148:$AN$148</c:f>
              <c:numCache>
                <c:formatCode>General</c:formatCode>
                <c:ptCount val="7"/>
                <c:pt idx="0">
                  <c:v>46</c:v>
                </c:pt>
                <c:pt idx="1">
                  <c:v>54</c:v>
                </c:pt>
                <c:pt idx="2">
                  <c:v>125</c:v>
                </c:pt>
                <c:pt idx="3">
                  <c:v>83</c:v>
                </c:pt>
                <c:pt idx="4">
                  <c:v>48</c:v>
                </c:pt>
                <c:pt idx="5">
                  <c:v>84</c:v>
                </c:pt>
                <c:pt idx="6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D4D-4E88-B407-EB4F8044CC76}"/>
            </c:ext>
          </c:extLst>
        </c:ser>
        <c:ser>
          <c:idx val="5"/>
          <c:order val="5"/>
          <c:tx>
            <c:strRef>
              <c:f>'Monthly September 2025'!$AG$149</c:f>
              <c:strCache>
                <c:ptCount val="1"/>
                <c:pt idx="0">
                  <c:v>SPC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September 2025'!$AH$143:$AN$143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September 2025'!$AH$149:$AN$149</c:f>
              <c:numCache>
                <c:formatCode>General</c:formatCode>
                <c:ptCount val="7"/>
                <c:pt idx="0">
                  <c:v>55</c:v>
                </c:pt>
                <c:pt idx="1">
                  <c:v>51</c:v>
                </c:pt>
                <c:pt idx="2">
                  <c:v>151</c:v>
                </c:pt>
                <c:pt idx="3">
                  <c:v>108</c:v>
                </c:pt>
                <c:pt idx="4">
                  <c:v>56</c:v>
                </c:pt>
                <c:pt idx="5">
                  <c:v>64</c:v>
                </c:pt>
                <c:pt idx="6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D4D-4E88-B407-EB4F8044C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Room Popularity - [Week]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September 2025'!$AH$143</c:f>
              <c:strCache>
                <c:ptCount val="1"/>
                <c:pt idx="0">
                  <c:v>Saturday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September 2025'!$AG$144:$AG$149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September 2025'!$AH$144:$AH$149</c:f>
              <c:numCache>
                <c:formatCode>General</c:formatCode>
                <c:ptCount val="6"/>
                <c:pt idx="0">
                  <c:v>155</c:v>
                </c:pt>
                <c:pt idx="1">
                  <c:v>52</c:v>
                </c:pt>
                <c:pt idx="2">
                  <c:v>174</c:v>
                </c:pt>
                <c:pt idx="3">
                  <c:v>46</c:v>
                </c:pt>
                <c:pt idx="4">
                  <c:v>46</c:v>
                </c:pt>
                <c:pt idx="5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5F-470D-AE4E-6B44F83D3093}"/>
            </c:ext>
          </c:extLst>
        </c:ser>
        <c:ser>
          <c:idx val="1"/>
          <c:order val="1"/>
          <c:tx>
            <c:strRef>
              <c:f>'Monthly September 2025'!$AI$143</c:f>
              <c:strCache>
                <c:ptCount val="1"/>
                <c:pt idx="0">
                  <c:v>Sunday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September 2025'!$AG$144:$AG$149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September 2025'!$AI$144:$AI$149</c:f>
              <c:numCache>
                <c:formatCode>General</c:formatCode>
                <c:ptCount val="6"/>
                <c:pt idx="0">
                  <c:v>161</c:v>
                </c:pt>
                <c:pt idx="1">
                  <c:v>53</c:v>
                </c:pt>
                <c:pt idx="2">
                  <c:v>145</c:v>
                </c:pt>
                <c:pt idx="3">
                  <c:v>43</c:v>
                </c:pt>
                <c:pt idx="4">
                  <c:v>54</c:v>
                </c:pt>
                <c:pt idx="5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5F-470D-AE4E-6B44F83D3093}"/>
            </c:ext>
          </c:extLst>
        </c:ser>
        <c:ser>
          <c:idx val="2"/>
          <c:order val="2"/>
          <c:tx>
            <c:strRef>
              <c:f>'Monthly September 2025'!$AJ$143</c:f>
              <c:strCache>
                <c:ptCount val="1"/>
                <c:pt idx="0">
                  <c:v>Monday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September 2025'!$AG$144:$AG$149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September 2025'!$AJ$144:$AJ$149</c:f>
              <c:numCache>
                <c:formatCode>General</c:formatCode>
                <c:ptCount val="6"/>
                <c:pt idx="0">
                  <c:v>372</c:v>
                </c:pt>
                <c:pt idx="1">
                  <c:v>161</c:v>
                </c:pt>
                <c:pt idx="2">
                  <c:v>371</c:v>
                </c:pt>
                <c:pt idx="3">
                  <c:v>106</c:v>
                </c:pt>
                <c:pt idx="4">
                  <c:v>125</c:v>
                </c:pt>
                <c:pt idx="5">
                  <c:v>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5F-470D-AE4E-6B44F83D3093}"/>
            </c:ext>
          </c:extLst>
        </c:ser>
        <c:ser>
          <c:idx val="3"/>
          <c:order val="3"/>
          <c:tx>
            <c:strRef>
              <c:f>'Monthly September 2025'!$AK$143</c:f>
              <c:strCache>
                <c:ptCount val="1"/>
                <c:pt idx="0">
                  <c:v>Tuesday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September 2025'!$AG$144:$AG$149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September 2025'!$AK$144:$AK$149</c:f>
              <c:numCache>
                <c:formatCode>General</c:formatCode>
                <c:ptCount val="6"/>
                <c:pt idx="0">
                  <c:v>308</c:v>
                </c:pt>
                <c:pt idx="1">
                  <c:v>120</c:v>
                </c:pt>
                <c:pt idx="2">
                  <c:v>310</c:v>
                </c:pt>
                <c:pt idx="3">
                  <c:v>90</c:v>
                </c:pt>
                <c:pt idx="4">
                  <c:v>83</c:v>
                </c:pt>
                <c:pt idx="5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F5F-470D-AE4E-6B44F83D3093}"/>
            </c:ext>
          </c:extLst>
        </c:ser>
        <c:ser>
          <c:idx val="4"/>
          <c:order val="4"/>
          <c:tx>
            <c:strRef>
              <c:f>'Monthly September 2025'!$AL$143</c:f>
              <c:strCache>
                <c:ptCount val="1"/>
                <c:pt idx="0">
                  <c:v>Wednesday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September 2025'!$AG$144:$AG$149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September 2025'!$AL$144:$AL$149</c:f>
              <c:numCache>
                <c:formatCode>General</c:formatCode>
                <c:ptCount val="6"/>
                <c:pt idx="0">
                  <c:v>0</c:v>
                </c:pt>
                <c:pt idx="1">
                  <c:v>81</c:v>
                </c:pt>
                <c:pt idx="2">
                  <c:v>153</c:v>
                </c:pt>
                <c:pt idx="3">
                  <c:v>54</c:v>
                </c:pt>
                <c:pt idx="4">
                  <c:v>48</c:v>
                </c:pt>
                <c:pt idx="5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F5F-470D-AE4E-6B44F83D3093}"/>
            </c:ext>
          </c:extLst>
        </c:ser>
        <c:ser>
          <c:idx val="5"/>
          <c:order val="5"/>
          <c:tx>
            <c:strRef>
              <c:f>'Monthly September 2025'!$AM$143</c:f>
              <c:strCache>
                <c:ptCount val="1"/>
                <c:pt idx="0">
                  <c:v>Thursday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September 2025'!$AG$144:$AG$149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September 2025'!$AM$144:$AM$149</c:f>
              <c:numCache>
                <c:formatCode>General</c:formatCode>
                <c:ptCount val="6"/>
                <c:pt idx="0">
                  <c:v>188</c:v>
                </c:pt>
                <c:pt idx="1">
                  <c:v>81</c:v>
                </c:pt>
                <c:pt idx="2">
                  <c:v>134</c:v>
                </c:pt>
                <c:pt idx="3">
                  <c:v>70</c:v>
                </c:pt>
                <c:pt idx="4">
                  <c:v>84</c:v>
                </c:pt>
                <c:pt idx="5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F5F-470D-AE4E-6B44F83D3093}"/>
            </c:ext>
          </c:extLst>
        </c:ser>
        <c:ser>
          <c:idx val="6"/>
          <c:order val="6"/>
          <c:tx>
            <c:strRef>
              <c:f>'Monthly September 2025'!$AN$143</c:f>
              <c:strCache>
                <c:ptCount val="1"/>
                <c:pt idx="0">
                  <c:v>Friday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'Monthly September 2025'!$AG$144:$AG$149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September 2025'!$AN$144:$AN$149</c:f>
              <c:numCache>
                <c:formatCode>General</c:formatCode>
                <c:ptCount val="6"/>
                <c:pt idx="0">
                  <c:v>221</c:v>
                </c:pt>
                <c:pt idx="1">
                  <c:v>121</c:v>
                </c:pt>
                <c:pt idx="2">
                  <c:v>212</c:v>
                </c:pt>
                <c:pt idx="3">
                  <c:v>67</c:v>
                </c:pt>
                <c:pt idx="4">
                  <c:v>66</c:v>
                </c:pt>
                <c:pt idx="5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F5F-470D-AE4E-6B44F83D30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Room Popularity - [Week]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September 2025'!$AH$189</c:f>
              <c:strCache>
                <c:ptCount val="1"/>
                <c:pt idx="0">
                  <c:v>Saturday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September 2025'!$AG$190:$AG$195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September 2025'!$AH$190:$AH$195</c:f>
              <c:numCache>
                <c:formatCode>General</c:formatCode>
                <c:ptCount val="6"/>
                <c:pt idx="0">
                  <c:v>154</c:v>
                </c:pt>
                <c:pt idx="1">
                  <c:v>54</c:v>
                </c:pt>
                <c:pt idx="2">
                  <c:v>133</c:v>
                </c:pt>
                <c:pt idx="3">
                  <c:v>35</c:v>
                </c:pt>
                <c:pt idx="4">
                  <c:v>53</c:v>
                </c:pt>
                <c:pt idx="5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7D-4486-B266-1A9DCB510B81}"/>
            </c:ext>
          </c:extLst>
        </c:ser>
        <c:ser>
          <c:idx val="1"/>
          <c:order val="1"/>
          <c:tx>
            <c:strRef>
              <c:f>'Monthly September 2025'!$AI$189</c:f>
              <c:strCache>
                <c:ptCount val="1"/>
                <c:pt idx="0">
                  <c:v>Sunday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September 2025'!$AG$190:$AG$195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September 2025'!$AI$190:$AI$195</c:f>
              <c:numCache>
                <c:formatCode>General</c:formatCode>
                <c:ptCount val="6"/>
                <c:pt idx="0">
                  <c:v>145</c:v>
                </c:pt>
                <c:pt idx="1">
                  <c:v>57</c:v>
                </c:pt>
                <c:pt idx="2">
                  <c:v>109</c:v>
                </c:pt>
                <c:pt idx="3">
                  <c:v>19</c:v>
                </c:pt>
                <c:pt idx="4">
                  <c:v>39</c:v>
                </c:pt>
                <c:pt idx="5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7D-4486-B266-1A9DCB510B81}"/>
            </c:ext>
          </c:extLst>
        </c:ser>
        <c:ser>
          <c:idx val="2"/>
          <c:order val="2"/>
          <c:tx>
            <c:strRef>
              <c:f>'Monthly September 2025'!$AJ$189</c:f>
              <c:strCache>
                <c:ptCount val="1"/>
                <c:pt idx="0">
                  <c:v>Monday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September 2025'!$AG$190:$AG$195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September 2025'!$AJ$190:$AJ$195</c:f>
              <c:numCache>
                <c:formatCode>General</c:formatCode>
                <c:ptCount val="6"/>
                <c:pt idx="0">
                  <c:v>335</c:v>
                </c:pt>
                <c:pt idx="1">
                  <c:v>156</c:v>
                </c:pt>
                <c:pt idx="2">
                  <c:v>342</c:v>
                </c:pt>
                <c:pt idx="3">
                  <c:v>115</c:v>
                </c:pt>
                <c:pt idx="4">
                  <c:v>111</c:v>
                </c:pt>
                <c:pt idx="5">
                  <c:v>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7D-4486-B266-1A9DCB510B81}"/>
            </c:ext>
          </c:extLst>
        </c:ser>
        <c:ser>
          <c:idx val="3"/>
          <c:order val="3"/>
          <c:tx>
            <c:strRef>
              <c:f>'Monthly September 2025'!$AK$189</c:f>
              <c:strCache>
                <c:ptCount val="1"/>
                <c:pt idx="0">
                  <c:v>Tuesday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September 2025'!$AG$190:$AG$195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September 2025'!$AK$190:$AK$195</c:f>
              <c:numCache>
                <c:formatCode>General</c:formatCode>
                <c:ptCount val="6"/>
                <c:pt idx="0">
                  <c:v>272</c:v>
                </c:pt>
                <c:pt idx="1">
                  <c:v>113</c:v>
                </c:pt>
                <c:pt idx="2">
                  <c:v>289</c:v>
                </c:pt>
                <c:pt idx="3">
                  <c:v>83</c:v>
                </c:pt>
                <c:pt idx="4">
                  <c:v>91</c:v>
                </c:pt>
                <c:pt idx="5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F7D-4486-B266-1A9DCB510B81}"/>
            </c:ext>
          </c:extLst>
        </c:ser>
        <c:ser>
          <c:idx val="4"/>
          <c:order val="4"/>
          <c:tx>
            <c:strRef>
              <c:f>'Monthly September 2025'!$AL$189</c:f>
              <c:strCache>
                <c:ptCount val="1"/>
                <c:pt idx="0">
                  <c:v>Wednesday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September 2025'!$AG$190:$AG$195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September 2025'!$AL$190:$AL$195</c:f>
              <c:numCache>
                <c:formatCode>General</c:formatCode>
                <c:ptCount val="6"/>
                <c:pt idx="0">
                  <c:v>83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F7D-4486-B266-1A9DCB510B81}"/>
            </c:ext>
          </c:extLst>
        </c:ser>
        <c:ser>
          <c:idx val="5"/>
          <c:order val="5"/>
          <c:tx>
            <c:strRef>
              <c:f>'Monthly September 2025'!$AM$189</c:f>
              <c:strCache>
                <c:ptCount val="1"/>
                <c:pt idx="0">
                  <c:v>Thursday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September 2025'!$AG$190:$AG$195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September 2025'!$AM$190:$AM$195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F7D-4486-B266-1A9DCB510B81}"/>
            </c:ext>
          </c:extLst>
        </c:ser>
        <c:ser>
          <c:idx val="6"/>
          <c:order val="6"/>
          <c:tx>
            <c:strRef>
              <c:f>'Monthly September 2025'!$AN$189</c:f>
              <c:strCache>
                <c:ptCount val="1"/>
                <c:pt idx="0">
                  <c:v>Friday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'Monthly September 2025'!$AG$190:$AG$195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September 2025'!$AN$190:$AN$195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F7D-4486-B266-1A9DCB510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Room Attendance - [Week]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September 2025'!$AG$190</c:f>
              <c:strCache>
                <c:ptCount val="1"/>
                <c:pt idx="0">
                  <c:v>Cardio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September 2025'!$AH$189:$AN$189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September 2025'!$AH$190:$AN$190</c:f>
              <c:numCache>
                <c:formatCode>General</c:formatCode>
                <c:ptCount val="7"/>
                <c:pt idx="0">
                  <c:v>154</c:v>
                </c:pt>
                <c:pt idx="1">
                  <c:v>145</c:v>
                </c:pt>
                <c:pt idx="2">
                  <c:v>335</c:v>
                </c:pt>
                <c:pt idx="3">
                  <c:v>272</c:v>
                </c:pt>
                <c:pt idx="4">
                  <c:v>83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3E-41C6-9F41-0C9F224183F6}"/>
            </c:ext>
          </c:extLst>
        </c:ser>
        <c:ser>
          <c:idx val="1"/>
          <c:order val="1"/>
          <c:tx>
            <c:strRef>
              <c:f>'Monthly September 2025'!$AG$191</c:f>
              <c:strCache>
                <c:ptCount val="1"/>
                <c:pt idx="0">
                  <c:v>eGym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September 2025'!$AH$189:$AN$189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September 2025'!$AH$191:$AN$191</c:f>
              <c:numCache>
                <c:formatCode>General</c:formatCode>
                <c:ptCount val="7"/>
                <c:pt idx="0">
                  <c:v>54</c:v>
                </c:pt>
                <c:pt idx="1">
                  <c:v>57</c:v>
                </c:pt>
                <c:pt idx="2">
                  <c:v>156</c:v>
                </c:pt>
                <c:pt idx="3">
                  <c:v>113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3E-41C6-9F41-0C9F224183F6}"/>
            </c:ext>
          </c:extLst>
        </c:ser>
        <c:ser>
          <c:idx val="2"/>
          <c:order val="2"/>
          <c:tx>
            <c:strRef>
              <c:f>'Monthly September 2025'!$AG$192</c:f>
              <c:strCache>
                <c:ptCount val="1"/>
                <c:pt idx="0">
                  <c:v>Free Weight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September 2025'!$AH$189:$AN$189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September 2025'!$AH$192:$AN$192</c:f>
              <c:numCache>
                <c:formatCode>General</c:formatCode>
                <c:ptCount val="7"/>
                <c:pt idx="0">
                  <c:v>133</c:v>
                </c:pt>
                <c:pt idx="1">
                  <c:v>109</c:v>
                </c:pt>
                <c:pt idx="2">
                  <c:v>342</c:v>
                </c:pt>
                <c:pt idx="3">
                  <c:v>289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3E-41C6-9F41-0C9F224183F6}"/>
            </c:ext>
          </c:extLst>
        </c:ser>
        <c:ser>
          <c:idx val="3"/>
          <c:order val="3"/>
          <c:tx>
            <c:strRef>
              <c:f>'Monthly September 2025'!$AG$193</c:f>
              <c:strCache>
                <c:ptCount val="1"/>
                <c:pt idx="0">
                  <c:v>Track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September 2025'!$AH$189:$AN$189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September 2025'!$AH$193:$AN$193</c:f>
              <c:numCache>
                <c:formatCode>General</c:formatCode>
                <c:ptCount val="7"/>
                <c:pt idx="0">
                  <c:v>35</c:v>
                </c:pt>
                <c:pt idx="1">
                  <c:v>19</c:v>
                </c:pt>
                <c:pt idx="2">
                  <c:v>115</c:v>
                </c:pt>
                <c:pt idx="3">
                  <c:v>83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83E-41C6-9F41-0C9F224183F6}"/>
            </c:ext>
          </c:extLst>
        </c:ser>
        <c:ser>
          <c:idx val="4"/>
          <c:order val="4"/>
          <c:tx>
            <c:strRef>
              <c:f>'Monthly September 2025'!$AG$194</c:f>
              <c:strCache>
                <c:ptCount val="1"/>
                <c:pt idx="0">
                  <c:v>Stretch &amp; Core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September 2025'!$AH$189:$AN$189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September 2025'!$AH$194:$AN$194</c:f>
              <c:numCache>
                <c:formatCode>General</c:formatCode>
                <c:ptCount val="7"/>
                <c:pt idx="0">
                  <c:v>53</c:v>
                </c:pt>
                <c:pt idx="1">
                  <c:v>39</c:v>
                </c:pt>
                <c:pt idx="2">
                  <c:v>111</c:v>
                </c:pt>
                <c:pt idx="3">
                  <c:v>91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83E-41C6-9F41-0C9F224183F6}"/>
            </c:ext>
          </c:extLst>
        </c:ser>
        <c:ser>
          <c:idx val="5"/>
          <c:order val="5"/>
          <c:tx>
            <c:strRef>
              <c:f>'Monthly September 2025'!$AG$195</c:f>
              <c:strCache>
                <c:ptCount val="1"/>
                <c:pt idx="0">
                  <c:v>SPC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September 2025'!$AH$189:$AN$189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September 2025'!$AH$195:$AN$195</c:f>
              <c:numCache>
                <c:formatCode>General</c:formatCode>
                <c:ptCount val="7"/>
                <c:pt idx="0">
                  <c:v>54</c:v>
                </c:pt>
                <c:pt idx="1">
                  <c:v>43</c:v>
                </c:pt>
                <c:pt idx="2">
                  <c:v>136</c:v>
                </c:pt>
                <c:pt idx="3">
                  <c:v>91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83E-41C6-9F41-0C9F224183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Room Attendance - [Month]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September 2025'!$AP$6</c:f>
              <c:strCache>
                <c:ptCount val="1"/>
                <c:pt idx="0">
                  <c:v>Cardio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September 2025'!$AQ$5:$AW$5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September 2025'!$AQ$6:$AW$6</c:f>
              <c:numCache>
                <c:formatCode>General</c:formatCode>
                <c:ptCount val="7"/>
                <c:pt idx="0">
                  <c:v>677</c:v>
                </c:pt>
                <c:pt idx="1">
                  <c:v>636</c:v>
                </c:pt>
                <c:pt idx="2">
                  <c:v>1345</c:v>
                </c:pt>
                <c:pt idx="3">
                  <c:v>1439</c:v>
                </c:pt>
                <c:pt idx="4">
                  <c:v>961</c:v>
                </c:pt>
                <c:pt idx="5">
                  <c:v>1012</c:v>
                </c:pt>
                <c:pt idx="6">
                  <c:v>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CC-4E11-A22C-3603D835E61A}"/>
            </c:ext>
          </c:extLst>
        </c:ser>
        <c:ser>
          <c:idx val="1"/>
          <c:order val="1"/>
          <c:tx>
            <c:strRef>
              <c:f>'Monthly September 2025'!$AP$7</c:f>
              <c:strCache>
                <c:ptCount val="1"/>
                <c:pt idx="0">
                  <c:v>eGym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September 2025'!$AQ$5:$AW$5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September 2025'!$AQ$7:$AW$7</c:f>
              <c:numCache>
                <c:formatCode>General</c:formatCode>
                <c:ptCount val="7"/>
                <c:pt idx="0">
                  <c:v>218</c:v>
                </c:pt>
                <c:pt idx="1">
                  <c:v>186</c:v>
                </c:pt>
                <c:pt idx="2">
                  <c:v>639</c:v>
                </c:pt>
                <c:pt idx="3">
                  <c:v>569</c:v>
                </c:pt>
                <c:pt idx="4">
                  <c:v>512</c:v>
                </c:pt>
                <c:pt idx="5">
                  <c:v>443</c:v>
                </c:pt>
                <c:pt idx="6">
                  <c:v>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CC-4E11-A22C-3603D835E61A}"/>
            </c:ext>
          </c:extLst>
        </c:ser>
        <c:ser>
          <c:idx val="2"/>
          <c:order val="2"/>
          <c:tx>
            <c:strRef>
              <c:f>'Monthly September 2025'!$AP$8</c:f>
              <c:strCache>
                <c:ptCount val="1"/>
                <c:pt idx="0">
                  <c:v>Free Weight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September 2025'!$AQ$5:$AW$5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September 2025'!$AQ$8:$AW$8</c:f>
              <c:numCache>
                <c:formatCode>General</c:formatCode>
                <c:ptCount val="7"/>
                <c:pt idx="0">
                  <c:v>650</c:v>
                </c:pt>
                <c:pt idx="1">
                  <c:v>459</c:v>
                </c:pt>
                <c:pt idx="2">
                  <c:v>1431</c:v>
                </c:pt>
                <c:pt idx="3">
                  <c:v>1532</c:v>
                </c:pt>
                <c:pt idx="4">
                  <c:v>1106</c:v>
                </c:pt>
                <c:pt idx="5">
                  <c:v>969</c:v>
                </c:pt>
                <c:pt idx="6">
                  <c:v>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CC-4E11-A22C-3603D835E61A}"/>
            </c:ext>
          </c:extLst>
        </c:ser>
        <c:ser>
          <c:idx val="3"/>
          <c:order val="3"/>
          <c:tx>
            <c:strRef>
              <c:f>'Monthly September 2025'!$AP$9</c:f>
              <c:strCache>
                <c:ptCount val="1"/>
                <c:pt idx="0">
                  <c:v>Track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September 2025'!$AQ$5:$AW$5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September 2025'!$AQ$9:$AW$9</c:f>
              <c:numCache>
                <c:formatCode>General</c:formatCode>
                <c:ptCount val="7"/>
                <c:pt idx="0">
                  <c:v>187</c:v>
                </c:pt>
                <c:pt idx="1">
                  <c:v>153</c:v>
                </c:pt>
                <c:pt idx="2">
                  <c:v>404</c:v>
                </c:pt>
                <c:pt idx="3">
                  <c:v>390</c:v>
                </c:pt>
                <c:pt idx="4">
                  <c:v>294</c:v>
                </c:pt>
                <c:pt idx="5">
                  <c:v>327</c:v>
                </c:pt>
                <c:pt idx="6">
                  <c:v>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8CC-4E11-A22C-3603D835E61A}"/>
            </c:ext>
          </c:extLst>
        </c:ser>
        <c:ser>
          <c:idx val="4"/>
          <c:order val="4"/>
          <c:tx>
            <c:strRef>
              <c:f>'Monthly September 2025'!$AP$10</c:f>
              <c:strCache>
                <c:ptCount val="1"/>
                <c:pt idx="0">
                  <c:v>Stretch &amp; Core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September 2025'!$AQ$5:$AW$5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September 2025'!$AQ$10:$AW$10</c:f>
              <c:numCache>
                <c:formatCode>General</c:formatCode>
                <c:ptCount val="7"/>
                <c:pt idx="0">
                  <c:v>248</c:v>
                </c:pt>
                <c:pt idx="1">
                  <c:v>166</c:v>
                </c:pt>
                <c:pt idx="2">
                  <c:v>491</c:v>
                </c:pt>
                <c:pt idx="3">
                  <c:v>440</c:v>
                </c:pt>
                <c:pt idx="4">
                  <c:v>313</c:v>
                </c:pt>
                <c:pt idx="5">
                  <c:v>368</c:v>
                </c:pt>
                <c:pt idx="6">
                  <c:v>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8CC-4E11-A22C-3603D835E61A}"/>
            </c:ext>
          </c:extLst>
        </c:ser>
        <c:ser>
          <c:idx val="5"/>
          <c:order val="5"/>
          <c:tx>
            <c:strRef>
              <c:f>'Monthly September 2025'!$AP$11</c:f>
              <c:strCache>
                <c:ptCount val="1"/>
                <c:pt idx="0">
                  <c:v>SPC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September 2025'!$AQ$5:$AW$5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September 2025'!$AQ$11:$AW$11</c:f>
              <c:numCache>
                <c:formatCode>General</c:formatCode>
                <c:ptCount val="7"/>
                <c:pt idx="0">
                  <c:v>215</c:v>
                </c:pt>
                <c:pt idx="1">
                  <c:v>178</c:v>
                </c:pt>
                <c:pt idx="2">
                  <c:v>521</c:v>
                </c:pt>
                <c:pt idx="3">
                  <c:v>497</c:v>
                </c:pt>
                <c:pt idx="4">
                  <c:v>374</c:v>
                </c:pt>
                <c:pt idx="5">
                  <c:v>354</c:v>
                </c:pt>
                <c:pt idx="6">
                  <c:v>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8CC-4E11-A22C-3603D835E6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Room Popularity - [Week]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October 2025'!$AH$5</c:f>
              <c:strCache>
                <c:ptCount val="1"/>
                <c:pt idx="0">
                  <c:v>Saturday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October 2025'!$AG$6:$AG$11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October 2025'!$AH$6:$AH$11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F8-499F-B0BB-C73531CEB09F}"/>
            </c:ext>
          </c:extLst>
        </c:ser>
        <c:ser>
          <c:idx val="1"/>
          <c:order val="1"/>
          <c:tx>
            <c:strRef>
              <c:f>'Monthly October 2025'!$AI$5</c:f>
              <c:strCache>
                <c:ptCount val="1"/>
                <c:pt idx="0">
                  <c:v>Sunday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October 2025'!$AG$6:$AG$11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October 2025'!$AI$6:$AI$11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F8-499F-B0BB-C73531CEB09F}"/>
            </c:ext>
          </c:extLst>
        </c:ser>
        <c:ser>
          <c:idx val="2"/>
          <c:order val="2"/>
          <c:tx>
            <c:strRef>
              <c:f>'Monthly October 2025'!$AJ$5</c:f>
              <c:strCache>
                <c:ptCount val="1"/>
                <c:pt idx="0">
                  <c:v>Monday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October 2025'!$AG$6:$AG$11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October 2025'!$AJ$6:$AJ$11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F8-499F-B0BB-C73531CEB09F}"/>
            </c:ext>
          </c:extLst>
        </c:ser>
        <c:ser>
          <c:idx val="3"/>
          <c:order val="3"/>
          <c:tx>
            <c:strRef>
              <c:f>'Monthly October 2025'!$AK$5</c:f>
              <c:strCache>
                <c:ptCount val="1"/>
                <c:pt idx="0">
                  <c:v>Tuesday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October 2025'!$AG$6:$AG$11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October 2025'!$AK$6:$AK$11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6F8-499F-B0BB-C73531CEB09F}"/>
            </c:ext>
          </c:extLst>
        </c:ser>
        <c:ser>
          <c:idx val="4"/>
          <c:order val="4"/>
          <c:tx>
            <c:strRef>
              <c:f>'Monthly October 2025'!$AL$5</c:f>
              <c:strCache>
                <c:ptCount val="1"/>
                <c:pt idx="0">
                  <c:v>Wednesday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October 2025'!$AG$6:$AG$11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October 2025'!$AL$6:$AL$11</c:f>
              <c:numCache>
                <c:formatCode>General</c:formatCode>
                <c:ptCount val="6"/>
                <c:pt idx="0">
                  <c:v>271</c:v>
                </c:pt>
                <c:pt idx="1">
                  <c:v>134</c:v>
                </c:pt>
                <c:pt idx="2">
                  <c:v>294</c:v>
                </c:pt>
                <c:pt idx="3">
                  <c:v>64</c:v>
                </c:pt>
                <c:pt idx="4">
                  <c:v>82</c:v>
                </c:pt>
                <c:pt idx="5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6F8-499F-B0BB-C73531CEB09F}"/>
            </c:ext>
          </c:extLst>
        </c:ser>
        <c:ser>
          <c:idx val="5"/>
          <c:order val="5"/>
          <c:tx>
            <c:strRef>
              <c:f>'Monthly October 2025'!$AM$5</c:f>
              <c:strCache>
                <c:ptCount val="1"/>
                <c:pt idx="0">
                  <c:v>Thursday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October 2025'!$AG$6:$AG$11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October 2025'!$AM$6:$AM$11</c:f>
              <c:numCache>
                <c:formatCode>General</c:formatCode>
                <c:ptCount val="6"/>
                <c:pt idx="0">
                  <c:v>296</c:v>
                </c:pt>
                <c:pt idx="1">
                  <c:v>118</c:v>
                </c:pt>
                <c:pt idx="2">
                  <c:v>294</c:v>
                </c:pt>
                <c:pt idx="3">
                  <c:v>83</c:v>
                </c:pt>
                <c:pt idx="4">
                  <c:v>78</c:v>
                </c:pt>
                <c:pt idx="5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6F8-499F-B0BB-C73531CEB09F}"/>
            </c:ext>
          </c:extLst>
        </c:ser>
        <c:ser>
          <c:idx val="6"/>
          <c:order val="6"/>
          <c:tx>
            <c:strRef>
              <c:f>'Monthly October 2025'!$AN$5</c:f>
              <c:strCache>
                <c:ptCount val="1"/>
                <c:pt idx="0">
                  <c:v>Friday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'Monthly October 2025'!$AG$6:$AG$11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October 2025'!$AN$6:$AN$11</c:f>
              <c:numCache>
                <c:formatCode>General</c:formatCode>
                <c:ptCount val="6"/>
                <c:pt idx="0">
                  <c:v>215</c:v>
                </c:pt>
                <c:pt idx="1">
                  <c:v>104</c:v>
                </c:pt>
                <c:pt idx="2">
                  <c:v>189</c:v>
                </c:pt>
                <c:pt idx="3">
                  <c:v>72</c:v>
                </c:pt>
                <c:pt idx="4">
                  <c:v>80</c:v>
                </c:pt>
                <c:pt idx="5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6F8-499F-B0BB-C73531CEB0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Room Attendance - [Week]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October 2025'!$AG$6</c:f>
              <c:strCache>
                <c:ptCount val="1"/>
                <c:pt idx="0">
                  <c:v>Cardio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October 2025'!$AH$5:$AN$5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October 2025'!$AH$6:$AN$6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271</c:v>
                </c:pt>
                <c:pt idx="5">
                  <c:v>296</c:v>
                </c:pt>
                <c:pt idx="6">
                  <c:v>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F9-4DDB-89CC-5238525A44EC}"/>
            </c:ext>
          </c:extLst>
        </c:ser>
        <c:ser>
          <c:idx val="1"/>
          <c:order val="1"/>
          <c:tx>
            <c:strRef>
              <c:f>'Monthly October 2025'!$AG$7</c:f>
              <c:strCache>
                <c:ptCount val="1"/>
                <c:pt idx="0">
                  <c:v>eGym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October 2025'!$AH$5:$AN$5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October 2025'!$AH$7:$AN$7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134</c:v>
                </c:pt>
                <c:pt idx="5">
                  <c:v>118</c:v>
                </c:pt>
                <c:pt idx="6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F9-4DDB-89CC-5238525A44EC}"/>
            </c:ext>
          </c:extLst>
        </c:ser>
        <c:ser>
          <c:idx val="2"/>
          <c:order val="2"/>
          <c:tx>
            <c:strRef>
              <c:f>'Monthly October 2025'!$AG$8</c:f>
              <c:strCache>
                <c:ptCount val="1"/>
                <c:pt idx="0">
                  <c:v>Free Weight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October 2025'!$AH$5:$AN$5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October 2025'!$AH$8:$AN$8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294</c:v>
                </c:pt>
                <c:pt idx="5">
                  <c:v>294</c:v>
                </c:pt>
                <c:pt idx="6">
                  <c:v>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F9-4DDB-89CC-5238525A44EC}"/>
            </c:ext>
          </c:extLst>
        </c:ser>
        <c:ser>
          <c:idx val="3"/>
          <c:order val="3"/>
          <c:tx>
            <c:strRef>
              <c:f>'Monthly October 2025'!$AG$9</c:f>
              <c:strCache>
                <c:ptCount val="1"/>
                <c:pt idx="0">
                  <c:v>Track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October 2025'!$AH$5:$AN$5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October 2025'!$AH$9:$AN$9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64</c:v>
                </c:pt>
                <c:pt idx="5">
                  <c:v>83</c:v>
                </c:pt>
                <c:pt idx="6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7F9-4DDB-89CC-5238525A44EC}"/>
            </c:ext>
          </c:extLst>
        </c:ser>
        <c:ser>
          <c:idx val="4"/>
          <c:order val="4"/>
          <c:tx>
            <c:strRef>
              <c:f>'Monthly October 2025'!$AG$10</c:f>
              <c:strCache>
                <c:ptCount val="1"/>
                <c:pt idx="0">
                  <c:v>Stretch &amp; Core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October 2025'!$AH$5:$AN$5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October 2025'!$AH$10:$AN$10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82</c:v>
                </c:pt>
                <c:pt idx="5">
                  <c:v>78</c:v>
                </c:pt>
                <c:pt idx="6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7F9-4DDB-89CC-5238525A44EC}"/>
            </c:ext>
          </c:extLst>
        </c:ser>
        <c:ser>
          <c:idx val="5"/>
          <c:order val="5"/>
          <c:tx>
            <c:strRef>
              <c:f>'Monthly October 2025'!$AG$11</c:f>
              <c:strCache>
                <c:ptCount val="1"/>
                <c:pt idx="0">
                  <c:v>SPC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October 2025'!$AH$5:$AN$5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October 2025'!$AH$11:$AN$11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82</c:v>
                </c:pt>
                <c:pt idx="5">
                  <c:v>97</c:v>
                </c:pt>
                <c:pt idx="6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7F9-4DDB-89CC-5238525A44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Room Popularity - [Week]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October 2025'!$AH$51</c:f>
              <c:strCache>
                <c:ptCount val="1"/>
                <c:pt idx="0">
                  <c:v>Saturday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October 2025'!$AG$52:$AG$57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October 2025'!$AH$52:$AH$57</c:f>
              <c:numCache>
                <c:formatCode>General</c:formatCode>
                <c:ptCount val="6"/>
                <c:pt idx="0">
                  <c:v>108</c:v>
                </c:pt>
                <c:pt idx="1">
                  <c:v>51</c:v>
                </c:pt>
                <c:pt idx="2">
                  <c:v>122</c:v>
                </c:pt>
                <c:pt idx="3">
                  <c:v>30</c:v>
                </c:pt>
                <c:pt idx="4">
                  <c:v>41</c:v>
                </c:pt>
                <c:pt idx="5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B3-4CA5-BFBC-38D2A22BFFFD}"/>
            </c:ext>
          </c:extLst>
        </c:ser>
        <c:ser>
          <c:idx val="1"/>
          <c:order val="1"/>
          <c:tx>
            <c:strRef>
              <c:f>'Monthly October 2025'!$AI$51</c:f>
              <c:strCache>
                <c:ptCount val="1"/>
                <c:pt idx="0">
                  <c:v>Sunday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October 2025'!$AG$52:$AG$57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October 2025'!$AI$52:$AI$57</c:f>
              <c:numCache>
                <c:formatCode>General</c:formatCode>
                <c:ptCount val="6"/>
                <c:pt idx="0">
                  <c:v>125</c:v>
                </c:pt>
                <c:pt idx="1">
                  <c:v>27</c:v>
                </c:pt>
                <c:pt idx="2">
                  <c:v>95</c:v>
                </c:pt>
                <c:pt idx="3">
                  <c:v>25</c:v>
                </c:pt>
                <c:pt idx="4">
                  <c:v>26</c:v>
                </c:pt>
                <c:pt idx="5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B3-4CA5-BFBC-38D2A22BFFFD}"/>
            </c:ext>
          </c:extLst>
        </c:ser>
        <c:ser>
          <c:idx val="2"/>
          <c:order val="2"/>
          <c:tx>
            <c:strRef>
              <c:f>'Monthly October 2025'!$AJ$51</c:f>
              <c:strCache>
                <c:ptCount val="1"/>
                <c:pt idx="0">
                  <c:v>Monday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October 2025'!$AG$52:$AG$57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October 2025'!$AJ$52:$AJ$57</c:f>
              <c:numCache>
                <c:formatCode>General</c:formatCode>
                <c:ptCount val="6"/>
                <c:pt idx="0">
                  <c:v>356</c:v>
                </c:pt>
                <c:pt idx="1">
                  <c:v>149</c:v>
                </c:pt>
                <c:pt idx="2">
                  <c:v>303</c:v>
                </c:pt>
                <c:pt idx="3">
                  <c:v>97</c:v>
                </c:pt>
                <c:pt idx="4">
                  <c:v>123</c:v>
                </c:pt>
                <c:pt idx="5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B3-4CA5-BFBC-38D2A22BFFFD}"/>
            </c:ext>
          </c:extLst>
        </c:ser>
        <c:ser>
          <c:idx val="3"/>
          <c:order val="3"/>
          <c:tx>
            <c:strRef>
              <c:f>'Monthly October 2025'!$AK$51</c:f>
              <c:strCache>
                <c:ptCount val="1"/>
                <c:pt idx="0">
                  <c:v>Tuesday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October 2025'!$AG$52:$AG$57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October 2025'!$AK$52:$AK$57</c:f>
              <c:numCache>
                <c:formatCode>General</c:formatCode>
                <c:ptCount val="6"/>
                <c:pt idx="0">
                  <c:v>339</c:v>
                </c:pt>
                <c:pt idx="1">
                  <c:v>131</c:v>
                </c:pt>
                <c:pt idx="2">
                  <c:v>302</c:v>
                </c:pt>
                <c:pt idx="3">
                  <c:v>95</c:v>
                </c:pt>
                <c:pt idx="4">
                  <c:v>116</c:v>
                </c:pt>
                <c:pt idx="5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EB3-4CA5-BFBC-38D2A22BFFFD}"/>
            </c:ext>
          </c:extLst>
        </c:ser>
        <c:ser>
          <c:idx val="4"/>
          <c:order val="4"/>
          <c:tx>
            <c:strRef>
              <c:f>'Monthly October 2025'!$AL$51</c:f>
              <c:strCache>
                <c:ptCount val="1"/>
                <c:pt idx="0">
                  <c:v>Wednesday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October 2025'!$AG$52:$AG$57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October 2025'!$AL$52:$AL$57</c:f>
              <c:numCache>
                <c:formatCode>General</c:formatCode>
                <c:ptCount val="6"/>
                <c:pt idx="0">
                  <c:v>284</c:v>
                </c:pt>
                <c:pt idx="1">
                  <c:v>167</c:v>
                </c:pt>
                <c:pt idx="2">
                  <c:v>305</c:v>
                </c:pt>
                <c:pt idx="3">
                  <c:v>79</c:v>
                </c:pt>
                <c:pt idx="4">
                  <c:v>96</c:v>
                </c:pt>
                <c:pt idx="5">
                  <c:v>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EB3-4CA5-BFBC-38D2A22BFFFD}"/>
            </c:ext>
          </c:extLst>
        </c:ser>
        <c:ser>
          <c:idx val="5"/>
          <c:order val="5"/>
          <c:tx>
            <c:strRef>
              <c:f>'Monthly October 2025'!$AM$51</c:f>
              <c:strCache>
                <c:ptCount val="1"/>
                <c:pt idx="0">
                  <c:v>Thursday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October 2025'!$AG$52:$AG$57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October 2025'!$AM$52:$AM$57</c:f>
              <c:numCache>
                <c:formatCode>General</c:formatCode>
                <c:ptCount val="6"/>
                <c:pt idx="0">
                  <c:v>274</c:v>
                </c:pt>
                <c:pt idx="1">
                  <c:v>103</c:v>
                </c:pt>
                <c:pt idx="2">
                  <c:v>283</c:v>
                </c:pt>
                <c:pt idx="3">
                  <c:v>102</c:v>
                </c:pt>
                <c:pt idx="4">
                  <c:v>81</c:v>
                </c:pt>
                <c:pt idx="5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EB3-4CA5-BFBC-38D2A22BFFFD}"/>
            </c:ext>
          </c:extLst>
        </c:ser>
        <c:ser>
          <c:idx val="6"/>
          <c:order val="6"/>
          <c:tx>
            <c:strRef>
              <c:f>'Monthly October 2025'!$AN$51</c:f>
              <c:strCache>
                <c:ptCount val="1"/>
                <c:pt idx="0">
                  <c:v>Friday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'Monthly October 2025'!$AG$52:$AG$57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October 2025'!$AN$52:$AN$57</c:f>
              <c:numCache>
                <c:formatCode>General</c:formatCode>
                <c:ptCount val="6"/>
                <c:pt idx="0">
                  <c:v>247</c:v>
                </c:pt>
                <c:pt idx="1">
                  <c:v>93</c:v>
                </c:pt>
                <c:pt idx="2">
                  <c:v>229</c:v>
                </c:pt>
                <c:pt idx="3">
                  <c:v>50</c:v>
                </c:pt>
                <c:pt idx="4">
                  <c:v>79</c:v>
                </c:pt>
                <c:pt idx="5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EB3-4CA5-BFBC-38D2A22BFF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Room Attendance - [Week]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October 2025'!$AG$52</c:f>
              <c:strCache>
                <c:ptCount val="1"/>
                <c:pt idx="0">
                  <c:v>Cardio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October 2025'!$AH$51:$AN$51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October 2025'!$AH$52:$AN$52</c:f>
              <c:numCache>
                <c:formatCode>General</c:formatCode>
                <c:ptCount val="7"/>
                <c:pt idx="0">
                  <c:v>108</c:v>
                </c:pt>
                <c:pt idx="1">
                  <c:v>125</c:v>
                </c:pt>
                <c:pt idx="2">
                  <c:v>356</c:v>
                </c:pt>
                <c:pt idx="3">
                  <c:v>339</c:v>
                </c:pt>
                <c:pt idx="4">
                  <c:v>284</c:v>
                </c:pt>
                <c:pt idx="5">
                  <c:v>274</c:v>
                </c:pt>
                <c:pt idx="6">
                  <c:v>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27-40CA-874D-CDBF962473B4}"/>
            </c:ext>
          </c:extLst>
        </c:ser>
        <c:ser>
          <c:idx val="1"/>
          <c:order val="1"/>
          <c:tx>
            <c:strRef>
              <c:f>'Monthly October 2025'!$AG$53</c:f>
              <c:strCache>
                <c:ptCount val="1"/>
                <c:pt idx="0">
                  <c:v>eGym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October 2025'!$AH$51:$AN$51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October 2025'!$AH$53:$AN$53</c:f>
              <c:numCache>
                <c:formatCode>General</c:formatCode>
                <c:ptCount val="7"/>
                <c:pt idx="0">
                  <c:v>51</c:v>
                </c:pt>
                <c:pt idx="1">
                  <c:v>27</c:v>
                </c:pt>
                <c:pt idx="2">
                  <c:v>149</c:v>
                </c:pt>
                <c:pt idx="3">
                  <c:v>131</c:v>
                </c:pt>
                <c:pt idx="4">
                  <c:v>167</c:v>
                </c:pt>
                <c:pt idx="5">
                  <c:v>103</c:v>
                </c:pt>
                <c:pt idx="6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27-40CA-874D-CDBF962473B4}"/>
            </c:ext>
          </c:extLst>
        </c:ser>
        <c:ser>
          <c:idx val="2"/>
          <c:order val="2"/>
          <c:tx>
            <c:strRef>
              <c:f>'Monthly October 2025'!$AG$54</c:f>
              <c:strCache>
                <c:ptCount val="1"/>
                <c:pt idx="0">
                  <c:v>Free Weight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October 2025'!$AH$51:$AN$51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October 2025'!$AH$54:$AN$54</c:f>
              <c:numCache>
                <c:formatCode>General</c:formatCode>
                <c:ptCount val="7"/>
                <c:pt idx="0">
                  <c:v>122</c:v>
                </c:pt>
                <c:pt idx="1">
                  <c:v>95</c:v>
                </c:pt>
                <c:pt idx="2">
                  <c:v>303</c:v>
                </c:pt>
                <c:pt idx="3">
                  <c:v>302</c:v>
                </c:pt>
                <c:pt idx="4">
                  <c:v>305</c:v>
                </c:pt>
                <c:pt idx="5">
                  <c:v>283</c:v>
                </c:pt>
                <c:pt idx="6">
                  <c:v>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27-40CA-874D-CDBF962473B4}"/>
            </c:ext>
          </c:extLst>
        </c:ser>
        <c:ser>
          <c:idx val="3"/>
          <c:order val="3"/>
          <c:tx>
            <c:strRef>
              <c:f>'Monthly October 2025'!$AG$55</c:f>
              <c:strCache>
                <c:ptCount val="1"/>
                <c:pt idx="0">
                  <c:v>Track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October 2025'!$AH$51:$AN$51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October 2025'!$AH$55:$AN$55</c:f>
              <c:numCache>
                <c:formatCode>General</c:formatCode>
                <c:ptCount val="7"/>
                <c:pt idx="0">
                  <c:v>30</c:v>
                </c:pt>
                <c:pt idx="1">
                  <c:v>25</c:v>
                </c:pt>
                <c:pt idx="2">
                  <c:v>97</c:v>
                </c:pt>
                <c:pt idx="3">
                  <c:v>95</c:v>
                </c:pt>
                <c:pt idx="4">
                  <c:v>79</c:v>
                </c:pt>
                <c:pt idx="5">
                  <c:v>102</c:v>
                </c:pt>
                <c:pt idx="6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27-40CA-874D-CDBF962473B4}"/>
            </c:ext>
          </c:extLst>
        </c:ser>
        <c:ser>
          <c:idx val="4"/>
          <c:order val="4"/>
          <c:tx>
            <c:strRef>
              <c:f>'Monthly October 2025'!$AG$56</c:f>
              <c:strCache>
                <c:ptCount val="1"/>
                <c:pt idx="0">
                  <c:v>Stretch &amp; Core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October 2025'!$AH$51:$AN$51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October 2025'!$AH$56:$AN$56</c:f>
              <c:numCache>
                <c:formatCode>General</c:formatCode>
                <c:ptCount val="7"/>
                <c:pt idx="0">
                  <c:v>41</c:v>
                </c:pt>
                <c:pt idx="1">
                  <c:v>26</c:v>
                </c:pt>
                <c:pt idx="2">
                  <c:v>123</c:v>
                </c:pt>
                <c:pt idx="3">
                  <c:v>116</c:v>
                </c:pt>
                <c:pt idx="4">
                  <c:v>96</c:v>
                </c:pt>
                <c:pt idx="5">
                  <c:v>81</c:v>
                </c:pt>
                <c:pt idx="6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27-40CA-874D-CDBF962473B4}"/>
            </c:ext>
          </c:extLst>
        </c:ser>
        <c:ser>
          <c:idx val="5"/>
          <c:order val="5"/>
          <c:tx>
            <c:strRef>
              <c:f>'Monthly October 2025'!$AG$57</c:f>
              <c:strCache>
                <c:ptCount val="1"/>
                <c:pt idx="0">
                  <c:v>SPC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October 2025'!$AH$51:$AN$51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October 2025'!$AH$57:$AN$57</c:f>
              <c:numCache>
                <c:formatCode>General</c:formatCode>
                <c:ptCount val="7"/>
                <c:pt idx="0">
                  <c:v>47</c:v>
                </c:pt>
                <c:pt idx="1">
                  <c:v>27</c:v>
                </c:pt>
                <c:pt idx="2">
                  <c:v>130</c:v>
                </c:pt>
                <c:pt idx="3">
                  <c:v>112</c:v>
                </c:pt>
                <c:pt idx="4">
                  <c:v>118</c:v>
                </c:pt>
                <c:pt idx="5">
                  <c:v>109</c:v>
                </c:pt>
                <c:pt idx="6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27-40CA-874D-CDBF96247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Room Attendance - [Week]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October 2025'!$AG$98</c:f>
              <c:strCache>
                <c:ptCount val="1"/>
                <c:pt idx="0">
                  <c:v>Cardio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October 2025'!$AH$97:$AN$97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October 2025'!$AH$98:$AN$98</c:f>
              <c:numCache>
                <c:formatCode>General</c:formatCode>
                <c:ptCount val="7"/>
                <c:pt idx="0">
                  <c:v>183</c:v>
                </c:pt>
                <c:pt idx="1">
                  <c:v>131</c:v>
                </c:pt>
                <c:pt idx="2">
                  <c:v>373</c:v>
                </c:pt>
                <c:pt idx="3">
                  <c:v>324</c:v>
                </c:pt>
                <c:pt idx="4">
                  <c:v>271</c:v>
                </c:pt>
                <c:pt idx="5">
                  <c:v>282</c:v>
                </c:pt>
                <c:pt idx="6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50-4355-A8B5-D55A57298EA3}"/>
            </c:ext>
          </c:extLst>
        </c:ser>
        <c:ser>
          <c:idx val="1"/>
          <c:order val="1"/>
          <c:tx>
            <c:strRef>
              <c:f>'Monthly October 2025'!$AG$99</c:f>
              <c:strCache>
                <c:ptCount val="1"/>
                <c:pt idx="0">
                  <c:v>eGym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October 2025'!$AH$97:$AN$97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October 2025'!$AH$99:$AN$99</c:f>
              <c:numCache>
                <c:formatCode>General</c:formatCode>
                <c:ptCount val="7"/>
                <c:pt idx="0">
                  <c:v>62</c:v>
                </c:pt>
                <c:pt idx="1">
                  <c:v>46</c:v>
                </c:pt>
                <c:pt idx="2">
                  <c:v>170</c:v>
                </c:pt>
                <c:pt idx="3">
                  <c:v>117</c:v>
                </c:pt>
                <c:pt idx="4">
                  <c:v>149</c:v>
                </c:pt>
                <c:pt idx="5">
                  <c:v>125</c:v>
                </c:pt>
                <c:pt idx="6">
                  <c:v>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50-4355-A8B5-D55A57298EA3}"/>
            </c:ext>
          </c:extLst>
        </c:ser>
        <c:ser>
          <c:idx val="2"/>
          <c:order val="2"/>
          <c:tx>
            <c:strRef>
              <c:f>'Monthly October 2025'!$AG$100</c:f>
              <c:strCache>
                <c:ptCount val="1"/>
                <c:pt idx="0">
                  <c:v>Free Weight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October 2025'!$AH$97:$AN$97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October 2025'!$AH$100:$AN$100</c:f>
              <c:numCache>
                <c:formatCode>General</c:formatCode>
                <c:ptCount val="7"/>
                <c:pt idx="0">
                  <c:v>195</c:v>
                </c:pt>
                <c:pt idx="1">
                  <c:v>117</c:v>
                </c:pt>
                <c:pt idx="2">
                  <c:v>352</c:v>
                </c:pt>
                <c:pt idx="3">
                  <c:v>305</c:v>
                </c:pt>
                <c:pt idx="4">
                  <c:v>289</c:v>
                </c:pt>
                <c:pt idx="5">
                  <c:v>324</c:v>
                </c:pt>
                <c:pt idx="6">
                  <c:v>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50-4355-A8B5-D55A57298EA3}"/>
            </c:ext>
          </c:extLst>
        </c:ser>
        <c:ser>
          <c:idx val="3"/>
          <c:order val="3"/>
          <c:tx>
            <c:strRef>
              <c:f>'Monthly October 2025'!$AG$101</c:f>
              <c:strCache>
                <c:ptCount val="1"/>
                <c:pt idx="0">
                  <c:v>Track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October 2025'!$AH$97:$AN$97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October 2025'!$AH$101:$AN$101</c:f>
              <c:numCache>
                <c:formatCode>General</c:formatCode>
                <c:ptCount val="7"/>
                <c:pt idx="0">
                  <c:v>56</c:v>
                </c:pt>
                <c:pt idx="1">
                  <c:v>43</c:v>
                </c:pt>
                <c:pt idx="2">
                  <c:v>115</c:v>
                </c:pt>
                <c:pt idx="3">
                  <c:v>100</c:v>
                </c:pt>
                <c:pt idx="4">
                  <c:v>86</c:v>
                </c:pt>
                <c:pt idx="5">
                  <c:v>86</c:v>
                </c:pt>
                <c:pt idx="6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F50-4355-A8B5-D55A57298EA3}"/>
            </c:ext>
          </c:extLst>
        </c:ser>
        <c:ser>
          <c:idx val="4"/>
          <c:order val="4"/>
          <c:tx>
            <c:strRef>
              <c:f>'Monthly October 2025'!$AG$102</c:f>
              <c:strCache>
                <c:ptCount val="1"/>
                <c:pt idx="0">
                  <c:v>Stretch &amp; Core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October 2025'!$AH$97:$AN$97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October 2025'!$AH$102:$AN$102</c:f>
              <c:numCache>
                <c:formatCode>General</c:formatCode>
                <c:ptCount val="7"/>
                <c:pt idx="0">
                  <c:v>69</c:v>
                </c:pt>
                <c:pt idx="1">
                  <c:v>40</c:v>
                </c:pt>
                <c:pt idx="2">
                  <c:v>113</c:v>
                </c:pt>
                <c:pt idx="3">
                  <c:v>85</c:v>
                </c:pt>
                <c:pt idx="4">
                  <c:v>87</c:v>
                </c:pt>
                <c:pt idx="5">
                  <c:v>100</c:v>
                </c:pt>
                <c:pt idx="6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F50-4355-A8B5-D55A57298EA3}"/>
            </c:ext>
          </c:extLst>
        </c:ser>
        <c:ser>
          <c:idx val="5"/>
          <c:order val="5"/>
          <c:tx>
            <c:strRef>
              <c:f>'Monthly October 2025'!$AG$103</c:f>
              <c:strCache>
                <c:ptCount val="1"/>
                <c:pt idx="0">
                  <c:v>SPC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October 2025'!$AH$97:$AN$97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October 2025'!$AH$103:$AN$103</c:f>
              <c:numCache>
                <c:formatCode>General</c:formatCode>
                <c:ptCount val="7"/>
                <c:pt idx="0">
                  <c:v>73</c:v>
                </c:pt>
                <c:pt idx="1">
                  <c:v>33</c:v>
                </c:pt>
                <c:pt idx="2">
                  <c:v>143</c:v>
                </c:pt>
                <c:pt idx="3">
                  <c:v>106</c:v>
                </c:pt>
                <c:pt idx="4">
                  <c:v>98</c:v>
                </c:pt>
                <c:pt idx="5">
                  <c:v>107</c:v>
                </c:pt>
                <c:pt idx="6">
                  <c:v>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F50-4355-A8B5-D55A57298E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Room Popularity - [Week]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October 2025'!$AH$97</c:f>
              <c:strCache>
                <c:ptCount val="1"/>
                <c:pt idx="0">
                  <c:v>Saturday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October 2025'!$AG$98:$AG$103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October 2025'!$AH$98:$AH$103</c:f>
              <c:numCache>
                <c:formatCode>General</c:formatCode>
                <c:ptCount val="6"/>
                <c:pt idx="0">
                  <c:v>183</c:v>
                </c:pt>
                <c:pt idx="1">
                  <c:v>62</c:v>
                </c:pt>
                <c:pt idx="2">
                  <c:v>195</c:v>
                </c:pt>
                <c:pt idx="3">
                  <c:v>56</c:v>
                </c:pt>
                <c:pt idx="4">
                  <c:v>69</c:v>
                </c:pt>
                <c:pt idx="5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7F-4F46-A169-11D5335817E4}"/>
            </c:ext>
          </c:extLst>
        </c:ser>
        <c:ser>
          <c:idx val="1"/>
          <c:order val="1"/>
          <c:tx>
            <c:strRef>
              <c:f>'Monthly October 2025'!$AI$97</c:f>
              <c:strCache>
                <c:ptCount val="1"/>
                <c:pt idx="0">
                  <c:v>Sunday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October 2025'!$AG$98:$AG$103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October 2025'!$AI$98:$AI$103</c:f>
              <c:numCache>
                <c:formatCode>General</c:formatCode>
                <c:ptCount val="6"/>
                <c:pt idx="0">
                  <c:v>131</c:v>
                </c:pt>
                <c:pt idx="1">
                  <c:v>46</c:v>
                </c:pt>
                <c:pt idx="2">
                  <c:v>117</c:v>
                </c:pt>
                <c:pt idx="3">
                  <c:v>43</c:v>
                </c:pt>
                <c:pt idx="4">
                  <c:v>40</c:v>
                </c:pt>
                <c:pt idx="5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7F-4F46-A169-11D5335817E4}"/>
            </c:ext>
          </c:extLst>
        </c:ser>
        <c:ser>
          <c:idx val="2"/>
          <c:order val="2"/>
          <c:tx>
            <c:strRef>
              <c:f>'Monthly October 2025'!$AJ$97</c:f>
              <c:strCache>
                <c:ptCount val="1"/>
                <c:pt idx="0">
                  <c:v>Monday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October 2025'!$AG$98:$AG$103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October 2025'!$AJ$98:$AJ$103</c:f>
              <c:numCache>
                <c:formatCode>General</c:formatCode>
                <c:ptCount val="6"/>
                <c:pt idx="0">
                  <c:v>373</c:v>
                </c:pt>
                <c:pt idx="1">
                  <c:v>170</c:v>
                </c:pt>
                <c:pt idx="2">
                  <c:v>352</c:v>
                </c:pt>
                <c:pt idx="3">
                  <c:v>115</c:v>
                </c:pt>
                <c:pt idx="4">
                  <c:v>113</c:v>
                </c:pt>
                <c:pt idx="5">
                  <c:v>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7F-4F46-A169-11D5335817E4}"/>
            </c:ext>
          </c:extLst>
        </c:ser>
        <c:ser>
          <c:idx val="3"/>
          <c:order val="3"/>
          <c:tx>
            <c:strRef>
              <c:f>'Monthly October 2025'!$AK$97</c:f>
              <c:strCache>
                <c:ptCount val="1"/>
                <c:pt idx="0">
                  <c:v>Tuesday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October 2025'!$AG$98:$AG$103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October 2025'!$AK$98:$AK$103</c:f>
              <c:numCache>
                <c:formatCode>General</c:formatCode>
                <c:ptCount val="6"/>
                <c:pt idx="0">
                  <c:v>324</c:v>
                </c:pt>
                <c:pt idx="1">
                  <c:v>117</c:v>
                </c:pt>
                <c:pt idx="2">
                  <c:v>305</c:v>
                </c:pt>
                <c:pt idx="3">
                  <c:v>100</c:v>
                </c:pt>
                <c:pt idx="4">
                  <c:v>85</c:v>
                </c:pt>
                <c:pt idx="5">
                  <c:v>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7F-4F46-A169-11D5335817E4}"/>
            </c:ext>
          </c:extLst>
        </c:ser>
        <c:ser>
          <c:idx val="4"/>
          <c:order val="4"/>
          <c:tx>
            <c:strRef>
              <c:f>'Monthly October 2025'!$AL$97</c:f>
              <c:strCache>
                <c:ptCount val="1"/>
                <c:pt idx="0">
                  <c:v>Wednesday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October 2025'!$AG$98:$AG$103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October 2025'!$AL$98:$AL$103</c:f>
              <c:numCache>
                <c:formatCode>General</c:formatCode>
                <c:ptCount val="6"/>
                <c:pt idx="0">
                  <c:v>271</c:v>
                </c:pt>
                <c:pt idx="1">
                  <c:v>149</c:v>
                </c:pt>
                <c:pt idx="2">
                  <c:v>289</c:v>
                </c:pt>
                <c:pt idx="3">
                  <c:v>86</c:v>
                </c:pt>
                <c:pt idx="4">
                  <c:v>87</c:v>
                </c:pt>
                <c:pt idx="5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07F-4F46-A169-11D5335817E4}"/>
            </c:ext>
          </c:extLst>
        </c:ser>
        <c:ser>
          <c:idx val="5"/>
          <c:order val="5"/>
          <c:tx>
            <c:strRef>
              <c:f>'Monthly October 2025'!$AM$97</c:f>
              <c:strCache>
                <c:ptCount val="1"/>
                <c:pt idx="0">
                  <c:v>Thursday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October 2025'!$AG$98:$AG$103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October 2025'!$AM$98:$AM$103</c:f>
              <c:numCache>
                <c:formatCode>General</c:formatCode>
                <c:ptCount val="6"/>
                <c:pt idx="0">
                  <c:v>282</c:v>
                </c:pt>
                <c:pt idx="1">
                  <c:v>125</c:v>
                </c:pt>
                <c:pt idx="2">
                  <c:v>324</c:v>
                </c:pt>
                <c:pt idx="3">
                  <c:v>86</c:v>
                </c:pt>
                <c:pt idx="4">
                  <c:v>100</c:v>
                </c:pt>
                <c:pt idx="5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07F-4F46-A169-11D5335817E4}"/>
            </c:ext>
          </c:extLst>
        </c:ser>
        <c:ser>
          <c:idx val="6"/>
          <c:order val="6"/>
          <c:tx>
            <c:strRef>
              <c:f>'Monthly October 2025'!$AN$97</c:f>
              <c:strCache>
                <c:ptCount val="1"/>
                <c:pt idx="0">
                  <c:v>Friday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'Monthly October 2025'!$AG$98:$AG$103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October 2025'!$AN$98:$AN$103</c:f>
              <c:numCache>
                <c:formatCode>General</c:formatCode>
                <c:ptCount val="6"/>
                <c:pt idx="0">
                  <c:v>250</c:v>
                </c:pt>
                <c:pt idx="1">
                  <c:v>145</c:v>
                </c:pt>
                <c:pt idx="2">
                  <c:v>255</c:v>
                </c:pt>
                <c:pt idx="3">
                  <c:v>89</c:v>
                </c:pt>
                <c:pt idx="4">
                  <c:v>84</c:v>
                </c:pt>
                <c:pt idx="5">
                  <c:v>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07F-4F46-A169-11D5335817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Room Attendance - [Week]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October 2025'!$AG$144</c:f>
              <c:strCache>
                <c:ptCount val="1"/>
                <c:pt idx="0">
                  <c:v>Cardio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October 2025'!$AH$143:$AN$143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October 2025'!$AH$144:$AN$144</c:f>
              <c:numCache>
                <c:formatCode>General</c:formatCode>
                <c:ptCount val="7"/>
                <c:pt idx="0">
                  <c:v>126</c:v>
                </c:pt>
                <c:pt idx="1">
                  <c:v>161</c:v>
                </c:pt>
                <c:pt idx="2">
                  <c:v>418</c:v>
                </c:pt>
                <c:pt idx="3">
                  <c:v>356</c:v>
                </c:pt>
                <c:pt idx="4">
                  <c:v>368</c:v>
                </c:pt>
                <c:pt idx="5">
                  <c:v>328</c:v>
                </c:pt>
                <c:pt idx="6">
                  <c:v>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B8-4F37-9561-205007A30728}"/>
            </c:ext>
          </c:extLst>
        </c:ser>
        <c:ser>
          <c:idx val="1"/>
          <c:order val="1"/>
          <c:tx>
            <c:strRef>
              <c:f>'Monthly October 2025'!$AG$145</c:f>
              <c:strCache>
                <c:ptCount val="1"/>
                <c:pt idx="0">
                  <c:v>eGym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October 2025'!$AH$143:$AN$143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October 2025'!$AH$145:$AN$145</c:f>
              <c:numCache>
                <c:formatCode>General</c:formatCode>
                <c:ptCount val="7"/>
                <c:pt idx="0">
                  <c:v>40</c:v>
                </c:pt>
                <c:pt idx="1">
                  <c:v>53</c:v>
                </c:pt>
                <c:pt idx="2">
                  <c:v>186</c:v>
                </c:pt>
                <c:pt idx="3">
                  <c:v>141</c:v>
                </c:pt>
                <c:pt idx="4">
                  <c:v>181</c:v>
                </c:pt>
                <c:pt idx="5">
                  <c:v>140</c:v>
                </c:pt>
                <c:pt idx="6">
                  <c:v>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B8-4F37-9561-205007A30728}"/>
            </c:ext>
          </c:extLst>
        </c:ser>
        <c:ser>
          <c:idx val="2"/>
          <c:order val="2"/>
          <c:tx>
            <c:strRef>
              <c:f>'Monthly October 2025'!$AG$146</c:f>
              <c:strCache>
                <c:ptCount val="1"/>
                <c:pt idx="0">
                  <c:v>Free Weight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October 2025'!$AH$143:$AN$143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October 2025'!$AH$146:$AN$146</c:f>
              <c:numCache>
                <c:formatCode>General</c:formatCode>
                <c:ptCount val="7"/>
                <c:pt idx="0">
                  <c:v>146</c:v>
                </c:pt>
                <c:pt idx="1">
                  <c:v>148</c:v>
                </c:pt>
                <c:pt idx="2">
                  <c:v>391</c:v>
                </c:pt>
                <c:pt idx="3">
                  <c:v>307</c:v>
                </c:pt>
                <c:pt idx="4">
                  <c:v>293</c:v>
                </c:pt>
                <c:pt idx="5">
                  <c:v>294</c:v>
                </c:pt>
                <c:pt idx="6">
                  <c:v>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B8-4F37-9561-205007A30728}"/>
            </c:ext>
          </c:extLst>
        </c:ser>
        <c:ser>
          <c:idx val="3"/>
          <c:order val="3"/>
          <c:tx>
            <c:strRef>
              <c:f>'Monthly October 2025'!$AG$147</c:f>
              <c:strCache>
                <c:ptCount val="1"/>
                <c:pt idx="0">
                  <c:v>Track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October 2025'!$AH$143:$AN$143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October 2025'!$AH$147:$AN$147</c:f>
              <c:numCache>
                <c:formatCode>General</c:formatCode>
                <c:ptCount val="7"/>
                <c:pt idx="0">
                  <c:v>37</c:v>
                </c:pt>
                <c:pt idx="1">
                  <c:v>40</c:v>
                </c:pt>
                <c:pt idx="2">
                  <c:v>132</c:v>
                </c:pt>
                <c:pt idx="3">
                  <c:v>101</c:v>
                </c:pt>
                <c:pt idx="4">
                  <c:v>114</c:v>
                </c:pt>
                <c:pt idx="5">
                  <c:v>129</c:v>
                </c:pt>
                <c:pt idx="6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9B8-4F37-9561-205007A30728}"/>
            </c:ext>
          </c:extLst>
        </c:ser>
        <c:ser>
          <c:idx val="4"/>
          <c:order val="4"/>
          <c:tx>
            <c:strRef>
              <c:f>'Monthly October 2025'!$AG$148</c:f>
              <c:strCache>
                <c:ptCount val="1"/>
                <c:pt idx="0">
                  <c:v>Stretch &amp; Core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October 2025'!$AH$143:$AN$143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October 2025'!$AH$148:$AN$148</c:f>
              <c:numCache>
                <c:formatCode>General</c:formatCode>
                <c:ptCount val="7"/>
                <c:pt idx="0">
                  <c:v>32</c:v>
                </c:pt>
                <c:pt idx="1">
                  <c:v>42</c:v>
                </c:pt>
                <c:pt idx="2">
                  <c:v>124</c:v>
                </c:pt>
                <c:pt idx="3">
                  <c:v>96</c:v>
                </c:pt>
                <c:pt idx="4">
                  <c:v>120</c:v>
                </c:pt>
                <c:pt idx="5">
                  <c:v>132</c:v>
                </c:pt>
                <c:pt idx="6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9B8-4F37-9561-205007A30728}"/>
            </c:ext>
          </c:extLst>
        </c:ser>
        <c:ser>
          <c:idx val="5"/>
          <c:order val="5"/>
          <c:tx>
            <c:strRef>
              <c:f>'Monthly October 2025'!$AG$149</c:f>
              <c:strCache>
                <c:ptCount val="1"/>
                <c:pt idx="0">
                  <c:v>SPC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October 2025'!$AH$143:$AN$143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October 2025'!$AH$149:$AN$149</c:f>
              <c:numCache>
                <c:formatCode>General</c:formatCode>
                <c:ptCount val="7"/>
                <c:pt idx="0">
                  <c:v>47</c:v>
                </c:pt>
                <c:pt idx="1">
                  <c:v>44</c:v>
                </c:pt>
                <c:pt idx="2">
                  <c:v>171</c:v>
                </c:pt>
                <c:pt idx="3">
                  <c:v>111</c:v>
                </c:pt>
                <c:pt idx="4">
                  <c:v>120</c:v>
                </c:pt>
                <c:pt idx="5">
                  <c:v>110</c:v>
                </c:pt>
                <c:pt idx="6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9B8-4F37-9561-205007A30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Room Popularity - [Week]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October 2025'!$AH$143</c:f>
              <c:strCache>
                <c:ptCount val="1"/>
                <c:pt idx="0">
                  <c:v>Saturday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October 2025'!$AG$144:$AG$149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October 2025'!$AH$144:$AH$149</c:f>
              <c:numCache>
                <c:formatCode>General</c:formatCode>
                <c:ptCount val="6"/>
                <c:pt idx="0">
                  <c:v>126</c:v>
                </c:pt>
                <c:pt idx="1">
                  <c:v>40</c:v>
                </c:pt>
                <c:pt idx="2">
                  <c:v>146</c:v>
                </c:pt>
                <c:pt idx="3">
                  <c:v>37</c:v>
                </c:pt>
                <c:pt idx="4">
                  <c:v>32</c:v>
                </c:pt>
                <c:pt idx="5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F2-40C9-93B2-64F656626C41}"/>
            </c:ext>
          </c:extLst>
        </c:ser>
        <c:ser>
          <c:idx val="1"/>
          <c:order val="1"/>
          <c:tx>
            <c:strRef>
              <c:f>'Monthly October 2025'!$AI$143</c:f>
              <c:strCache>
                <c:ptCount val="1"/>
                <c:pt idx="0">
                  <c:v>Sunday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October 2025'!$AG$144:$AG$149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October 2025'!$AI$144:$AI$149</c:f>
              <c:numCache>
                <c:formatCode>General</c:formatCode>
                <c:ptCount val="6"/>
                <c:pt idx="0">
                  <c:v>161</c:v>
                </c:pt>
                <c:pt idx="1">
                  <c:v>53</c:v>
                </c:pt>
                <c:pt idx="2">
                  <c:v>148</c:v>
                </c:pt>
                <c:pt idx="3">
                  <c:v>40</c:v>
                </c:pt>
                <c:pt idx="4">
                  <c:v>42</c:v>
                </c:pt>
                <c:pt idx="5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F2-40C9-93B2-64F656626C41}"/>
            </c:ext>
          </c:extLst>
        </c:ser>
        <c:ser>
          <c:idx val="2"/>
          <c:order val="2"/>
          <c:tx>
            <c:strRef>
              <c:f>'Monthly October 2025'!$AJ$143</c:f>
              <c:strCache>
                <c:ptCount val="1"/>
                <c:pt idx="0">
                  <c:v>Monday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October 2025'!$AG$144:$AG$149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October 2025'!$AJ$144:$AJ$149</c:f>
              <c:numCache>
                <c:formatCode>General</c:formatCode>
                <c:ptCount val="6"/>
                <c:pt idx="0">
                  <c:v>418</c:v>
                </c:pt>
                <c:pt idx="1">
                  <c:v>186</c:v>
                </c:pt>
                <c:pt idx="2">
                  <c:v>391</c:v>
                </c:pt>
                <c:pt idx="3">
                  <c:v>132</c:v>
                </c:pt>
                <c:pt idx="4">
                  <c:v>124</c:v>
                </c:pt>
                <c:pt idx="5">
                  <c:v>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F2-40C9-93B2-64F656626C41}"/>
            </c:ext>
          </c:extLst>
        </c:ser>
        <c:ser>
          <c:idx val="3"/>
          <c:order val="3"/>
          <c:tx>
            <c:strRef>
              <c:f>'Monthly October 2025'!$AK$143</c:f>
              <c:strCache>
                <c:ptCount val="1"/>
                <c:pt idx="0">
                  <c:v>Tuesday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October 2025'!$AG$144:$AG$149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October 2025'!$AK$144:$AK$149</c:f>
              <c:numCache>
                <c:formatCode>General</c:formatCode>
                <c:ptCount val="6"/>
                <c:pt idx="0">
                  <c:v>356</c:v>
                </c:pt>
                <c:pt idx="1">
                  <c:v>141</c:v>
                </c:pt>
                <c:pt idx="2">
                  <c:v>307</c:v>
                </c:pt>
                <c:pt idx="3">
                  <c:v>101</c:v>
                </c:pt>
                <c:pt idx="4">
                  <c:v>96</c:v>
                </c:pt>
                <c:pt idx="5">
                  <c:v>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AF2-40C9-93B2-64F656626C41}"/>
            </c:ext>
          </c:extLst>
        </c:ser>
        <c:ser>
          <c:idx val="4"/>
          <c:order val="4"/>
          <c:tx>
            <c:strRef>
              <c:f>'Monthly October 2025'!$AL$143</c:f>
              <c:strCache>
                <c:ptCount val="1"/>
                <c:pt idx="0">
                  <c:v>Wednesday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October 2025'!$AG$144:$AG$149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October 2025'!$AL$144:$AL$149</c:f>
              <c:numCache>
                <c:formatCode>General</c:formatCode>
                <c:ptCount val="6"/>
                <c:pt idx="0">
                  <c:v>368</c:v>
                </c:pt>
                <c:pt idx="1">
                  <c:v>181</c:v>
                </c:pt>
                <c:pt idx="2">
                  <c:v>293</c:v>
                </c:pt>
                <c:pt idx="3">
                  <c:v>114</c:v>
                </c:pt>
                <c:pt idx="4">
                  <c:v>120</c:v>
                </c:pt>
                <c:pt idx="5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AF2-40C9-93B2-64F656626C41}"/>
            </c:ext>
          </c:extLst>
        </c:ser>
        <c:ser>
          <c:idx val="5"/>
          <c:order val="5"/>
          <c:tx>
            <c:strRef>
              <c:f>'Monthly October 2025'!$AM$143</c:f>
              <c:strCache>
                <c:ptCount val="1"/>
                <c:pt idx="0">
                  <c:v>Thursday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October 2025'!$AG$144:$AG$149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October 2025'!$AM$144:$AM$149</c:f>
              <c:numCache>
                <c:formatCode>General</c:formatCode>
                <c:ptCount val="6"/>
                <c:pt idx="0">
                  <c:v>328</c:v>
                </c:pt>
                <c:pt idx="1">
                  <c:v>140</c:v>
                </c:pt>
                <c:pt idx="2">
                  <c:v>294</c:v>
                </c:pt>
                <c:pt idx="3">
                  <c:v>129</c:v>
                </c:pt>
                <c:pt idx="4">
                  <c:v>132</c:v>
                </c:pt>
                <c:pt idx="5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AF2-40C9-93B2-64F656626C41}"/>
            </c:ext>
          </c:extLst>
        </c:ser>
        <c:ser>
          <c:idx val="6"/>
          <c:order val="6"/>
          <c:tx>
            <c:strRef>
              <c:f>'Monthly October 2025'!$AN$143</c:f>
              <c:strCache>
                <c:ptCount val="1"/>
                <c:pt idx="0">
                  <c:v>Friday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'Monthly October 2025'!$AG$144:$AG$149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October 2025'!$AN$144:$AN$149</c:f>
              <c:numCache>
                <c:formatCode>General</c:formatCode>
                <c:ptCount val="6"/>
                <c:pt idx="0">
                  <c:v>283</c:v>
                </c:pt>
                <c:pt idx="1">
                  <c:v>138</c:v>
                </c:pt>
                <c:pt idx="2">
                  <c:v>246</c:v>
                </c:pt>
                <c:pt idx="3">
                  <c:v>99</c:v>
                </c:pt>
                <c:pt idx="4">
                  <c:v>80</c:v>
                </c:pt>
                <c:pt idx="5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AF2-40C9-93B2-64F656626C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Room Popularity - [Week]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October 2025'!$AH$189</c:f>
              <c:strCache>
                <c:ptCount val="1"/>
                <c:pt idx="0">
                  <c:v>Saturday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October 2025'!$AG$190:$AG$195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October 2025'!$AH$190:$AH$195</c:f>
              <c:numCache>
                <c:formatCode>General</c:formatCode>
                <c:ptCount val="6"/>
                <c:pt idx="0">
                  <c:v>205</c:v>
                </c:pt>
                <c:pt idx="1">
                  <c:v>61</c:v>
                </c:pt>
                <c:pt idx="2">
                  <c:v>189</c:v>
                </c:pt>
                <c:pt idx="3">
                  <c:v>55</c:v>
                </c:pt>
                <c:pt idx="4">
                  <c:v>67</c:v>
                </c:pt>
                <c:pt idx="5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7E-420B-99A4-A7278084E1A7}"/>
            </c:ext>
          </c:extLst>
        </c:ser>
        <c:ser>
          <c:idx val="1"/>
          <c:order val="1"/>
          <c:tx>
            <c:strRef>
              <c:f>'Monthly October 2025'!$AI$189</c:f>
              <c:strCache>
                <c:ptCount val="1"/>
                <c:pt idx="0">
                  <c:v>Sunday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October 2025'!$AG$190:$AG$195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October 2025'!$AI$190:$AI$195</c:f>
              <c:numCache>
                <c:formatCode>General</c:formatCode>
                <c:ptCount val="6"/>
                <c:pt idx="0">
                  <c:v>173</c:v>
                </c:pt>
                <c:pt idx="1">
                  <c:v>50</c:v>
                </c:pt>
                <c:pt idx="2">
                  <c:v>111</c:v>
                </c:pt>
                <c:pt idx="3">
                  <c:v>26</c:v>
                </c:pt>
                <c:pt idx="4">
                  <c:v>35</c:v>
                </c:pt>
                <c:pt idx="5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7E-420B-99A4-A7278084E1A7}"/>
            </c:ext>
          </c:extLst>
        </c:ser>
        <c:ser>
          <c:idx val="2"/>
          <c:order val="2"/>
          <c:tx>
            <c:strRef>
              <c:f>'Monthly October 2025'!$AJ$189</c:f>
              <c:strCache>
                <c:ptCount val="1"/>
                <c:pt idx="0">
                  <c:v>Monday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October 2025'!$AG$190:$AG$195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October 2025'!$AJ$190:$AJ$195</c:f>
              <c:numCache>
                <c:formatCode>General</c:formatCode>
                <c:ptCount val="6"/>
                <c:pt idx="0">
                  <c:v>410</c:v>
                </c:pt>
                <c:pt idx="1">
                  <c:v>178</c:v>
                </c:pt>
                <c:pt idx="2">
                  <c:v>392</c:v>
                </c:pt>
                <c:pt idx="3">
                  <c:v>125</c:v>
                </c:pt>
                <c:pt idx="4">
                  <c:v>141</c:v>
                </c:pt>
                <c:pt idx="5">
                  <c:v>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7E-420B-99A4-A7278084E1A7}"/>
            </c:ext>
          </c:extLst>
        </c:ser>
        <c:ser>
          <c:idx val="3"/>
          <c:order val="3"/>
          <c:tx>
            <c:strRef>
              <c:f>'Monthly October 2025'!$AK$189</c:f>
              <c:strCache>
                <c:ptCount val="1"/>
                <c:pt idx="0">
                  <c:v>Tuesday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October 2025'!$AG$190:$AG$195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October 2025'!$AK$190:$AK$195</c:f>
              <c:numCache>
                <c:formatCode>General</c:formatCode>
                <c:ptCount val="6"/>
                <c:pt idx="0">
                  <c:v>324</c:v>
                </c:pt>
                <c:pt idx="1">
                  <c:v>131</c:v>
                </c:pt>
                <c:pt idx="2">
                  <c:v>325</c:v>
                </c:pt>
                <c:pt idx="3">
                  <c:v>90</c:v>
                </c:pt>
                <c:pt idx="4">
                  <c:v>111</c:v>
                </c:pt>
                <c:pt idx="5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B7E-420B-99A4-A7278084E1A7}"/>
            </c:ext>
          </c:extLst>
        </c:ser>
        <c:ser>
          <c:idx val="4"/>
          <c:order val="4"/>
          <c:tx>
            <c:strRef>
              <c:f>'Monthly October 2025'!$AL$189</c:f>
              <c:strCache>
                <c:ptCount val="1"/>
                <c:pt idx="0">
                  <c:v>Wednesday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October 2025'!$AG$190:$AG$195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October 2025'!$AL$190:$AL$195</c:f>
              <c:numCache>
                <c:formatCode>General</c:formatCode>
                <c:ptCount val="6"/>
                <c:pt idx="0">
                  <c:v>302</c:v>
                </c:pt>
                <c:pt idx="1">
                  <c:v>138</c:v>
                </c:pt>
                <c:pt idx="2">
                  <c:v>327</c:v>
                </c:pt>
                <c:pt idx="3">
                  <c:v>109</c:v>
                </c:pt>
                <c:pt idx="4">
                  <c:v>79</c:v>
                </c:pt>
                <c:pt idx="5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B7E-420B-99A4-A7278084E1A7}"/>
            </c:ext>
          </c:extLst>
        </c:ser>
        <c:ser>
          <c:idx val="5"/>
          <c:order val="5"/>
          <c:tx>
            <c:strRef>
              <c:f>'Monthly October 2025'!$AM$189</c:f>
              <c:strCache>
                <c:ptCount val="1"/>
                <c:pt idx="0">
                  <c:v>Thursday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October 2025'!$AG$190:$AG$195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October 2025'!$AM$190:$AM$195</c:f>
              <c:numCache>
                <c:formatCode>General</c:formatCode>
                <c:ptCount val="6"/>
                <c:pt idx="0">
                  <c:v>350</c:v>
                </c:pt>
                <c:pt idx="1">
                  <c:v>135</c:v>
                </c:pt>
                <c:pt idx="2">
                  <c:v>310</c:v>
                </c:pt>
                <c:pt idx="3">
                  <c:v>130</c:v>
                </c:pt>
                <c:pt idx="4">
                  <c:v>108</c:v>
                </c:pt>
                <c:pt idx="5">
                  <c:v>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B7E-420B-99A4-A7278084E1A7}"/>
            </c:ext>
          </c:extLst>
        </c:ser>
        <c:ser>
          <c:idx val="6"/>
          <c:order val="6"/>
          <c:tx>
            <c:strRef>
              <c:f>'Monthly October 2025'!$AN$189</c:f>
              <c:strCache>
                <c:ptCount val="1"/>
                <c:pt idx="0">
                  <c:v>Friday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'Monthly October 2025'!$AG$190:$AG$195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October 2025'!$AN$190:$AN$195</c:f>
              <c:numCache>
                <c:formatCode>General</c:formatCode>
                <c:ptCount val="6"/>
                <c:pt idx="0">
                  <c:v>355</c:v>
                </c:pt>
                <c:pt idx="1">
                  <c:v>796</c:v>
                </c:pt>
                <c:pt idx="2">
                  <c:v>250</c:v>
                </c:pt>
                <c:pt idx="3">
                  <c:v>103</c:v>
                </c:pt>
                <c:pt idx="4">
                  <c:v>98</c:v>
                </c:pt>
                <c:pt idx="5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B7E-420B-99A4-A7278084E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Room Attendance - [Week]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October 2025'!$AG$190</c:f>
              <c:strCache>
                <c:ptCount val="1"/>
                <c:pt idx="0">
                  <c:v>Cardio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October 2025'!$AH$189:$AN$189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October 2025'!$AH$190:$AN$190</c:f>
              <c:numCache>
                <c:formatCode>General</c:formatCode>
                <c:ptCount val="7"/>
                <c:pt idx="0">
                  <c:v>205</c:v>
                </c:pt>
                <c:pt idx="1">
                  <c:v>173</c:v>
                </c:pt>
                <c:pt idx="2">
                  <c:v>410</c:v>
                </c:pt>
                <c:pt idx="3">
                  <c:v>324</c:v>
                </c:pt>
                <c:pt idx="4">
                  <c:v>302</c:v>
                </c:pt>
                <c:pt idx="5">
                  <c:v>350</c:v>
                </c:pt>
                <c:pt idx="6">
                  <c:v>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F7-4254-BFC0-DE7B57F9918D}"/>
            </c:ext>
          </c:extLst>
        </c:ser>
        <c:ser>
          <c:idx val="1"/>
          <c:order val="1"/>
          <c:tx>
            <c:strRef>
              <c:f>'Monthly October 2025'!$AG$191</c:f>
              <c:strCache>
                <c:ptCount val="1"/>
                <c:pt idx="0">
                  <c:v>eGym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October 2025'!$AH$189:$AN$189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October 2025'!$AH$191:$AN$191</c:f>
              <c:numCache>
                <c:formatCode>General</c:formatCode>
                <c:ptCount val="7"/>
                <c:pt idx="0">
                  <c:v>61</c:v>
                </c:pt>
                <c:pt idx="1">
                  <c:v>50</c:v>
                </c:pt>
                <c:pt idx="2">
                  <c:v>178</c:v>
                </c:pt>
                <c:pt idx="3">
                  <c:v>131</c:v>
                </c:pt>
                <c:pt idx="4">
                  <c:v>138</c:v>
                </c:pt>
                <c:pt idx="5">
                  <c:v>135</c:v>
                </c:pt>
                <c:pt idx="6">
                  <c:v>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F7-4254-BFC0-DE7B57F9918D}"/>
            </c:ext>
          </c:extLst>
        </c:ser>
        <c:ser>
          <c:idx val="2"/>
          <c:order val="2"/>
          <c:tx>
            <c:strRef>
              <c:f>'Monthly October 2025'!$AG$192</c:f>
              <c:strCache>
                <c:ptCount val="1"/>
                <c:pt idx="0">
                  <c:v>Free Weight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October 2025'!$AH$189:$AN$189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October 2025'!$AH$192:$AN$192</c:f>
              <c:numCache>
                <c:formatCode>General</c:formatCode>
                <c:ptCount val="7"/>
                <c:pt idx="0">
                  <c:v>189</c:v>
                </c:pt>
                <c:pt idx="1">
                  <c:v>111</c:v>
                </c:pt>
                <c:pt idx="2">
                  <c:v>392</c:v>
                </c:pt>
                <c:pt idx="3">
                  <c:v>325</c:v>
                </c:pt>
                <c:pt idx="4">
                  <c:v>327</c:v>
                </c:pt>
                <c:pt idx="5">
                  <c:v>310</c:v>
                </c:pt>
                <c:pt idx="6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F7-4254-BFC0-DE7B57F9918D}"/>
            </c:ext>
          </c:extLst>
        </c:ser>
        <c:ser>
          <c:idx val="3"/>
          <c:order val="3"/>
          <c:tx>
            <c:strRef>
              <c:f>'Monthly October 2025'!$AG$193</c:f>
              <c:strCache>
                <c:ptCount val="1"/>
                <c:pt idx="0">
                  <c:v>Track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October 2025'!$AH$189:$AN$189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October 2025'!$AH$193:$AN$193</c:f>
              <c:numCache>
                <c:formatCode>General</c:formatCode>
                <c:ptCount val="7"/>
                <c:pt idx="0">
                  <c:v>55</c:v>
                </c:pt>
                <c:pt idx="1">
                  <c:v>26</c:v>
                </c:pt>
                <c:pt idx="2">
                  <c:v>125</c:v>
                </c:pt>
                <c:pt idx="3">
                  <c:v>90</c:v>
                </c:pt>
                <c:pt idx="4">
                  <c:v>109</c:v>
                </c:pt>
                <c:pt idx="5">
                  <c:v>130</c:v>
                </c:pt>
                <c:pt idx="6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EF7-4254-BFC0-DE7B57F9918D}"/>
            </c:ext>
          </c:extLst>
        </c:ser>
        <c:ser>
          <c:idx val="4"/>
          <c:order val="4"/>
          <c:tx>
            <c:strRef>
              <c:f>'Monthly October 2025'!$AG$194</c:f>
              <c:strCache>
                <c:ptCount val="1"/>
                <c:pt idx="0">
                  <c:v>Stretch &amp; Core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October 2025'!$AH$189:$AN$189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October 2025'!$AH$194:$AN$194</c:f>
              <c:numCache>
                <c:formatCode>General</c:formatCode>
                <c:ptCount val="7"/>
                <c:pt idx="0">
                  <c:v>67</c:v>
                </c:pt>
                <c:pt idx="1">
                  <c:v>35</c:v>
                </c:pt>
                <c:pt idx="2">
                  <c:v>141</c:v>
                </c:pt>
                <c:pt idx="3">
                  <c:v>111</c:v>
                </c:pt>
                <c:pt idx="4">
                  <c:v>79</c:v>
                </c:pt>
                <c:pt idx="5">
                  <c:v>108</c:v>
                </c:pt>
                <c:pt idx="6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EF7-4254-BFC0-DE7B57F9918D}"/>
            </c:ext>
          </c:extLst>
        </c:ser>
        <c:ser>
          <c:idx val="5"/>
          <c:order val="5"/>
          <c:tx>
            <c:strRef>
              <c:f>'Monthly October 2025'!$AG$195</c:f>
              <c:strCache>
                <c:ptCount val="1"/>
                <c:pt idx="0">
                  <c:v>SPC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October 2025'!$AH$189:$AN$189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October 2025'!$AH$195:$AN$195</c:f>
              <c:numCache>
                <c:formatCode>General</c:formatCode>
                <c:ptCount val="7"/>
                <c:pt idx="0">
                  <c:v>73</c:v>
                </c:pt>
                <c:pt idx="1">
                  <c:v>57</c:v>
                </c:pt>
                <c:pt idx="2">
                  <c:v>135</c:v>
                </c:pt>
                <c:pt idx="3">
                  <c:v>112</c:v>
                </c:pt>
                <c:pt idx="4">
                  <c:v>95</c:v>
                </c:pt>
                <c:pt idx="5">
                  <c:v>128</c:v>
                </c:pt>
                <c:pt idx="6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EF7-4254-BFC0-DE7B57F991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Room Attendance - [Month]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Cardio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October 2025'!$AQ$5:$AW$5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October 2025'!$AQ$6:$AW$6</c:f>
              <c:numCache>
                <c:formatCode>General</c:formatCode>
                <c:ptCount val="7"/>
                <c:pt idx="0">
                  <c:v>622</c:v>
                </c:pt>
                <c:pt idx="1">
                  <c:v>590</c:v>
                </c:pt>
                <c:pt idx="2">
                  <c:v>1557</c:v>
                </c:pt>
                <c:pt idx="3">
                  <c:v>1343</c:v>
                </c:pt>
                <c:pt idx="4">
                  <c:v>1496</c:v>
                </c:pt>
                <c:pt idx="5">
                  <c:v>1530</c:v>
                </c:pt>
                <c:pt idx="6">
                  <c:v>1350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166-420B-93CD-871C17754A44}"/>
            </c:ext>
          </c:extLst>
        </c:ser>
        <c:ser>
          <c:idx val="1"/>
          <c:order val="1"/>
          <c:tx>
            <c:v>eGym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October 2025'!$AQ$5:$AW$5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October 2025'!$AQ$7:$AW$7</c:f>
              <c:numCache>
                <c:formatCode>General</c:formatCode>
                <c:ptCount val="7"/>
                <c:pt idx="0">
                  <c:v>214</c:v>
                </c:pt>
                <c:pt idx="1">
                  <c:v>176</c:v>
                </c:pt>
                <c:pt idx="2">
                  <c:v>683</c:v>
                </c:pt>
                <c:pt idx="3">
                  <c:v>520</c:v>
                </c:pt>
                <c:pt idx="4">
                  <c:v>769</c:v>
                </c:pt>
                <c:pt idx="5">
                  <c:v>621</c:v>
                </c:pt>
                <c:pt idx="6">
                  <c:v>1276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166-420B-93CD-871C17754A44}"/>
            </c:ext>
          </c:extLst>
        </c:ser>
        <c:ser>
          <c:idx val="2"/>
          <c:order val="2"/>
          <c:tx>
            <c:v>Free Weight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October 2025'!$AQ$5:$AW$5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October 2025'!$AQ$8:$AW$8</c:f>
              <c:numCache>
                <c:formatCode>General</c:formatCode>
                <c:ptCount val="7"/>
                <c:pt idx="0">
                  <c:v>652</c:v>
                </c:pt>
                <c:pt idx="1">
                  <c:v>471</c:v>
                </c:pt>
                <c:pt idx="2">
                  <c:v>1438</c:v>
                </c:pt>
                <c:pt idx="3">
                  <c:v>1239</c:v>
                </c:pt>
                <c:pt idx="4">
                  <c:v>1508</c:v>
                </c:pt>
                <c:pt idx="5">
                  <c:v>1505</c:v>
                </c:pt>
                <c:pt idx="6">
                  <c:v>1169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166-420B-93CD-871C17754A44}"/>
            </c:ext>
          </c:extLst>
        </c:ser>
        <c:ser>
          <c:idx val="3"/>
          <c:order val="3"/>
          <c:tx>
            <c:v>Track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October 2025'!$AQ$5:$AW$5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October 2025'!$AQ$9:$AW$9</c:f>
              <c:numCache>
                <c:formatCode>General</c:formatCode>
                <c:ptCount val="7"/>
                <c:pt idx="0">
                  <c:v>178</c:v>
                </c:pt>
                <c:pt idx="1">
                  <c:v>134</c:v>
                </c:pt>
                <c:pt idx="2">
                  <c:v>469</c:v>
                </c:pt>
                <c:pt idx="3">
                  <c:v>386</c:v>
                </c:pt>
                <c:pt idx="4">
                  <c:v>452</c:v>
                </c:pt>
                <c:pt idx="5">
                  <c:v>530</c:v>
                </c:pt>
                <c:pt idx="6">
                  <c:v>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166-420B-93CD-871C17754A44}"/>
            </c:ext>
          </c:extLst>
        </c:ser>
        <c:ser>
          <c:idx val="4"/>
          <c:order val="4"/>
          <c:tx>
            <c:v>Stretch &amp; Core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October 2025'!$AQ$5:$AW$5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October 2025'!$AQ$10:$AW$10</c:f>
              <c:numCache>
                <c:formatCode>General</c:formatCode>
                <c:ptCount val="7"/>
                <c:pt idx="0">
                  <c:v>209</c:v>
                </c:pt>
                <c:pt idx="1">
                  <c:v>143</c:v>
                </c:pt>
                <c:pt idx="2">
                  <c:v>501</c:v>
                </c:pt>
                <c:pt idx="3">
                  <c:v>408</c:v>
                </c:pt>
                <c:pt idx="4">
                  <c:v>464</c:v>
                </c:pt>
                <c:pt idx="5">
                  <c:v>499</c:v>
                </c:pt>
                <c:pt idx="6">
                  <c:v>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166-420B-93CD-871C17754A44}"/>
            </c:ext>
          </c:extLst>
        </c:ser>
        <c:ser>
          <c:idx val="5"/>
          <c:order val="5"/>
          <c:tx>
            <c:v>SPC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October 2025'!$AQ$5:$AW$5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October 2025'!$AQ$11:$AW$11</c:f>
              <c:numCache>
                <c:formatCode>General</c:formatCode>
                <c:ptCount val="7"/>
                <c:pt idx="0">
                  <c:v>240</c:v>
                </c:pt>
                <c:pt idx="1">
                  <c:v>161</c:v>
                </c:pt>
                <c:pt idx="2">
                  <c:v>579</c:v>
                </c:pt>
                <c:pt idx="3">
                  <c:v>441</c:v>
                </c:pt>
                <c:pt idx="4">
                  <c:v>513</c:v>
                </c:pt>
                <c:pt idx="5">
                  <c:v>551</c:v>
                </c:pt>
                <c:pt idx="6">
                  <c:v>486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166-420B-93CD-871C17754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Cardio</c:v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xVal>
            <c:strRef>
              <c:f>'Monthly October 2025'!$AQ$5:$AW$5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xVal>
          <c:yVal>
            <c:numRef>
              <c:f>'Monthly October 2025'!$AQ$6:$AW$6</c:f>
              <c:numCache>
                <c:formatCode>General</c:formatCode>
                <c:ptCount val="7"/>
                <c:pt idx="0">
                  <c:v>622</c:v>
                </c:pt>
                <c:pt idx="1">
                  <c:v>590</c:v>
                </c:pt>
                <c:pt idx="2">
                  <c:v>1557</c:v>
                </c:pt>
                <c:pt idx="3">
                  <c:v>1343</c:v>
                </c:pt>
                <c:pt idx="4">
                  <c:v>1496</c:v>
                </c:pt>
                <c:pt idx="5">
                  <c:v>1530</c:v>
                </c:pt>
                <c:pt idx="6">
                  <c:v>1350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64-4934-8545-E058CBA0E0AA}"/>
            </c:ext>
          </c:extLst>
        </c:ser>
        <c:ser>
          <c:idx val="1"/>
          <c:order val="1"/>
          <c:tx>
            <c:v>eGym</c:v>
          </c:tx>
          <c:spPr>
            <a:ln w="19050" cap="rnd">
              <a:solidFill>
                <a:srgbClr val="34A85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xVal>
            <c:strRef>
              <c:f>'Monthly October 2025'!$AQ$5:$AW$5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xVal>
          <c:yVal>
            <c:numRef>
              <c:f>'Monthly October 2025'!$AQ$7:$AW$7</c:f>
              <c:numCache>
                <c:formatCode>General</c:formatCode>
                <c:ptCount val="7"/>
                <c:pt idx="0">
                  <c:v>214</c:v>
                </c:pt>
                <c:pt idx="1">
                  <c:v>176</c:v>
                </c:pt>
                <c:pt idx="2">
                  <c:v>683</c:v>
                </c:pt>
                <c:pt idx="3">
                  <c:v>520</c:v>
                </c:pt>
                <c:pt idx="4">
                  <c:v>769</c:v>
                </c:pt>
                <c:pt idx="5">
                  <c:v>621</c:v>
                </c:pt>
                <c:pt idx="6">
                  <c:v>1276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664-4934-8545-E058CBA0E0AA}"/>
            </c:ext>
          </c:extLst>
        </c:ser>
        <c:ser>
          <c:idx val="2"/>
          <c:order val="2"/>
          <c:tx>
            <c:v>Free Weight</c:v>
          </c:tx>
          <c:spPr>
            <a:ln w="19050" cap="rnd">
              <a:solidFill>
                <a:srgbClr val="FBBC0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2AA0A4"/>
              </a:solidFill>
              <a:ln w="9525">
                <a:solidFill>
                  <a:srgbClr val="2AA0A4"/>
                </a:solidFill>
              </a:ln>
              <a:effectLst/>
            </c:spPr>
          </c:marker>
          <c:xVal>
            <c:strRef>
              <c:f>'Monthly October 2025'!$AQ$5:$AW$5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xVal>
          <c:yVal>
            <c:numRef>
              <c:f>'Monthly October 2025'!$AQ$8:$AW$8</c:f>
              <c:numCache>
                <c:formatCode>General</c:formatCode>
                <c:ptCount val="7"/>
                <c:pt idx="0">
                  <c:v>652</c:v>
                </c:pt>
                <c:pt idx="1">
                  <c:v>471</c:v>
                </c:pt>
                <c:pt idx="2">
                  <c:v>1438</c:v>
                </c:pt>
                <c:pt idx="3">
                  <c:v>1239</c:v>
                </c:pt>
                <c:pt idx="4">
                  <c:v>1508</c:v>
                </c:pt>
                <c:pt idx="5">
                  <c:v>1505</c:v>
                </c:pt>
                <c:pt idx="6">
                  <c:v>1169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664-4934-8545-E058CBA0E0AA}"/>
            </c:ext>
          </c:extLst>
        </c:ser>
        <c:ser>
          <c:idx val="3"/>
          <c:order val="3"/>
          <c:tx>
            <c:v>Track</c:v>
          </c:tx>
          <c:spPr>
            <a:ln w="19050" cap="rnd">
              <a:solidFill>
                <a:srgbClr val="0D0D0D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9373C0"/>
              </a:solidFill>
              <a:ln w="9525">
                <a:solidFill>
                  <a:srgbClr val="9373C0"/>
                </a:solidFill>
              </a:ln>
              <a:effectLst/>
            </c:spPr>
          </c:marker>
          <c:xVal>
            <c:strRef>
              <c:f>'Monthly October 2025'!$AQ$5:$AW$5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xVal>
          <c:yVal>
            <c:numRef>
              <c:f>'Monthly October 2025'!$AQ$9:$AW$9</c:f>
              <c:numCache>
                <c:formatCode>General</c:formatCode>
                <c:ptCount val="7"/>
                <c:pt idx="0">
                  <c:v>178</c:v>
                </c:pt>
                <c:pt idx="1">
                  <c:v>134</c:v>
                </c:pt>
                <c:pt idx="2">
                  <c:v>469</c:v>
                </c:pt>
                <c:pt idx="3">
                  <c:v>386</c:v>
                </c:pt>
                <c:pt idx="4">
                  <c:v>452</c:v>
                </c:pt>
                <c:pt idx="5">
                  <c:v>530</c:v>
                </c:pt>
                <c:pt idx="6">
                  <c:v>413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664-4934-8545-E058CBA0E0AA}"/>
            </c:ext>
          </c:extLst>
        </c:ser>
        <c:ser>
          <c:idx val="4"/>
          <c:order val="4"/>
          <c:tx>
            <c:v>Stretch &amp; Core</c:v>
          </c:tx>
          <c:spPr>
            <a:ln w="19050" cap="rnd">
              <a:solidFill>
                <a:srgbClr val="7030A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13A10E"/>
              </a:solidFill>
              <a:ln w="9525">
                <a:solidFill>
                  <a:srgbClr val="13A10E"/>
                </a:solidFill>
              </a:ln>
              <a:effectLst/>
            </c:spPr>
          </c:marker>
          <c:xVal>
            <c:strRef>
              <c:f>'Monthly October 2025'!$AQ$5:$AW$5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xVal>
          <c:yVal>
            <c:numRef>
              <c:f>'Monthly October 2025'!$AQ$10:$AW$10</c:f>
              <c:numCache>
                <c:formatCode>General</c:formatCode>
                <c:ptCount val="7"/>
                <c:pt idx="0">
                  <c:v>209</c:v>
                </c:pt>
                <c:pt idx="1">
                  <c:v>143</c:v>
                </c:pt>
                <c:pt idx="2">
                  <c:v>501</c:v>
                </c:pt>
                <c:pt idx="3">
                  <c:v>408</c:v>
                </c:pt>
                <c:pt idx="4">
                  <c:v>464</c:v>
                </c:pt>
                <c:pt idx="5">
                  <c:v>499</c:v>
                </c:pt>
                <c:pt idx="6">
                  <c:v>421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664-4934-8545-E058CBA0E0AA}"/>
            </c:ext>
          </c:extLst>
        </c:ser>
        <c:ser>
          <c:idx val="5"/>
          <c:order val="5"/>
          <c:tx>
            <c:v>SPC</c:v>
          </c:tx>
          <c:spPr>
            <a:ln w="19050" cap="rnd">
              <a:solidFill>
                <a:srgbClr val="92D05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3A96DD"/>
              </a:solidFill>
              <a:ln w="9525">
                <a:solidFill>
                  <a:srgbClr val="3A96DD"/>
                </a:solidFill>
              </a:ln>
              <a:effectLst/>
            </c:spPr>
          </c:marker>
          <c:xVal>
            <c:strRef>
              <c:f>'Monthly October 2025'!$AQ$5:$AW$5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xVal>
          <c:yVal>
            <c:numRef>
              <c:f>'Monthly October 2025'!$AQ$11:$AW$11</c:f>
              <c:numCache>
                <c:formatCode>General</c:formatCode>
                <c:ptCount val="7"/>
                <c:pt idx="0">
                  <c:v>240</c:v>
                </c:pt>
                <c:pt idx="1">
                  <c:v>161</c:v>
                </c:pt>
                <c:pt idx="2">
                  <c:v>579</c:v>
                </c:pt>
                <c:pt idx="3">
                  <c:v>441</c:v>
                </c:pt>
                <c:pt idx="4">
                  <c:v>513</c:v>
                </c:pt>
                <c:pt idx="5">
                  <c:v>551</c:v>
                </c:pt>
                <c:pt idx="6">
                  <c:v>486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664-4934-8545-E058CBA0E0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7153544"/>
        <c:axId val="811527"/>
      </c:scatterChart>
      <c:valAx>
        <c:axId val="657153544"/>
        <c:scaling>
          <c:orientation val="minMax"/>
          <c:max val="7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527"/>
        <c:crosses val="autoZero"/>
        <c:crossBetween val="midCat"/>
      </c:valAx>
      <c:valAx>
        <c:axId val="811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1535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Room Popularity - [Week]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'Monthy November 2025'!$AH$5</c:f>
              <c:strCache>
                <c:ptCount val="1"/>
                <c:pt idx="0">
                  <c:v>Saturday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'Monthy November 2025'!$AG$6:$AG$11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'Monthy November 2025'!$AH$6:$AH$11</c:f>
              <c:numCache>
                <c:formatCode>General</c:formatCode>
                <c:ptCount val="6"/>
                <c:pt idx="0">
                  <c:v>250</c:v>
                </c:pt>
                <c:pt idx="1">
                  <c:v>74</c:v>
                </c:pt>
                <c:pt idx="2">
                  <c:v>200</c:v>
                </c:pt>
                <c:pt idx="3">
                  <c:v>59</c:v>
                </c:pt>
                <c:pt idx="4">
                  <c:v>70</c:v>
                </c:pt>
                <c:pt idx="5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7B-4AE1-A1AD-6EA0D96F12EC}"/>
            </c:ext>
          </c:extLst>
        </c:ser>
        <c:ser>
          <c:idx val="1"/>
          <c:order val="1"/>
          <c:tx>
            <c:strRef>
              <c:f>'Monthy November 2025'!$AI$5</c:f>
              <c:strCache>
                <c:ptCount val="1"/>
                <c:pt idx="0">
                  <c:v>Sunday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'Monthy November 2025'!$AG$6:$AG$11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'Monthy November 2025'!$AI$6:$AI$11</c:f>
              <c:numCache>
                <c:formatCode>General</c:formatCode>
                <c:ptCount val="6"/>
                <c:pt idx="0">
                  <c:v>166</c:v>
                </c:pt>
                <c:pt idx="1">
                  <c:v>50</c:v>
                </c:pt>
                <c:pt idx="2">
                  <c:v>120</c:v>
                </c:pt>
                <c:pt idx="3">
                  <c:v>28</c:v>
                </c:pt>
                <c:pt idx="4">
                  <c:v>34</c:v>
                </c:pt>
                <c:pt idx="5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7B-4AE1-A1AD-6EA0D96F12EC}"/>
            </c:ext>
          </c:extLst>
        </c:ser>
        <c:ser>
          <c:idx val="2"/>
          <c:order val="2"/>
          <c:tx>
            <c:strRef>
              <c:f>'Monthy November 2025'!$AJ$5</c:f>
              <c:strCache>
                <c:ptCount val="1"/>
                <c:pt idx="0">
                  <c:v>Monday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'Monthy November 2025'!$AG$6:$AG$11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'Monthy November 2025'!$AJ$6:$AJ$11</c:f>
              <c:numCache>
                <c:formatCode>General</c:formatCode>
                <c:ptCount val="6"/>
                <c:pt idx="0">
                  <c:v>451</c:v>
                </c:pt>
                <c:pt idx="1">
                  <c:v>197</c:v>
                </c:pt>
                <c:pt idx="2">
                  <c:v>467</c:v>
                </c:pt>
                <c:pt idx="3">
                  <c:v>138</c:v>
                </c:pt>
                <c:pt idx="4">
                  <c:v>156</c:v>
                </c:pt>
                <c:pt idx="5">
                  <c:v>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7B-4AE1-A1AD-6EA0D96F12EC}"/>
            </c:ext>
          </c:extLst>
        </c:ser>
        <c:ser>
          <c:idx val="3"/>
          <c:order val="3"/>
          <c:tx>
            <c:strRef>
              <c:f>'Monthy November 2025'!$AK$5</c:f>
              <c:strCache>
                <c:ptCount val="1"/>
                <c:pt idx="0">
                  <c:v>Tuesday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'Monthy November 2025'!$AG$6:$AG$11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'Monthy November 2025'!$AK$6:$AK$11</c:f>
              <c:numCache>
                <c:formatCode>General</c:formatCode>
                <c:ptCount val="6"/>
                <c:pt idx="0">
                  <c:v>318</c:v>
                </c:pt>
                <c:pt idx="1">
                  <c:v>128</c:v>
                </c:pt>
                <c:pt idx="2">
                  <c:v>357</c:v>
                </c:pt>
                <c:pt idx="3">
                  <c:v>128</c:v>
                </c:pt>
                <c:pt idx="4">
                  <c:v>98</c:v>
                </c:pt>
                <c:pt idx="5">
                  <c:v>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57B-4AE1-A1AD-6EA0D96F12EC}"/>
            </c:ext>
          </c:extLst>
        </c:ser>
        <c:ser>
          <c:idx val="4"/>
          <c:order val="4"/>
          <c:tx>
            <c:strRef>
              <c:f>'Monthy November 2025'!$AL$5</c:f>
              <c:strCache>
                <c:ptCount val="1"/>
                <c:pt idx="0">
                  <c:v>Wednesday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'Monthy November 2025'!$AG$6:$AG$11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'Monthy November 2025'!$AL$6:$AL$11</c:f>
              <c:numCache>
                <c:formatCode>General</c:formatCode>
                <c:ptCount val="6"/>
                <c:pt idx="0">
                  <c:v>352</c:v>
                </c:pt>
                <c:pt idx="1">
                  <c:v>175</c:v>
                </c:pt>
                <c:pt idx="2">
                  <c:v>341</c:v>
                </c:pt>
                <c:pt idx="3">
                  <c:v>115</c:v>
                </c:pt>
                <c:pt idx="4">
                  <c:v>111</c:v>
                </c:pt>
                <c:pt idx="5">
                  <c:v>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57B-4AE1-A1AD-6EA0D96F12EC}"/>
            </c:ext>
          </c:extLst>
        </c:ser>
        <c:ser>
          <c:idx val="5"/>
          <c:order val="5"/>
          <c:tx>
            <c:strRef>
              <c:f>'Monthy November 2025'!$AM$5</c:f>
              <c:strCache>
                <c:ptCount val="1"/>
                <c:pt idx="0">
                  <c:v>Thursday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'Monthy November 2025'!$AG$6:$AG$11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'Monthy November 2025'!$AM$6:$AM$11</c:f>
              <c:numCache>
                <c:formatCode>General</c:formatCode>
                <c:ptCount val="6"/>
                <c:pt idx="0">
                  <c:v>362</c:v>
                </c:pt>
                <c:pt idx="1">
                  <c:v>137</c:v>
                </c:pt>
                <c:pt idx="2">
                  <c:v>361</c:v>
                </c:pt>
                <c:pt idx="3">
                  <c:v>126</c:v>
                </c:pt>
                <c:pt idx="4">
                  <c:v>136</c:v>
                </c:pt>
                <c:pt idx="5">
                  <c:v>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57B-4AE1-A1AD-6EA0D96F12EC}"/>
            </c:ext>
          </c:extLst>
        </c:ser>
        <c:ser>
          <c:idx val="6"/>
          <c:order val="6"/>
          <c:tx>
            <c:strRef>
              <c:f>'Monthy November 2025'!$AN$5</c:f>
              <c:strCache>
                <c:ptCount val="1"/>
                <c:pt idx="0">
                  <c:v>Friday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'Monthy November 2025'!$AG$6:$AG$11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'Monthy November 2025'!$AN$6:$AN$11</c:f>
              <c:numCache>
                <c:formatCode>General</c:formatCode>
                <c:ptCount val="6"/>
                <c:pt idx="0">
                  <c:v>295</c:v>
                </c:pt>
                <c:pt idx="1">
                  <c:v>146</c:v>
                </c:pt>
                <c:pt idx="2">
                  <c:v>280</c:v>
                </c:pt>
                <c:pt idx="3">
                  <c:v>97</c:v>
                </c:pt>
                <c:pt idx="4">
                  <c:v>84</c:v>
                </c:pt>
                <c:pt idx="5">
                  <c:v>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57B-4AE1-A1AD-6EA0D96F12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Room Attendance - [Week]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'Monthy November 2025'!$AG$6</c:f>
              <c:strCache>
                <c:ptCount val="1"/>
                <c:pt idx="0">
                  <c:v>Cardio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'Monthy November 2025'!$AH$5:$AN$5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'Monthy November 2025'!$AH$6:$AN$6</c:f>
              <c:numCache>
                <c:formatCode>General</c:formatCode>
                <c:ptCount val="7"/>
                <c:pt idx="0">
                  <c:v>250</c:v>
                </c:pt>
                <c:pt idx="1">
                  <c:v>166</c:v>
                </c:pt>
                <c:pt idx="2">
                  <c:v>451</c:v>
                </c:pt>
                <c:pt idx="3">
                  <c:v>318</c:v>
                </c:pt>
                <c:pt idx="4">
                  <c:v>352</c:v>
                </c:pt>
                <c:pt idx="5">
                  <c:v>362</c:v>
                </c:pt>
                <c:pt idx="6">
                  <c:v>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3F-4E90-BBFA-AEFABB2E628B}"/>
            </c:ext>
          </c:extLst>
        </c:ser>
        <c:ser>
          <c:idx val="1"/>
          <c:order val="1"/>
          <c:tx>
            <c:strRef>
              <c:f>'Monthy November 2025'!$AG$7</c:f>
              <c:strCache>
                <c:ptCount val="1"/>
                <c:pt idx="0">
                  <c:v>eGym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'Monthy November 2025'!$AH$5:$AN$5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'Monthy November 2025'!$AH$7:$AN$7</c:f>
              <c:numCache>
                <c:formatCode>General</c:formatCode>
                <c:ptCount val="7"/>
                <c:pt idx="0">
                  <c:v>74</c:v>
                </c:pt>
                <c:pt idx="1">
                  <c:v>50</c:v>
                </c:pt>
                <c:pt idx="2">
                  <c:v>197</c:v>
                </c:pt>
                <c:pt idx="3">
                  <c:v>128</c:v>
                </c:pt>
                <c:pt idx="4">
                  <c:v>175</c:v>
                </c:pt>
                <c:pt idx="5">
                  <c:v>137</c:v>
                </c:pt>
                <c:pt idx="6">
                  <c:v>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3F-4E90-BBFA-AEFABB2E628B}"/>
            </c:ext>
          </c:extLst>
        </c:ser>
        <c:ser>
          <c:idx val="2"/>
          <c:order val="2"/>
          <c:tx>
            <c:strRef>
              <c:f>'Monthy November 2025'!$AG$8</c:f>
              <c:strCache>
                <c:ptCount val="1"/>
                <c:pt idx="0">
                  <c:v>Free Weight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'Monthy November 2025'!$AH$5:$AN$5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'Monthy November 2025'!$AH$8:$AN$8</c:f>
              <c:numCache>
                <c:formatCode>General</c:formatCode>
                <c:ptCount val="7"/>
                <c:pt idx="0">
                  <c:v>200</c:v>
                </c:pt>
                <c:pt idx="1">
                  <c:v>120</c:v>
                </c:pt>
                <c:pt idx="2">
                  <c:v>467</c:v>
                </c:pt>
                <c:pt idx="3">
                  <c:v>357</c:v>
                </c:pt>
                <c:pt idx="4">
                  <c:v>341</c:v>
                </c:pt>
                <c:pt idx="5">
                  <c:v>361</c:v>
                </c:pt>
                <c:pt idx="6">
                  <c:v>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3F-4E90-BBFA-AEFABB2E628B}"/>
            </c:ext>
          </c:extLst>
        </c:ser>
        <c:ser>
          <c:idx val="3"/>
          <c:order val="3"/>
          <c:tx>
            <c:strRef>
              <c:f>'Monthy November 2025'!$AG$9</c:f>
              <c:strCache>
                <c:ptCount val="1"/>
                <c:pt idx="0">
                  <c:v>Track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'Monthy November 2025'!$AH$5:$AN$5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'Monthy November 2025'!$AH$9:$AN$9</c:f>
              <c:numCache>
                <c:formatCode>General</c:formatCode>
                <c:ptCount val="7"/>
                <c:pt idx="0">
                  <c:v>59</c:v>
                </c:pt>
                <c:pt idx="1">
                  <c:v>28</c:v>
                </c:pt>
                <c:pt idx="2">
                  <c:v>138</c:v>
                </c:pt>
                <c:pt idx="3">
                  <c:v>128</c:v>
                </c:pt>
                <c:pt idx="4">
                  <c:v>115</c:v>
                </c:pt>
                <c:pt idx="5">
                  <c:v>126</c:v>
                </c:pt>
                <c:pt idx="6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43F-4E90-BBFA-AEFABB2E628B}"/>
            </c:ext>
          </c:extLst>
        </c:ser>
        <c:ser>
          <c:idx val="4"/>
          <c:order val="4"/>
          <c:tx>
            <c:strRef>
              <c:f>'Monthy November 2025'!$AG$10</c:f>
              <c:strCache>
                <c:ptCount val="1"/>
                <c:pt idx="0">
                  <c:v>Stretch &amp; Core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'Monthy November 2025'!$AH$5:$AN$5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'Monthy November 2025'!$AH$10:$AN$10</c:f>
              <c:numCache>
                <c:formatCode>General</c:formatCode>
                <c:ptCount val="7"/>
                <c:pt idx="0">
                  <c:v>70</c:v>
                </c:pt>
                <c:pt idx="1">
                  <c:v>34</c:v>
                </c:pt>
                <c:pt idx="2">
                  <c:v>156</c:v>
                </c:pt>
                <c:pt idx="3">
                  <c:v>98</c:v>
                </c:pt>
                <c:pt idx="4">
                  <c:v>111</c:v>
                </c:pt>
                <c:pt idx="5">
                  <c:v>136</c:v>
                </c:pt>
                <c:pt idx="6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43F-4E90-BBFA-AEFABB2E628B}"/>
            </c:ext>
          </c:extLst>
        </c:ser>
        <c:ser>
          <c:idx val="5"/>
          <c:order val="5"/>
          <c:tx>
            <c:strRef>
              <c:f>'Monthy November 2025'!$AG$11</c:f>
              <c:strCache>
                <c:ptCount val="1"/>
                <c:pt idx="0">
                  <c:v>SPC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'Monthy November 2025'!$AH$5:$AN$5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'Monthy November 2025'!$AH$11:$AN$11</c:f>
              <c:numCache>
                <c:formatCode>General</c:formatCode>
                <c:ptCount val="7"/>
                <c:pt idx="0">
                  <c:v>65</c:v>
                </c:pt>
                <c:pt idx="1">
                  <c:v>51</c:v>
                </c:pt>
                <c:pt idx="2">
                  <c:v>207</c:v>
                </c:pt>
                <c:pt idx="3">
                  <c:v>118</c:v>
                </c:pt>
                <c:pt idx="4">
                  <c:v>119</c:v>
                </c:pt>
                <c:pt idx="5">
                  <c:v>131</c:v>
                </c:pt>
                <c:pt idx="6">
                  <c:v>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43F-4E90-BBFA-AEFABB2E62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Room Popularity - [Week]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'Monthy November 2025'!$AH$51</c:f>
              <c:strCache>
                <c:ptCount val="1"/>
                <c:pt idx="0">
                  <c:v>Saturday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'Monthy November 2025'!$AG$52:$AG$57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'Monthy November 2025'!$AH$52:$AH$57</c:f>
              <c:numCache>
                <c:formatCode>General</c:formatCode>
                <c:ptCount val="6"/>
                <c:pt idx="0">
                  <c:v>195</c:v>
                </c:pt>
                <c:pt idx="1">
                  <c:v>58</c:v>
                </c:pt>
                <c:pt idx="2">
                  <c:v>214</c:v>
                </c:pt>
                <c:pt idx="3">
                  <c:v>73</c:v>
                </c:pt>
                <c:pt idx="4">
                  <c:v>89</c:v>
                </c:pt>
                <c:pt idx="5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6D-4DCB-B040-495964AC2150}"/>
            </c:ext>
          </c:extLst>
        </c:ser>
        <c:ser>
          <c:idx val="1"/>
          <c:order val="1"/>
          <c:tx>
            <c:strRef>
              <c:f>'Monthy November 2025'!$AI$51</c:f>
              <c:strCache>
                <c:ptCount val="1"/>
                <c:pt idx="0">
                  <c:v>Sunday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'Monthy November 2025'!$AG$52:$AG$57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'Monthy November 2025'!$AI$52:$AI$57</c:f>
              <c:numCache>
                <c:formatCode>General</c:formatCode>
                <c:ptCount val="6"/>
                <c:pt idx="0">
                  <c:v>224</c:v>
                </c:pt>
                <c:pt idx="1">
                  <c:v>57</c:v>
                </c:pt>
                <c:pt idx="2">
                  <c:v>127</c:v>
                </c:pt>
                <c:pt idx="3">
                  <c:v>70</c:v>
                </c:pt>
                <c:pt idx="4">
                  <c:v>43</c:v>
                </c:pt>
                <c:pt idx="5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6D-4DCB-B040-495964AC2150}"/>
            </c:ext>
          </c:extLst>
        </c:ser>
        <c:ser>
          <c:idx val="2"/>
          <c:order val="2"/>
          <c:tx>
            <c:strRef>
              <c:f>'Monthy November 2025'!$AJ$51</c:f>
              <c:strCache>
                <c:ptCount val="1"/>
                <c:pt idx="0">
                  <c:v>Monday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'Monthy November 2025'!$AG$52:$AG$57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'Monthy November 2025'!$AJ$52:$AJ$57</c:f>
              <c:numCache>
                <c:formatCode>General</c:formatCode>
                <c:ptCount val="6"/>
                <c:pt idx="0">
                  <c:v>453</c:v>
                </c:pt>
                <c:pt idx="1">
                  <c:v>178</c:v>
                </c:pt>
                <c:pt idx="2">
                  <c:v>413</c:v>
                </c:pt>
                <c:pt idx="3">
                  <c:v>150</c:v>
                </c:pt>
                <c:pt idx="4">
                  <c:v>146</c:v>
                </c:pt>
                <c:pt idx="5">
                  <c:v>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6D-4DCB-B040-495964AC2150}"/>
            </c:ext>
          </c:extLst>
        </c:ser>
        <c:ser>
          <c:idx val="3"/>
          <c:order val="3"/>
          <c:tx>
            <c:strRef>
              <c:f>'Monthy November 2025'!$AK$51</c:f>
              <c:strCache>
                <c:ptCount val="1"/>
                <c:pt idx="0">
                  <c:v>Tuesday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'Monthy November 2025'!$AG$52:$AG$57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'Monthy November 2025'!$AK$52:$AK$57</c:f>
              <c:numCache>
                <c:formatCode>General</c:formatCode>
                <c:ptCount val="6"/>
                <c:pt idx="0">
                  <c:v>415</c:v>
                </c:pt>
                <c:pt idx="1">
                  <c:v>116</c:v>
                </c:pt>
                <c:pt idx="2">
                  <c:v>347</c:v>
                </c:pt>
                <c:pt idx="3">
                  <c:v>118</c:v>
                </c:pt>
                <c:pt idx="4">
                  <c:v>111</c:v>
                </c:pt>
                <c:pt idx="5">
                  <c:v>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B6D-4DCB-B040-495964AC2150}"/>
            </c:ext>
          </c:extLst>
        </c:ser>
        <c:ser>
          <c:idx val="4"/>
          <c:order val="4"/>
          <c:tx>
            <c:strRef>
              <c:f>'Monthy November 2025'!$AL$51</c:f>
              <c:strCache>
                <c:ptCount val="1"/>
                <c:pt idx="0">
                  <c:v>Wednesday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'Monthy November 2025'!$AG$52:$AG$57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'Monthy November 2025'!$AL$52:$AL$57</c:f>
              <c:numCache>
                <c:formatCode>General</c:formatCode>
                <c:ptCount val="6"/>
                <c:pt idx="0">
                  <c:v>359</c:v>
                </c:pt>
                <c:pt idx="1">
                  <c:v>144</c:v>
                </c:pt>
                <c:pt idx="2">
                  <c:v>321</c:v>
                </c:pt>
                <c:pt idx="3">
                  <c:v>118</c:v>
                </c:pt>
                <c:pt idx="4">
                  <c:v>102</c:v>
                </c:pt>
                <c:pt idx="5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6D-4DCB-B040-495964AC2150}"/>
            </c:ext>
          </c:extLst>
        </c:ser>
        <c:ser>
          <c:idx val="5"/>
          <c:order val="5"/>
          <c:tx>
            <c:strRef>
              <c:f>'Monthy November 2025'!$AM$51</c:f>
              <c:strCache>
                <c:ptCount val="1"/>
                <c:pt idx="0">
                  <c:v>Thursday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'Monthy November 2025'!$AG$52:$AG$57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'Monthy November 2025'!$AM$52:$AM$57</c:f>
              <c:numCache>
                <c:formatCode>General</c:formatCode>
                <c:ptCount val="6"/>
                <c:pt idx="0">
                  <c:v>392</c:v>
                </c:pt>
                <c:pt idx="1">
                  <c:v>131</c:v>
                </c:pt>
                <c:pt idx="2">
                  <c:v>322</c:v>
                </c:pt>
                <c:pt idx="3">
                  <c:v>126</c:v>
                </c:pt>
                <c:pt idx="4">
                  <c:v>133</c:v>
                </c:pt>
                <c:pt idx="5">
                  <c:v>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B6D-4DCB-B040-495964AC2150}"/>
            </c:ext>
          </c:extLst>
        </c:ser>
        <c:ser>
          <c:idx val="6"/>
          <c:order val="6"/>
          <c:tx>
            <c:strRef>
              <c:f>'Monthy November 2025'!$AN$51</c:f>
              <c:strCache>
                <c:ptCount val="1"/>
                <c:pt idx="0">
                  <c:v>Friday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'Monthy November 2025'!$AG$52:$AG$57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'Monthy November 2025'!$AN$52:$AN$57</c:f>
              <c:numCache>
                <c:formatCode>General</c:formatCode>
                <c:ptCount val="6"/>
                <c:pt idx="0">
                  <c:v>236</c:v>
                </c:pt>
                <c:pt idx="1">
                  <c:v>138</c:v>
                </c:pt>
                <c:pt idx="2">
                  <c:v>249</c:v>
                </c:pt>
                <c:pt idx="3">
                  <c:v>107</c:v>
                </c:pt>
                <c:pt idx="4">
                  <c:v>78</c:v>
                </c:pt>
                <c:pt idx="5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B6D-4DCB-B040-495964AC21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Room Attendance - [Week]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'Monthy November 2025'!$AG$52</c:f>
              <c:strCache>
                <c:ptCount val="1"/>
                <c:pt idx="0">
                  <c:v>Cardio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'Monthy November 2025'!$AH$51:$AN$51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'Monthy November 2025'!$AH$52:$AN$52</c:f>
              <c:numCache>
                <c:formatCode>General</c:formatCode>
                <c:ptCount val="7"/>
                <c:pt idx="0">
                  <c:v>195</c:v>
                </c:pt>
                <c:pt idx="1">
                  <c:v>224</c:v>
                </c:pt>
                <c:pt idx="2">
                  <c:v>453</c:v>
                </c:pt>
                <c:pt idx="3">
                  <c:v>415</c:v>
                </c:pt>
                <c:pt idx="4">
                  <c:v>359</c:v>
                </c:pt>
                <c:pt idx="5">
                  <c:v>392</c:v>
                </c:pt>
                <c:pt idx="6">
                  <c:v>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6A-4004-94D7-E64A8F959015}"/>
            </c:ext>
          </c:extLst>
        </c:ser>
        <c:ser>
          <c:idx val="1"/>
          <c:order val="1"/>
          <c:tx>
            <c:strRef>
              <c:f>'Monthy November 2025'!$AG$53</c:f>
              <c:strCache>
                <c:ptCount val="1"/>
                <c:pt idx="0">
                  <c:v>eGym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'Monthy November 2025'!$AH$51:$AN$51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'Monthy November 2025'!$AH$53:$AN$53</c:f>
              <c:numCache>
                <c:formatCode>General</c:formatCode>
                <c:ptCount val="7"/>
                <c:pt idx="0">
                  <c:v>58</c:v>
                </c:pt>
                <c:pt idx="1">
                  <c:v>57</c:v>
                </c:pt>
                <c:pt idx="2">
                  <c:v>178</c:v>
                </c:pt>
                <c:pt idx="3">
                  <c:v>116</c:v>
                </c:pt>
                <c:pt idx="4">
                  <c:v>144</c:v>
                </c:pt>
                <c:pt idx="5">
                  <c:v>131</c:v>
                </c:pt>
                <c:pt idx="6">
                  <c:v>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6A-4004-94D7-E64A8F959015}"/>
            </c:ext>
          </c:extLst>
        </c:ser>
        <c:ser>
          <c:idx val="2"/>
          <c:order val="2"/>
          <c:tx>
            <c:strRef>
              <c:f>'Monthy November 2025'!$AG$54</c:f>
              <c:strCache>
                <c:ptCount val="1"/>
                <c:pt idx="0">
                  <c:v>Free Weight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'Monthy November 2025'!$AH$51:$AN$51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'Monthy November 2025'!$AH$54:$AN$54</c:f>
              <c:numCache>
                <c:formatCode>General</c:formatCode>
                <c:ptCount val="7"/>
                <c:pt idx="0">
                  <c:v>214</c:v>
                </c:pt>
                <c:pt idx="1">
                  <c:v>127</c:v>
                </c:pt>
                <c:pt idx="2">
                  <c:v>413</c:v>
                </c:pt>
                <c:pt idx="3">
                  <c:v>347</c:v>
                </c:pt>
                <c:pt idx="4">
                  <c:v>321</c:v>
                </c:pt>
                <c:pt idx="5">
                  <c:v>322</c:v>
                </c:pt>
                <c:pt idx="6">
                  <c:v>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6A-4004-94D7-E64A8F959015}"/>
            </c:ext>
          </c:extLst>
        </c:ser>
        <c:ser>
          <c:idx val="3"/>
          <c:order val="3"/>
          <c:tx>
            <c:strRef>
              <c:f>'Monthy November 2025'!$AG$55</c:f>
              <c:strCache>
                <c:ptCount val="1"/>
                <c:pt idx="0">
                  <c:v>Track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'Monthy November 2025'!$AH$51:$AN$51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'Monthy November 2025'!$AH$55:$AN$55</c:f>
              <c:numCache>
                <c:formatCode>General</c:formatCode>
                <c:ptCount val="7"/>
                <c:pt idx="0">
                  <c:v>73</c:v>
                </c:pt>
                <c:pt idx="1">
                  <c:v>70</c:v>
                </c:pt>
                <c:pt idx="2">
                  <c:v>150</c:v>
                </c:pt>
                <c:pt idx="3">
                  <c:v>118</c:v>
                </c:pt>
                <c:pt idx="4">
                  <c:v>118</c:v>
                </c:pt>
                <c:pt idx="5">
                  <c:v>126</c:v>
                </c:pt>
                <c:pt idx="6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66A-4004-94D7-E64A8F959015}"/>
            </c:ext>
          </c:extLst>
        </c:ser>
        <c:ser>
          <c:idx val="4"/>
          <c:order val="4"/>
          <c:tx>
            <c:strRef>
              <c:f>'Monthy November 2025'!$AG$56</c:f>
              <c:strCache>
                <c:ptCount val="1"/>
                <c:pt idx="0">
                  <c:v>Stretch &amp; Core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'Monthy November 2025'!$AH$51:$AN$51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'Monthy November 2025'!$AH$56:$AN$56</c:f>
              <c:numCache>
                <c:formatCode>General</c:formatCode>
                <c:ptCount val="7"/>
                <c:pt idx="0">
                  <c:v>89</c:v>
                </c:pt>
                <c:pt idx="1">
                  <c:v>43</c:v>
                </c:pt>
                <c:pt idx="2">
                  <c:v>146</c:v>
                </c:pt>
                <c:pt idx="3">
                  <c:v>111</c:v>
                </c:pt>
                <c:pt idx="4">
                  <c:v>102</c:v>
                </c:pt>
                <c:pt idx="5">
                  <c:v>133</c:v>
                </c:pt>
                <c:pt idx="6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66A-4004-94D7-E64A8F959015}"/>
            </c:ext>
          </c:extLst>
        </c:ser>
        <c:ser>
          <c:idx val="5"/>
          <c:order val="5"/>
          <c:tx>
            <c:strRef>
              <c:f>'Monthy November 2025'!$AG$57</c:f>
              <c:strCache>
                <c:ptCount val="1"/>
                <c:pt idx="0">
                  <c:v>SPC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'Monthy November 2025'!$AH$51:$AN$51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'Monthy November 2025'!$AH$57:$AN$57</c:f>
              <c:numCache>
                <c:formatCode>General</c:formatCode>
                <c:ptCount val="7"/>
                <c:pt idx="0">
                  <c:v>97</c:v>
                </c:pt>
                <c:pt idx="1">
                  <c:v>51</c:v>
                </c:pt>
                <c:pt idx="2">
                  <c:v>181</c:v>
                </c:pt>
                <c:pt idx="3">
                  <c:v>135</c:v>
                </c:pt>
                <c:pt idx="4">
                  <c:v>120</c:v>
                </c:pt>
                <c:pt idx="5">
                  <c:v>143</c:v>
                </c:pt>
                <c:pt idx="6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66A-4004-94D7-E64A8F9590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Room Attendance - [Week]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'Monthy November 2025'!$AG$98</c:f>
              <c:strCache>
                <c:ptCount val="1"/>
                <c:pt idx="0">
                  <c:v>Cardio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'Monthy November 2025'!$AH$97:$AN$97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'Monthy November 2025'!$AH$98:$AN$98</c:f>
              <c:numCache>
                <c:formatCode>General</c:formatCode>
                <c:ptCount val="7"/>
                <c:pt idx="0">
                  <c:v>237</c:v>
                </c:pt>
                <c:pt idx="1">
                  <c:v>254</c:v>
                </c:pt>
                <c:pt idx="2">
                  <c:v>490</c:v>
                </c:pt>
                <c:pt idx="3">
                  <c:v>398</c:v>
                </c:pt>
                <c:pt idx="4">
                  <c:v>406</c:v>
                </c:pt>
                <c:pt idx="5">
                  <c:v>346</c:v>
                </c:pt>
                <c:pt idx="6">
                  <c:v>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3C-48B1-A087-F835B4F56248}"/>
            </c:ext>
          </c:extLst>
        </c:ser>
        <c:ser>
          <c:idx val="1"/>
          <c:order val="1"/>
          <c:tx>
            <c:strRef>
              <c:f>'Monthy November 2025'!$AG$99</c:f>
              <c:strCache>
                <c:ptCount val="1"/>
                <c:pt idx="0">
                  <c:v>eGym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'Monthy November 2025'!$AH$97:$AN$97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'Monthy November 2025'!$AH$99:$AN$99</c:f>
              <c:numCache>
                <c:formatCode>General</c:formatCode>
                <c:ptCount val="7"/>
                <c:pt idx="0">
                  <c:v>61</c:v>
                </c:pt>
                <c:pt idx="1">
                  <c:v>75</c:v>
                </c:pt>
                <c:pt idx="2">
                  <c:v>197</c:v>
                </c:pt>
                <c:pt idx="3">
                  <c:v>143</c:v>
                </c:pt>
                <c:pt idx="4">
                  <c:v>173</c:v>
                </c:pt>
                <c:pt idx="5">
                  <c:v>138</c:v>
                </c:pt>
                <c:pt idx="6">
                  <c:v>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3C-48B1-A087-F835B4F56248}"/>
            </c:ext>
          </c:extLst>
        </c:ser>
        <c:ser>
          <c:idx val="2"/>
          <c:order val="2"/>
          <c:tx>
            <c:strRef>
              <c:f>'Monthy November 2025'!$AG$100</c:f>
              <c:strCache>
                <c:ptCount val="1"/>
                <c:pt idx="0">
                  <c:v>Free Weight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'Monthy November 2025'!$AH$97:$AN$97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'Monthy November 2025'!$AH$100:$AN$100</c:f>
              <c:numCache>
                <c:formatCode>General</c:formatCode>
                <c:ptCount val="7"/>
                <c:pt idx="0">
                  <c:v>194</c:v>
                </c:pt>
                <c:pt idx="1">
                  <c:v>134</c:v>
                </c:pt>
                <c:pt idx="2">
                  <c:v>428</c:v>
                </c:pt>
                <c:pt idx="3">
                  <c:v>350</c:v>
                </c:pt>
                <c:pt idx="4">
                  <c:v>346</c:v>
                </c:pt>
                <c:pt idx="5">
                  <c:v>321</c:v>
                </c:pt>
                <c:pt idx="6">
                  <c:v>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3C-48B1-A087-F835B4F56248}"/>
            </c:ext>
          </c:extLst>
        </c:ser>
        <c:ser>
          <c:idx val="3"/>
          <c:order val="3"/>
          <c:tx>
            <c:strRef>
              <c:f>'Monthy November 2025'!$AG$101</c:f>
              <c:strCache>
                <c:ptCount val="1"/>
                <c:pt idx="0">
                  <c:v>Track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'Monthy November 2025'!$AH$97:$AN$97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'Monthy November 2025'!$AH$101:$AN$101</c:f>
              <c:numCache>
                <c:formatCode>General</c:formatCode>
                <c:ptCount val="7"/>
                <c:pt idx="0">
                  <c:v>57</c:v>
                </c:pt>
                <c:pt idx="1">
                  <c:v>58</c:v>
                </c:pt>
                <c:pt idx="2">
                  <c:v>159</c:v>
                </c:pt>
                <c:pt idx="3">
                  <c:v>142</c:v>
                </c:pt>
                <c:pt idx="4">
                  <c:v>125</c:v>
                </c:pt>
                <c:pt idx="5">
                  <c:v>117</c:v>
                </c:pt>
                <c:pt idx="6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D3C-48B1-A087-F835B4F56248}"/>
            </c:ext>
          </c:extLst>
        </c:ser>
        <c:ser>
          <c:idx val="4"/>
          <c:order val="4"/>
          <c:tx>
            <c:strRef>
              <c:f>'Monthy November 2025'!$AG$102</c:f>
              <c:strCache>
                <c:ptCount val="1"/>
                <c:pt idx="0">
                  <c:v>Stretch &amp; Core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'Monthy November 2025'!$AH$97:$AN$97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'Monthy November 2025'!$AH$102:$AN$102</c:f>
              <c:numCache>
                <c:formatCode>General</c:formatCode>
                <c:ptCount val="7"/>
                <c:pt idx="0">
                  <c:v>49</c:v>
                </c:pt>
                <c:pt idx="1">
                  <c:v>51</c:v>
                </c:pt>
                <c:pt idx="2">
                  <c:v>161</c:v>
                </c:pt>
                <c:pt idx="3">
                  <c:v>138</c:v>
                </c:pt>
                <c:pt idx="4">
                  <c:v>108</c:v>
                </c:pt>
                <c:pt idx="5">
                  <c:v>119</c:v>
                </c:pt>
                <c:pt idx="6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D3C-48B1-A087-F835B4F56248}"/>
            </c:ext>
          </c:extLst>
        </c:ser>
        <c:ser>
          <c:idx val="5"/>
          <c:order val="5"/>
          <c:tx>
            <c:strRef>
              <c:f>'Monthy November 2025'!$AG$103</c:f>
              <c:strCache>
                <c:ptCount val="1"/>
                <c:pt idx="0">
                  <c:v>SPC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'Monthy November 2025'!$AH$97:$AN$97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'Monthy November 2025'!$AH$103:$AN$103</c:f>
              <c:numCache>
                <c:formatCode>General</c:formatCode>
                <c:ptCount val="7"/>
                <c:pt idx="0">
                  <c:v>60</c:v>
                </c:pt>
                <c:pt idx="1">
                  <c:v>55</c:v>
                </c:pt>
                <c:pt idx="2">
                  <c:v>188</c:v>
                </c:pt>
                <c:pt idx="3">
                  <c:v>114</c:v>
                </c:pt>
                <c:pt idx="4">
                  <c:v>127</c:v>
                </c:pt>
                <c:pt idx="5">
                  <c:v>133</c:v>
                </c:pt>
                <c:pt idx="6">
                  <c:v>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D3C-48B1-A087-F835B4F562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Room Popularity - [Week]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'Monthy November 2025'!$AH$97</c:f>
              <c:strCache>
                <c:ptCount val="1"/>
                <c:pt idx="0">
                  <c:v>Saturday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'Monthy November 2025'!$AG$98:$AG$103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'Monthy November 2025'!$AH$98:$AH$103</c:f>
              <c:numCache>
                <c:formatCode>General</c:formatCode>
                <c:ptCount val="6"/>
                <c:pt idx="0">
                  <c:v>237</c:v>
                </c:pt>
                <c:pt idx="1">
                  <c:v>61</c:v>
                </c:pt>
                <c:pt idx="2">
                  <c:v>194</c:v>
                </c:pt>
                <c:pt idx="3">
                  <c:v>57</c:v>
                </c:pt>
                <c:pt idx="4">
                  <c:v>49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8D-49BF-8588-870A25B746D0}"/>
            </c:ext>
          </c:extLst>
        </c:ser>
        <c:ser>
          <c:idx val="1"/>
          <c:order val="1"/>
          <c:tx>
            <c:strRef>
              <c:f>'Monthy November 2025'!$AI$97</c:f>
              <c:strCache>
                <c:ptCount val="1"/>
                <c:pt idx="0">
                  <c:v>Sunday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'Monthy November 2025'!$AG$98:$AG$103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'Monthy November 2025'!$AI$98:$AI$103</c:f>
              <c:numCache>
                <c:formatCode>General</c:formatCode>
                <c:ptCount val="6"/>
                <c:pt idx="0">
                  <c:v>254</c:v>
                </c:pt>
                <c:pt idx="1">
                  <c:v>75</c:v>
                </c:pt>
                <c:pt idx="2">
                  <c:v>134</c:v>
                </c:pt>
                <c:pt idx="3">
                  <c:v>58</c:v>
                </c:pt>
                <c:pt idx="4">
                  <c:v>51</c:v>
                </c:pt>
                <c:pt idx="5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8D-49BF-8588-870A25B746D0}"/>
            </c:ext>
          </c:extLst>
        </c:ser>
        <c:ser>
          <c:idx val="2"/>
          <c:order val="2"/>
          <c:tx>
            <c:strRef>
              <c:f>'Monthy November 2025'!$AJ$97</c:f>
              <c:strCache>
                <c:ptCount val="1"/>
                <c:pt idx="0">
                  <c:v>Monday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'Monthy November 2025'!$AG$98:$AG$103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'Monthy November 2025'!$AJ$98:$AJ$103</c:f>
              <c:numCache>
                <c:formatCode>General</c:formatCode>
                <c:ptCount val="6"/>
                <c:pt idx="0">
                  <c:v>490</c:v>
                </c:pt>
                <c:pt idx="1">
                  <c:v>197</c:v>
                </c:pt>
                <c:pt idx="2">
                  <c:v>428</c:v>
                </c:pt>
                <c:pt idx="3">
                  <c:v>159</c:v>
                </c:pt>
                <c:pt idx="4">
                  <c:v>161</c:v>
                </c:pt>
                <c:pt idx="5">
                  <c:v>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8D-49BF-8588-870A25B746D0}"/>
            </c:ext>
          </c:extLst>
        </c:ser>
        <c:ser>
          <c:idx val="3"/>
          <c:order val="3"/>
          <c:tx>
            <c:strRef>
              <c:f>'Monthy November 2025'!$AK$97</c:f>
              <c:strCache>
                <c:ptCount val="1"/>
                <c:pt idx="0">
                  <c:v>Tuesday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'Monthy November 2025'!$AG$98:$AG$103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'Monthy November 2025'!$AK$98:$AK$103</c:f>
              <c:numCache>
                <c:formatCode>General</c:formatCode>
                <c:ptCount val="6"/>
                <c:pt idx="0">
                  <c:v>398</c:v>
                </c:pt>
                <c:pt idx="1">
                  <c:v>143</c:v>
                </c:pt>
                <c:pt idx="2">
                  <c:v>350</c:v>
                </c:pt>
                <c:pt idx="3">
                  <c:v>142</c:v>
                </c:pt>
                <c:pt idx="4">
                  <c:v>138</c:v>
                </c:pt>
                <c:pt idx="5">
                  <c:v>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88D-49BF-8588-870A25B746D0}"/>
            </c:ext>
          </c:extLst>
        </c:ser>
        <c:ser>
          <c:idx val="4"/>
          <c:order val="4"/>
          <c:tx>
            <c:strRef>
              <c:f>'Monthy November 2025'!$AL$97</c:f>
              <c:strCache>
                <c:ptCount val="1"/>
                <c:pt idx="0">
                  <c:v>Wednesday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'Monthy November 2025'!$AG$98:$AG$103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'Monthy November 2025'!$AL$98:$AL$103</c:f>
              <c:numCache>
                <c:formatCode>General</c:formatCode>
                <c:ptCount val="6"/>
                <c:pt idx="0">
                  <c:v>406</c:v>
                </c:pt>
                <c:pt idx="1">
                  <c:v>173</c:v>
                </c:pt>
                <c:pt idx="2">
                  <c:v>346</c:v>
                </c:pt>
                <c:pt idx="3">
                  <c:v>125</c:v>
                </c:pt>
                <c:pt idx="4">
                  <c:v>108</c:v>
                </c:pt>
                <c:pt idx="5">
                  <c:v>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88D-49BF-8588-870A25B746D0}"/>
            </c:ext>
          </c:extLst>
        </c:ser>
        <c:ser>
          <c:idx val="5"/>
          <c:order val="5"/>
          <c:tx>
            <c:strRef>
              <c:f>'Monthy November 2025'!$AM$97</c:f>
              <c:strCache>
                <c:ptCount val="1"/>
                <c:pt idx="0">
                  <c:v>Thursday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'Monthy November 2025'!$AG$98:$AG$103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'Monthy November 2025'!$AM$98:$AM$103</c:f>
              <c:numCache>
                <c:formatCode>General</c:formatCode>
                <c:ptCount val="6"/>
                <c:pt idx="0">
                  <c:v>346</c:v>
                </c:pt>
                <c:pt idx="1">
                  <c:v>138</c:v>
                </c:pt>
                <c:pt idx="2">
                  <c:v>321</c:v>
                </c:pt>
                <c:pt idx="3">
                  <c:v>117</c:v>
                </c:pt>
                <c:pt idx="4">
                  <c:v>119</c:v>
                </c:pt>
                <c:pt idx="5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88D-49BF-8588-870A25B746D0}"/>
            </c:ext>
          </c:extLst>
        </c:ser>
        <c:ser>
          <c:idx val="6"/>
          <c:order val="6"/>
          <c:tx>
            <c:strRef>
              <c:f>'Monthy November 2025'!$AN$97</c:f>
              <c:strCache>
                <c:ptCount val="1"/>
                <c:pt idx="0">
                  <c:v>Friday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'Monthy November 2025'!$AG$98:$AG$103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'Monthy November 2025'!$AN$98:$AN$103</c:f>
              <c:numCache>
                <c:formatCode>General</c:formatCode>
                <c:ptCount val="6"/>
                <c:pt idx="0">
                  <c:v>314</c:v>
                </c:pt>
                <c:pt idx="1">
                  <c:v>145</c:v>
                </c:pt>
                <c:pt idx="2">
                  <c:v>292</c:v>
                </c:pt>
                <c:pt idx="3">
                  <c:v>97</c:v>
                </c:pt>
                <c:pt idx="4">
                  <c:v>66</c:v>
                </c:pt>
                <c:pt idx="5">
                  <c:v>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88D-49BF-8588-870A25B746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Room Attendance - [Week]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'Monthy November 2025'!$AG$144</c:f>
              <c:strCache>
                <c:ptCount val="1"/>
                <c:pt idx="0">
                  <c:v>Cardio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'Monthy November 2025'!$AH$143:$AN$143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'Monthy November 2025'!$AH$144:$AN$144</c:f>
              <c:numCache>
                <c:formatCode>General</c:formatCode>
                <c:ptCount val="7"/>
                <c:pt idx="0">
                  <c:v>307</c:v>
                </c:pt>
                <c:pt idx="1">
                  <c:v>171</c:v>
                </c:pt>
                <c:pt idx="2">
                  <c:v>405</c:v>
                </c:pt>
                <c:pt idx="3">
                  <c:v>400</c:v>
                </c:pt>
                <c:pt idx="4">
                  <c:v>381</c:v>
                </c:pt>
                <c:pt idx="5">
                  <c:v>176</c:v>
                </c:pt>
                <c:pt idx="6">
                  <c:v>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E6-45B3-91C3-2D4574785DB2}"/>
            </c:ext>
          </c:extLst>
        </c:ser>
        <c:ser>
          <c:idx val="1"/>
          <c:order val="1"/>
          <c:tx>
            <c:strRef>
              <c:f>'Monthy November 2025'!$AG$145</c:f>
              <c:strCache>
                <c:ptCount val="1"/>
                <c:pt idx="0">
                  <c:v>eGym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'Monthy November 2025'!$AH$143:$AN$143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'Monthy November 2025'!$AH$145:$AN$145</c:f>
              <c:numCache>
                <c:formatCode>General</c:formatCode>
                <c:ptCount val="7"/>
                <c:pt idx="0">
                  <c:v>77</c:v>
                </c:pt>
                <c:pt idx="1">
                  <c:v>49</c:v>
                </c:pt>
                <c:pt idx="2">
                  <c:v>193</c:v>
                </c:pt>
                <c:pt idx="3">
                  <c:v>131</c:v>
                </c:pt>
                <c:pt idx="4">
                  <c:v>119</c:v>
                </c:pt>
                <c:pt idx="5">
                  <c:v>61</c:v>
                </c:pt>
                <c:pt idx="6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E6-45B3-91C3-2D4574785DB2}"/>
            </c:ext>
          </c:extLst>
        </c:ser>
        <c:ser>
          <c:idx val="2"/>
          <c:order val="2"/>
          <c:tx>
            <c:strRef>
              <c:f>'Monthy November 2025'!$AG$146</c:f>
              <c:strCache>
                <c:ptCount val="1"/>
                <c:pt idx="0">
                  <c:v>Free Weight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'Monthy November 2025'!$AH$143:$AN$143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'Monthy November 2025'!$AH$146:$AN$146</c:f>
              <c:numCache>
                <c:formatCode>General</c:formatCode>
                <c:ptCount val="7"/>
                <c:pt idx="0">
                  <c:v>260</c:v>
                </c:pt>
                <c:pt idx="1">
                  <c:v>124</c:v>
                </c:pt>
                <c:pt idx="2">
                  <c:v>438</c:v>
                </c:pt>
                <c:pt idx="3">
                  <c:v>405</c:v>
                </c:pt>
                <c:pt idx="4">
                  <c:v>394</c:v>
                </c:pt>
                <c:pt idx="5">
                  <c:v>117</c:v>
                </c:pt>
                <c:pt idx="6">
                  <c:v>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E6-45B3-91C3-2D4574785DB2}"/>
            </c:ext>
          </c:extLst>
        </c:ser>
        <c:ser>
          <c:idx val="3"/>
          <c:order val="3"/>
          <c:tx>
            <c:strRef>
              <c:f>'Monthy November 2025'!$AG$147</c:f>
              <c:strCache>
                <c:ptCount val="1"/>
                <c:pt idx="0">
                  <c:v>Track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'Monthy November 2025'!$AH$143:$AN$143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'Monthy November 2025'!$AH$147:$AN$147</c:f>
              <c:numCache>
                <c:formatCode>General</c:formatCode>
                <c:ptCount val="7"/>
                <c:pt idx="0">
                  <c:v>75</c:v>
                </c:pt>
                <c:pt idx="1">
                  <c:v>45</c:v>
                </c:pt>
                <c:pt idx="2">
                  <c:v>141</c:v>
                </c:pt>
                <c:pt idx="3">
                  <c:v>154</c:v>
                </c:pt>
                <c:pt idx="4">
                  <c:v>109</c:v>
                </c:pt>
                <c:pt idx="5">
                  <c:v>66</c:v>
                </c:pt>
                <c:pt idx="6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DE6-45B3-91C3-2D4574785DB2}"/>
            </c:ext>
          </c:extLst>
        </c:ser>
        <c:ser>
          <c:idx val="4"/>
          <c:order val="4"/>
          <c:tx>
            <c:strRef>
              <c:f>'Monthy November 2025'!$AG$148</c:f>
              <c:strCache>
                <c:ptCount val="1"/>
                <c:pt idx="0">
                  <c:v>Stretch &amp; Core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'Monthy November 2025'!$AH$143:$AN$143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'Monthy November 2025'!$AH$148:$AN$148</c:f>
              <c:numCache>
                <c:formatCode>General</c:formatCode>
                <c:ptCount val="7"/>
                <c:pt idx="0">
                  <c:v>101</c:v>
                </c:pt>
                <c:pt idx="1">
                  <c:v>30</c:v>
                </c:pt>
                <c:pt idx="2">
                  <c:v>142</c:v>
                </c:pt>
                <c:pt idx="3">
                  <c:v>122</c:v>
                </c:pt>
                <c:pt idx="4">
                  <c:v>108</c:v>
                </c:pt>
                <c:pt idx="5">
                  <c:v>51</c:v>
                </c:pt>
                <c:pt idx="6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DE6-45B3-91C3-2D4574785DB2}"/>
            </c:ext>
          </c:extLst>
        </c:ser>
        <c:ser>
          <c:idx val="5"/>
          <c:order val="5"/>
          <c:tx>
            <c:strRef>
              <c:f>'Monthy November 2025'!$AG$149</c:f>
              <c:strCache>
                <c:ptCount val="1"/>
                <c:pt idx="0">
                  <c:v>SPC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'Monthy November 2025'!$AH$143:$AN$143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'Monthy November 2025'!$AH$149:$AN$149</c:f>
              <c:numCache>
                <c:formatCode>General</c:formatCode>
                <c:ptCount val="7"/>
                <c:pt idx="0">
                  <c:v>93</c:v>
                </c:pt>
                <c:pt idx="1">
                  <c:v>47</c:v>
                </c:pt>
                <c:pt idx="2">
                  <c:v>159</c:v>
                </c:pt>
                <c:pt idx="3">
                  <c:v>168</c:v>
                </c:pt>
                <c:pt idx="4">
                  <c:v>129</c:v>
                </c:pt>
                <c:pt idx="5">
                  <c:v>57</c:v>
                </c:pt>
                <c:pt idx="6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DE6-45B3-91C3-2D4574785D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Room Popularity - [Week]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'Monthy November 2025'!$AH$143</c:f>
              <c:strCache>
                <c:ptCount val="1"/>
                <c:pt idx="0">
                  <c:v>Saturday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'Monthy November 2025'!$AG$144:$AG$149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'Monthy November 2025'!$AH$144:$AH$149</c:f>
              <c:numCache>
                <c:formatCode>General</c:formatCode>
                <c:ptCount val="6"/>
                <c:pt idx="0">
                  <c:v>307</c:v>
                </c:pt>
                <c:pt idx="1">
                  <c:v>77</c:v>
                </c:pt>
                <c:pt idx="2">
                  <c:v>260</c:v>
                </c:pt>
                <c:pt idx="3">
                  <c:v>75</c:v>
                </c:pt>
                <c:pt idx="4">
                  <c:v>101</c:v>
                </c:pt>
                <c:pt idx="5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BC-4869-AFA1-D8D83D57BF75}"/>
            </c:ext>
          </c:extLst>
        </c:ser>
        <c:ser>
          <c:idx val="1"/>
          <c:order val="1"/>
          <c:tx>
            <c:strRef>
              <c:f>'Monthy November 2025'!$AI$143</c:f>
              <c:strCache>
                <c:ptCount val="1"/>
                <c:pt idx="0">
                  <c:v>Sunday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'Monthy November 2025'!$AG$144:$AG$149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'Monthy November 2025'!$AI$144:$AI$149</c:f>
              <c:numCache>
                <c:formatCode>General</c:formatCode>
                <c:ptCount val="6"/>
                <c:pt idx="0">
                  <c:v>171</c:v>
                </c:pt>
                <c:pt idx="1">
                  <c:v>49</c:v>
                </c:pt>
                <c:pt idx="2">
                  <c:v>124</c:v>
                </c:pt>
                <c:pt idx="3">
                  <c:v>45</c:v>
                </c:pt>
                <c:pt idx="4">
                  <c:v>30</c:v>
                </c:pt>
                <c:pt idx="5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BC-4869-AFA1-D8D83D57BF75}"/>
            </c:ext>
          </c:extLst>
        </c:ser>
        <c:ser>
          <c:idx val="2"/>
          <c:order val="2"/>
          <c:tx>
            <c:strRef>
              <c:f>'Monthy November 2025'!$AJ$143</c:f>
              <c:strCache>
                <c:ptCount val="1"/>
                <c:pt idx="0">
                  <c:v>Monday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'Monthy November 2025'!$AG$144:$AG$149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'Monthy November 2025'!$AJ$144:$AJ$149</c:f>
              <c:numCache>
                <c:formatCode>General</c:formatCode>
                <c:ptCount val="6"/>
                <c:pt idx="0">
                  <c:v>405</c:v>
                </c:pt>
                <c:pt idx="1">
                  <c:v>193</c:v>
                </c:pt>
                <c:pt idx="2">
                  <c:v>438</c:v>
                </c:pt>
                <c:pt idx="3">
                  <c:v>141</c:v>
                </c:pt>
                <c:pt idx="4">
                  <c:v>142</c:v>
                </c:pt>
                <c:pt idx="5">
                  <c:v>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BC-4869-AFA1-D8D83D57BF75}"/>
            </c:ext>
          </c:extLst>
        </c:ser>
        <c:ser>
          <c:idx val="3"/>
          <c:order val="3"/>
          <c:tx>
            <c:strRef>
              <c:f>'Monthy November 2025'!$AK$143</c:f>
              <c:strCache>
                <c:ptCount val="1"/>
                <c:pt idx="0">
                  <c:v>Tuesday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'Monthy November 2025'!$AG$144:$AG$149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'Monthy November 2025'!$AK$144:$AK$149</c:f>
              <c:numCache>
                <c:formatCode>General</c:formatCode>
                <c:ptCount val="6"/>
                <c:pt idx="0">
                  <c:v>400</c:v>
                </c:pt>
                <c:pt idx="1">
                  <c:v>131</c:v>
                </c:pt>
                <c:pt idx="2">
                  <c:v>405</c:v>
                </c:pt>
                <c:pt idx="3">
                  <c:v>154</c:v>
                </c:pt>
                <c:pt idx="4">
                  <c:v>122</c:v>
                </c:pt>
                <c:pt idx="5">
                  <c:v>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BC-4869-AFA1-D8D83D57BF75}"/>
            </c:ext>
          </c:extLst>
        </c:ser>
        <c:ser>
          <c:idx val="4"/>
          <c:order val="4"/>
          <c:tx>
            <c:strRef>
              <c:f>'Monthy November 2025'!$AL$143</c:f>
              <c:strCache>
                <c:ptCount val="1"/>
                <c:pt idx="0">
                  <c:v>Wednesday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'Monthy November 2025'!$AG$144:$AG$149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'Monthy November 2025'!$AL$144:$AL$149</c:f>
              <c:numCache>
                <c:formatCode>General</c:formatCode>
                <c:ptCount val="6"/>
                <c:pt idx="0">
                  <c:v>381</c:v>
                </c:pt>
                <c:pt idx="1">
                  <c:v>119</c:v>
                </c:pt>
                <c:pt idx="2">
                  <c:v>394</c:v>
                </c:pt>
                <c:pt idx="3">
                  <c:v>109</c:v>
                </c:pt>
                <c:pt idx="4">
                  <c:v>108</c:v>
                </c:pt>
                <c:pt idx="5">
                  <c:v>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BC-4869-AFA1-D8D83D57BF75}"/>
            </c:ext>
          </c:extLst>
        </c:ser>
        <c:ser>
          <c:idx val="5"/>
          <c:order val="5"/>
          <c:tx>
            <c:strRef>
              <c:f>'Monthy November 2025'!$AM$143</c:f>
              <c:strCache>
                <c:ptCount val="1"/>
                <c:pt idx="0">
                  <c:v>Thursday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'Monthy November 2025'!$AG$144:$AG$149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'Monthy November 2025'!$AM$144:$AM$149</c:f>
              <c:numCache>
                <c:formatCode>General</c:formatCode>
                <c:ptCount val="6"/>
                <c:pt idx="0">
                  <c:v>176</c:v>
                </c:pt>
                <c:pt idx="1">
                  <c:v>61</c:v>
                </c:pt>
                <c:pt idx="2">
                  <c:v>117</c:v>
                </c:pt>
                <c:pt idx="3">
                  <c:v>66</c:v>
                </c:pt>
                <c:pt idx="4">
                  <c:v>51</c:v>
                </c:pt>
                <c:pt idx="5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BC-4869-AFA1-D8D83D57BF75}"/>
            </c:ext>
          </c:extLst>
        </c:ser>
        <c:ser>
          <c:idx val="6"/>
          <c:order val="6"/>
          <c:tx>
            <c:strRef>
              <c:f>'Monthy November 2025'!$AN$143</c:f>
              <c:strCache>
                <c:ptCount val="1"/>
                <c:pt idx="0">
                  <c:v>Friday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'Monthy November 2025'!$AG$144:$AG$149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'Monthy November 2025'!$AN$144:$AN$149</c:f>
              <c:numCache>
                <c:formatCode>General</c:formatCode>
                <c:ptCount val="6"/>
                <c:pt idx="0">
                  <c:v>327</c:v>
                </c:pt>
                <c:pt idx="1">
                  <c:v>107</c:v>
                </c:pt>
                <c:pt idx="2">
                  <c:v>264</c:v>
                </c:pt>
                <c:pt idx="3">
                  <c:v>112</c:v>
                </c:pt>
                <c:pt idx="4">
                  <c:v>91</c:v>
                </c:pt>
                <c:pt idx="5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2BC-4869-AFA1-D8D83D57BF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Room Popularity - [Week]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'Monthy November 2025'!$AH$189</c:f>
              <c:strCache>
                <c:ptCount val="1"/>
                <c:pt idx="0">
                  <c:v>Saturday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'Monthy November 2025'!$AG$190:$AG$195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'Monthy November 2025'!$AH$190:$AH$195</c:f>
              <c:numCache>
                <c:formatCode>General</c:formatCode>
                <c:ptCount val="6"/>
                <c:pt idx="0">
                  <c:v>317</c:v>
                </c:pt>
                <c:pt idx="1">
                  <c:v>70</c:v>
                </c:pt>
                <c:pt idx="2">
                  <c:v>248</c:v>
                </c:pt>
                <c:pt idx="3">
                  <c:v>84</c:v>
                </c:pt>
                <c:pt idx="4">
                  <c:v>84</c:v>
                </c:pt>
                <c:pt idx="5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4A-42C8-AFC9-6F5496384C92}"/>
            </c:ext>
          </c:extLst>
        </c:ser>
        <c:ser>
          <c:idx val="1"/>
          <c:order val="1"/>
          <c:tx>
            <c:strRef>
              <c:f>'Monthy November 2025'!$AI$189</c:f>
              <c:strCache>
                <c:ptCount val="1"/>
                <c:pt idx="0">
                  <c:v>Sunday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'Monthy November 2025'!$AG$190:$AG$195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'Monthy November 2025'!$AI$190:$AI$195</c:f>
              <c:numCache>
                <c:formatCode>General</c:formatCode>
                <c:ptCount val="6"/>
                <c:pt idx="0">
                  <c:v>227</c:v>
                </c:pt>
                <c:pt idx="1">
                  <c:v>67</c:v>
                </c:pt>
                <c:pt idx="2">
                  <c:v>187</c:v>
                </c:pt>
                <c:pt idx="3">
                  <c:v>119</c:v>
                </c:pt>
                <c:pt idx="4">
                  <c:v>60</c:v>
                </c:pt>
                <c:pt idx="5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4A-42C8-AFC9-6F5496384C92}"/>
            </c:ext>
          </c:extLst>
        </c:ser>
        <c:ser>
          <c:idx val="2"/>
          <c:order val="2"/>
          <c:tx>
            <c:strRef>
              <c:f>'Monthy November 2025'!$AJ$189</c:f>
              <c:strCache>
                <c:ptCount val="1"/>
                <c:pt idx="0">
                  <c:v>Monday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'Monthy November 2025'!$AG$190:$AG$195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'Monthy November 2025'!$AJ$190:$AJ$195</c:f>
              <c:numCache>
                <c:formatCode>General</c:formatCode>
                <c:ptCount val="6"/>
                <c:pt idx="0">
                  <c:v>467</c:v>
                </c:pt>
                <c:pt idx="1">
                  <c:v>162</c:v>
                </c:pt>
                <c:pt idx="2">
                  <c:v>423</c:v>
                </c:pt>
                <c:pt idx="3">
                  <c:v>178</c:v>
                </c:pt>
                <c:pt idx="4">
                  <c:v>135</c:v>
                </c:pt>
                <c:pt idx="5">
                  <c:v>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4A-42C8-AFC9-6F5496384C92}"/>
            </c:ext>
          </c:extLst>
        </c:ser>
        <c:ser>
          <c:idx val="3"/>
          <c:order val="3"/>
          <c:tx>
            <c:strRef>
              <c:f>'Monthy November 2025'!$AK$189</c:f>
              <c:strCache>
                <c:ptCount val="1"/>
                <c:pt idx="0">
                  <c:v>Tuesday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'Monthy November 2025'!$AG$190:$AG$195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'Monthy November 2025'!$AK$190:$AK$195</c:f>
              <c:numCache>
                <c:formatCode>General</c:formatCode>
                <c:ptCount val="6"/>
                <c:pt idx="0">
                  <c:v>355</c:v>
                </c:pt>
                <c:pt idx="1">
                  <c:v>111</c:v>
                </c:pt>
                <c:pt idx="2">
                  <c:v>345</c:v>
                </c:pt>
                <c:pt idx="3">
                  <c:v>126</c:v>
                </c:pt>
                <c:pt idx="4">
                  <c:v>141</c:v>
                </c:pt>
                <c:pt idx="5">
                  <c:v>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D4A-42C8-AFC9-6F5496384C92}"/>
            </c:ext>
          </c:extLst>
        </c:ser>
        <c:ser>
          <c:idx val="4"/>
          <c:order val="4"/>
          <c:tx>
            <c:strRef>
              <c:f>'Monthy November 2025'!$AL$189</c:f>
              <c:strCache>
                <c:ptCount val="1"/>
                <c:pt idx="0">
                  <c:v>Wednesday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'Monthy November 2025'!$AG$190:$AG$195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'Monthy November 2025'!$AL$190:$AL$195</c:f>
              <c:numCache>
                <c:formatCode>General</c:formatCode>
                <c:ptCount val="6"/>
                <c:pt idx="0">
                  <c:v>384</c:v>
                </c:pt>
                <c:pt idx="1">
                  <c:v>177</c:v>
                </c:pt>
                <c:pt idx="2">
                  <c:v>354</c:v>
                </c:pt>
                <c:pt idx="3">
                  <c:v>156</c:v>
                </c:pt>
                <c:pt idx="4">
                  <c:v>99</c:v>
                </c:pt>
                <c:pt idx="5">
                  <c:v>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D4A-42C8-AFC9-6F5496384C92}"/>
            </c:ext>
          </c:extLst>
        </c:ser>
        <c:ser>
          <c:idx val="5"/>
          <c:order val="5"/>
          <c:tx>
            <c:strRef>
              <c:f>'Monthy November 2025'!$AM$189</c:f>
              <c:strCache>
                <c:ptCount val="1"/>
                <c:pt idx="0">
                  <c:v>Thursday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'Monthy November 2025'!$AG$190:$AG$195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'Monthy November 2025'!$AM$190:$AM$195</c:f>
              <c:numCache>
                <c:formatCode>General</c:formatCode>
                <c:ptCount val="6"/>
                <c:pt idx="0">
                  <c:v>373</c:v>
                </c:pt>
                <c:pt idx="1">
                  <c:v>134</c:v>
                </c:pt>
                <c:pt idx="2">
                  <c:v>293</c:v>
                </c:pt>
                <c:pt idx="3">
                  <c:v>133</c:v>
                </c:pt>
                <c:pt idx="4">
                  <c:v>115</c:v>
                </c:pt>
                <c:pt idx="5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D4A-42C8-AFC9-6F5496384C92}"/>
            </c:ext>
          </c:extLst>
        </c:ser>
        <c:ser>
          <c:idx val="6"/>
          <c:order val="6"/>
          <c:tx>
            <c:strRef>
              <c:f>'Monthy November 2025'!$AN$189</c:f>
              <c:strCache>
                <c:ptCount val="1"/>
                <c:pt idx="0">
                  <c:v>Friday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'Monthy November 2025'!$AG$190:$AG$195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'Monthy November 2025'!$AN$190:$AN$195</c:f>
              <c:numCache>
                <c:formatCode>General</c:formatCode>
                <c:ptCount val="6"/>
                <c:pt idx="0">
                  <c:v>225</c:v>
                </c:pt>
                <c:pt idx="1">
                  <c:v>109</c:v>
                </c:pt>
                <c:pt idx="2">
                  <c:v>181</c:v>
                </c:pt>
                <c:pt idx="3">
                  <c:v>80</c:v>
                </c:pt>
                <c:pt idx="4">
                  <c:v>50</c:v>
                </c:pt>
                <c:pt idx="5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D4A-42C8-AFC9-6F5496384C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Room Attendance - [Week]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'Monthy November 2025'!$AG$190</c:f>
              <c:strCache>
                <c:ptCount val="1"/>
                <c:pt idx="0">
                  <c:v>Cardio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'Monthy November 2025'!$AH$189:$AN$189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'Monthy November 2025'!$AH$190:$AN$190</c:f>
              <c:numCache>
                <c:formatCode>General</c:formatCode>
                <c:ptCount val="7"/>
                <c:pt idx="0">
                  <c:v>317</c:v>
                </c:pt>
                <c:pt idx="1">
                  <c:v>227</c:v>
                </c:pt>
                <c:pt idx="2">
                  <c:v>467</c:v>
                </c:pt>
                <c:pt idx="3">
                  <c:v>355</c:v>
                </c:pt>
                <c:pt idx="4">
                  <c:v>384</c:v>
                </c:pt>
                <c:pt idx="5">
                  <c:v>373</c:v>
                </c:pt>
                <c:pt idx="6">
                  <c:v>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25-4122-8872-49595EBB5237}"/>
            </c:ext>
          </c:extLst>
        </c:ser>
        <c:ser>
          <c:idx val="1"/>
          <c:order val="1"/>
          <c:tx>
            <c:strRef>
              <c:f>'Monthy November 2025'!$AG$191</c:f>
              <c:strCache>
                <c:ptCount val="1"/>
                <c:pt idx="0">
                  <c:v>eGym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'Monthy November 2025'!$AH$189:$AN$189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'Monthy November 2025'!$AH$191:$AN$191</c:f>
              <c:numCache>
                <c:formatCode>General</c:formatCode>
                <c:ptCount val="7"/>
                <c:pt idx="0">
                  <c:v>70</c:v>
                </c:pt>
                <c:pt idx="1">
                  <c:v>67</c:v>
                </c:pt>
                <c:pt idx="2">
                  <c:v>162</c:v>
                </c:pt>
                <c:pt idx="3">
                  <c:v>111</c:v>
                </c:pt>
                <c:pt idx="4">
                  <c:v>177</c:v>
                </c:pt>
                <c:pt idx="5">
                  <c:v>134</c:v>
                </c:pt>
                <c:pt idx="6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25-4122-8872-49595EBB5237}"/>
            </c:ext>
          </c:extLst>
        </c:ser>
        <c:ser>
          <c:idx val="2"/>
          <c:order val="2"/>
          <c:tx>
            <c:strRef>
              <c:f>'Monthy November 2025'!$AG$192</c:f>
              <c:strCache>
                <c:ptCount val="1"/>
                <c:pt idx="0">
                  <c:v>Free Weight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'Monthy November 2025'!$AH$189:$AN$189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'Monthy November 2025'!$AH$192:$AN$192</c:f>
              <c:numCache>
                <c:formatCode>General</c:formatCode>
                <c:ptCount val="7"/>
                <c:pt idx="0">
                  <c:v>248</c:v>
                </c:pt>
                <c:pt idx="1">
                  <c:v>187</c:v>
                </c:pt>
                <c:pt idx="2">
                  <c:v>423</c:v>
                </c:pt>
                <c:pt idx="3">
                  <c:v>345</c:v>
                </c:pt>
                <c:pt idx="4">
                  <c:v>354</c:v>
                </c:pt>
                <c:pt idx="5">
                  <c:v>293</c:v>
                </c:pt>
                <c:pt idx="6">
                  <c:v>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25-4122-8872-49595EBB5237}"/>
            </c:ext>
          </c:extLst>
        </c:ser>
        <c:ser>
          <c:idx val="3"/>
          <c:order val="3"/>
          <c:tx>
            <c:strRef>
              <c:f>'Monthy November 2025'!$AG$193</c:f>
              <c:strCache>
                <c:ptCount val="1"/>
                <c:pt idx="0">
                  <c:v>Track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'Monthy November 2025'!$AH$189:$AN$189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'Monthy November 2025'!$AH$193:$AN$193</c:f>
              <c:numCache>
                <c:formatCode>General</c:formatCode>
                <c:ptCount val="7"/>
                <c:pt idx="0">
                  <c:v>84</c:v>
                </c:pt>
                <c:pt idx="1">
                  <c:v>119</c:v>
                </c:pt>
                <c:pt idx="2">
                  <c:v>178</c:v>
                </c:pt>
                <c:pt idx="3">
                  <c:v>126</c:v>
                </c:pt>
                <c:pt idx="4">
                  <c:v>156</c:v>
                </c:pt>
                <c:pt idx="5">
                  <c:v>133</c:v>
                </c:pt>
                <c:pt idx="6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25-4122-8872-49595EBB5237}"/>
            </c:ext>
          </c:extLst>
        </c:ser>
        <c:ser>
          <c:idx val="4"/>
          <c:order val="4"/>
          <c:tx>
            <c:strRef>
              <c:f>'Monthy November 2025'!$AG$194</c:f>
              <c:strCache>
                <c:ptCount val="1"/>
                <c:pt idx="0">
                  <c:v>Stretch &amp; Core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'Monthy November 2025'!$AH$189:$AN$189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'Monthy November 2025'!$AH$194:$AN$194</c:f>
              <c:numCache>
                <c:formatCode>General</c:formatCode>
                <c:ptCount val="7"/>
                <c:pt idx="0">
                  <c:v>84</c:v>
                </c:pt>
                <c:pt idx="1">
                  <c:v>60</c:v>
                </c:pt>
                <c:pt idx="2">
                  <c:v>135</c:v>
                </c:pt>
                <c:pt idx="3">
                  <c:v>141</c:v>
                </c:pt>
                <c:pt idx="4">
                  <c:v>99</c:v>
                </c:pt>
                <c:pt idx="5">
                  <c:v>115</c:v>
                </c:pt>
                <c:pt idx="6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025-4122-8872-49595EBB5237}"/>
            </c:ext>
          </c:extLst>
        </c:ser>
        <c:ser>
          <c:idx val="5"/>
          <c:order val="5"/>
          <c:tx>
            <c:strRef>
              <c:f>'Monthy November 2025'!$AG$195</c:f>
              <c:strCache>
                <c:ptCount val="1"/>
                <c:pt idx="0">
                  <c:v>SPC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'Monthy November 2025'!$AH$189:$AN$189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'Monthy November 2025'!$AH$195:$AN$195</c:f>
              <c:numCache>
                <c:formatCode>General</c:formatCode>
                <c:ptCount val="7"/>
                <c:pt idx="0">
                  <c:v>75</c:v>
                </c:pt>
                <c:pt idx="1">
                  <c:v>62</c:v>
                </c:pt>
                <c:pt idx="2">
                  <c:v>168</c:v>
                </c:pt>
                <c:pt idx="3">
                  <c:v>141</c:v>
                </c:pt>
                <c:pt idx="4">
                  <c:v>118</c:v>
                </c:pt>
                <c:pt idx="5">
                  <c:v>113</c:v>
                </c:pt>
                <c:pt idx="6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025-4122-8872-49595EBB52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Room Attendance - [Month]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'Monthy November 2025'!$AP$6</c:f>
              <c:strCache>
                <c:ptCount val="1"/>
                <c:pt idx="0">
                  <c:v>Cardio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'Monthy November 2025'!$AQ$5:$AW$5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'Monthy November 2025'!$AQ$6:$AW$6</c:f>
              <c:numCache>
                <c:formatCode>General</c:formatCode>
                <c:ptCount val="7"/>
                <c:pt idx="0">
                  <c:v>1306</c:v>
                </c:pt>
                <c:pt idx="1">
                  <c:v>1042</c:v>
                </c:pt>
                <c:pt idx="2">
                  <c:v>2266</c:v>
                </c:pt>
                <c:pt idx="3">
                  <c:v>1886</c:v>
                </c:pt>
                <c:pt idx="4">
                  <c:v>1882</c:v>
                </c:pt>
                <c:pt idx="5">
                  <c:v>1649</c:v>
                </c:pt>
                <c:pt idx="6">
                  <c:v>1397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A2-4423-8F63-7005579201D2}"/>
            </c:ext>
          </c:extLst>
        </c:ser>
        <c:ser>
          <c:idx val="1"/>
          <c:order val="1"/>
          <c:tx>
            <c:strRef>
              <c:f>'Monthy November 2025'!$AP$7</c:f>
              <c:strCache>
                <c:ptCount val="1"/>
                <c:pt idx="0">
                  <c:v>eGym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'Monthy November 2025'!$AQ$5:$AW$5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'Monthy November 2025'!$AQ$7:$AW$7</c:f>
              <c:numCache>
                <c:formatCode>General</c:formatCode>
                <c:ptCount val="7"/>
                <c:pt idx="0">
                  <c:v>340</c:v>
                </c:pt>
                <c:pt idx="1">
                  <c:v>298</c:v>
                </c:pt>
                <c:pt idx="2">
                  <c:v>927</c:v>
                </c:pt>
                <c:pt idx="3">
                  <c:v>629</c:v>
                </c:pt>
                <c:pt idx="4">
                  <c:v>788</c:v>
                </c:pt>
                <c:pt idx="5">
                  <c:v>601</c:v>
                </c:pt>
                <c:pt idx="6">
                  <c:v>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A2-4423-8F63-7005579201D2}"/>
            </c:ext>
          </c:extLst>
        </c:ser>
        <c:ser>
          <c:idx val="2"/>
          <c:order val="2"/>
          <c:tx>
            <c:strRef>
              <c:f>'Monthy November 2025'!$AP$8</c:f>
              <c:strCache>
                <c:ptCount val="1"/>
                <c:pt idx="0">
                  <c:v>Free Weight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'Monthy November 2025'!$AQ$5:$AW$5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'Monthy November 2025'!$AQ$8:$AW$8</c:f>
              <c:numCache>
                <c:formatCode>General</c:formatCode>
                <c:ptCount val="7"/>
                <c:pt idx="0">
                  <c:v>1116</c:v>
                </c:pt>
                <c:pt idx="1">
                  <c:v>692</c:v>
                </c:pt>
                <c:pt idx="2">
                  <c:v>2169</c:v>
                </c:pt>
                <c:pt idx="3">
                  <c:v>1804</c:v>
                </c:pt>
                <c:pt idx="4">
                  <c:v>1756</c:v>
                </c:pt>
                <c:pt idx="5">
                  <c:v>1414</c:v>
                </c:pt>
                <c:pt idx="6">
                  <c:v>1266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A2-4423-8F63-7005579201D2}"/>
            </c:ext>
          </c:extLst>
        </c:ser>
        <c:ser>
          <c:idx val="3"/>
          <c:order val="3"/>
          <c:tx>
            <c:strRef>
              <c:f>'Monthy November 2025'!$AP$9</c:f>
              <c:strCache>
                <c:ptCount val="1"/>
                <c:pt idx="0">
                  <c:v>Track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'Monthy November 2025'!$AQ$5:$AW$5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'Monthy November 2025'!$AQ$9:$AW$9</c:f>
              <c:numCache>
                <c:formatCode>General</c:formatCode>
                <c:ptCount val="7"/>
                <c:pt idx="0">
                  <c:v>348</c:v>
                </c:pt>
                <c:pt idx="1">
                  <c:v>320</c:v>
                </c:pt>
                <c:pt idx="2">
                  <c:v>766</c:v>
                </c:pt>
                <c:pt idx="3">
                  <c:v>668</c:v>
                </c:pt>
                <c:pt idx="4">
                  <c:v>623</c:v>
                </c:pt>
                <c:pt idx="5">
                  <c:v>568</c:v>
                </c:pt>
                <c:pt idx="6">
                  <c:v>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A2-4423-8F63-7005579201D2}"/>
            </c:ext>
          </c:extLst>
        </c:ser>
        <c:ser>
          <c:idx val="4"/>
          <c:order val="4"/>
          <c:tx>
            <c:strRef>
              <c:f>'Monthy November 2025'!$AP$10</c:f>
              <c:strCache>
                <c:ptCount val="1"/>
                <c:pt idx="0">
                  <c:v>Stretch &amp; Core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'Monthy November 2025'!$AQ$5:$AW$5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'Monthy November 2025'!$AQ$10:$AW$10</c:f>
              <c:numCache>
                <c:formatCode>General</c:formatCode>
                <c:ptCount val="7"/>
                <c:pt idx="0">
                  <c:v>393</c:v>
                </c:pt>
                <c:pt idx="1">
                  <c:v>218</c:v>
                </c:pt>
                <c:pt idx="2">
                  <c:v>740</c:v>
                </c:pt>
                <c:pt idx="3">
                  <c:v>610</c:v>
                </c:pt>
                <c:pt idx="4">
                  <c:v>528</c:v>
                </c:pt>
                <c:pt idx="5">
                  <c:v>554</c:v>
                </c:pt>
                <c:pt idx="6">
                  <c:v>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3A2-4423-8F63-7005579201D2}"/>
            </c:ext>
          </c:extLst>
        </c:ser>
        <c:ser>
          <c:idx val="5"/>
          <c:order val="5"/>
          <c:tx>
            <c:strRef>
              <c:f>'Monthy November 2025'!$AP$11</c:f>
              <c:strCache>
                <c:ptCount val="1"/>
                <c:pt idx="0">
                  <c:v>SPC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'Monthy November 2025'!$AQ$5:$AW$5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'Monthy November 2025'!$AQ$11:$AW$11</c:f>
              <c:numCache>
                <c:formatCode>General</c:formatCode>
                <c:ptCount val="7"/>
                <c:pt idx="0">
                  <c:v>390</c:v>
                </c:pt>
                <c:pt idx="1">
                  <c:v>266</c:v>
                </c:pt>
                <c:pt idx="2">
                  <c:v>903</c:v>
                </c:pt>
                <c:pt idx="3">
                  <c:v>676</c:v>
                </c:pt>
                <c:pt idx="4">
                  <c:v>613</c:v>
                </c:pt>
                <c:pt idx="5">
                  <c:v>577</c:v>
                </c:pt>
                <c:pt idx="6">
                  <c:v>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3A2-4423-8F63-7005579201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Cardio</c:v>
          </c:tx>
          <c:spPr>
            <a:ln w="19050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xVal>
            <c:strRef>
              <c:f>'Monthy November 2025'!$AQ$5:$AW$5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xVal>
          <c:yVal>
            <c:numRef>
              <c:f>'Monthy November 2025'!$AQ$6:$AW$6</c:f>
              <c:numCache>
                <c:formatCode>General</c:formatCode>
                <c:ptCount val="7"/>
                <c:pt idx="0">
                  <c:v>1306</c:v>
                </c:pt>
                <c:pt idx="1">
                  <c:v>1042</c:v>
                </c:pt>
                <c:pt idx="2">
                  <c:v>2266</c:v>
                </c:pt>
                <c:pt idx="3">
                  <c:v>1886</c:v>
                </c:pt>
                <c:pt idx="4">
                  <c:v>1882</c:v>
                </c:pt>
                <c:pt idx="5">
                  <c:v>1649</c:v>
                </c:pt>
                <c:pt idx="6">
                  <c:v>1397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5D-4210-9789-4F7AB6AB95AE}"/>
            </c:ext>
          </c:extLst>
        </c:ser>
        <c:ser>
          <c:idx val="1"/>
          <c:order val="1"/>
          <c:tx>
            <c:v>eGym</c:v>
          </c:tx>
          <c:spPr>
            <a:ln w="19050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xVal>
            <c:strRef>
              <c:f>'Monthy November 2025'!$AQ$5:$AW$5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xVal>
          <c:yVal>
            <c:numRef>
              <c:f>'Monthy November 2025'!$AQ$7:$AW$7</c:f>
              <c:numCache>
                <c:formatCode>General</c:formatCode>
                <c:ptCount val="7"/>
                <c:pt idx="0">
                  <c:v>340</c:v>
                </c:pt>
                <c:pt idx="1">
                  <c:v>298</c:v>
                </c:pt>
                <c:pt idx="2">
                  <c:v>927</c:v>
                </c:pt>
                <c:pt idx="3">
                  <c:v>629</c:v>
                </c:pt>
                <c:pt idx="4">
                  <c:v>788</c:v>
                </c:pt>
                <c:pt idx="5">
                  <c:v>601</c:v>
                </c:pt>
                <c:pt idx="6">
                  <c:v>645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5D-4210-9789-4F7AB6AB95AE}"/>
            </c:ext>
          </c:extLst>
        </c:ser>
        <c:ser>
          <c:idx val="2"/>
          <c:order val="2"/>
          <c:tx>
            <c:v>Free Weight</c:v>
          </c:tx>
          <c:spPr>
            <a:ln w="19050" cap="rnd">
              <a:solidFill>
                <a:srgbClr val="2AA0A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2AA0A4"/>
              </a:solidFill>
              <a:ln w="9525">
                <a:solidFill>
                  <a:srgbClr val="2AA0A4"/>
                </a:solidFill>
              </a:ln>
              <a:effectLst/>
            </c:spPr>
          </c:marker>
          <c:xVal>
            <c:strRef>
              <c:f>'Monthy November 2025'!$AQ$5:$AW$5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xVal>
          <c:yVal>
            <c:numRef>
              <c:f>'Monthy November 2025'!$AQ$8:$AW$8</c:f>
              <c:numCache>
                <c:formatCode>General</c:formatCode>
                <c:ptCount val="7"/>
                <c:pt idx="0">
                  <c:v>1116</c:v>
                </c:pt>
                <c:pt idx="1">
                  <c:v>692</c:v>
                </c:pt>
                <c:pt idx="2">
                  <c:v>2169</c:v>
                </c:pt>
                <c:pt idx="3">
                  <c:v>1804</c:v>
                </c:pt>
                <c:pt idx="4">
                  <c:v>1756</c:v>
                </c:pt>
                <c:pt idx="5">
                  <c:v>1414</c:v>
                </c:pt>
                <c:pt idx="6">
                  <c:v>1266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05D-4210-9789-4F7AB6AB95AE}"/>
            </c:ext>
          </c:extLst>
        </c:ser>
        <c:ser>
          <c:idx val="3"/>
          <c:order val="3"/>
          <c:tx>
            <c:v>Track</c:v>
          </c:tx>
          <c:spPr>
            <a:ln w="19050" cap="rnd">
              <a:solidFill>
                <a:srgbClr val="9373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373C0"/>
              </a:solidFill>
              <a:ln w="9525">
                <a:solidFill>
                  <a:srgbClr val="9373C0"/>
                </a:solidFill>
              </a:ln>
              <a:effectLst/>
            </c:spPr>
          </c:marker>
          <c:xVal>
            <c:strRef>
              <c:f>'Monthy November 2025'!$AQ$5:$AW$5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xVal>
          <c:yVal>
            <c:numRef>
              <c:f>'Monthy November 2025'!$AQ$9:$AW$9</c:f>
              <c:numCache>
                <c:formatCode>General</c:formatCode>
                <c:ptCount val="7"/>
                <c:pt idx="0">
                  <c:v>348</c:v>
                </c:pt>
                <c:pt idx="1">
                  <c:v>320</c:v>
                </c:pt>
                <c:pt idx="2">
                  <c:v>766</c:v>
                </c:pt>
                <c:pt idx="3">
                  <c:v>668</c:v>
                </c:pt>
                <c:pt idx="4">
                  <c:v>623</c:v>
                </c:pt>
                <c:pt idx="5">
                  <c:v>568</c:v>
                </c:pt>
                <c:pt idx="6">
                  <c:v>493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05D-4210-9789-4F7AB6AB95AE}"/>
            </c:ext>
          </c:extLst>
        </c:ser>
        <c:ser>
          <c:idx val="4"/>
          <c:order val="4"/>
          <c:tx>
            <c:v>Strech &amp; Core</c:v>
          </c:tx>
          <c:spPr>
            <a:ln w="19050" cap="rnd">
              <a:solidFill>
                <a:srgbClr val="13A10E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13A10E"/>
              </a:solidFill>
              <a:ln w="9525">
                <a:solidFill>
                  <a:srgbClr val="13A10E"/>
                </a:solidFill>
              </a:ln>
              <a:effectLst/>
            </c:spPr>
          </c:marker>
          <c:xVal>
            <c:strRef>
              <c:f>'Monthy November 2025'!$AQ$5:$AW$5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xVal>
          <c:yVal>
            <c:numRef>
              <c:f>'Monthy November 2025'!$AQ$10:$AW$10</c:f>
              <c:numCache>
                <c:formatCode>General</c:formatCode>
                <c:ptCount val="7"/>
                <c:pt idx="0">
                  <c:v>393</c:v>
                </c:pt>
                <c:pt idx="1">
                  <c:v>218</c:v>
                </c:pt>
                <c:pt idx="2">
                  <c:v>740</c:v>
                </c:pt>
                <c:pt idx="3">
                  <c:v>610</c:v>
                </c:pt>
                <c:pt idx="4">
                  <c:v>528</c:v>
                </c:pt>
                <c:pt idx="5">
                  <c:v>554</c:v>
                </c:pt>
                <c:pt idx="6">
                  <c:v>369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05D-4210-9789-4F7AB6AB95AE}"/>
            </c:ext>
          </c:extLst>
        </c:ser>
        <c:ser>
          <c:idx val="5"/>
          <c:order val="5"/>
          <c:tx>
            <c:v>SPC</c:v>
          </c:tx>
          <c:spPr>
            <a:ln w="19050" cap="rnd">
              <a:solidFill>
                <a:srgbClr val="3A96DD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3A96DD"/>
              </a:solidFill>
              <a:ln w="9525">
                <a:solidFill>
                  <a:srgbClr val="3A96DD"/>
                </a:solidFill>
              </a:ln>
              <a:effectLst/>
            </c:spPr>
          </c:marker>
          <c:xVal>
            <c:strRef>
              <c:f>'Monthy November 2025'!$AQ$5:$AW$5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xVal>
          <c:yVal>
            <c:numRef>
              <c:f>'Monthy November 2025'!$AQ$11:$AW$11</c:f>
              <c:numCache>
                <c:formatCode>General</c:formatCode>
                <c:ptCount val="7"/>
                <c:pt idx="0">
                  <c:v>390</c:v>
                </c:pt>
                <c:pt idx="1">
                  <c:v>266</c:v>
                </c:pt>
                <c:pt idx="2">
                  <c:v>903</c:v>
                </c:pt>
                <c:pt idx="3">
                  <c:v>676</c:v>
                </c:pt>
                <c:pt idx="4">
                  <c:v>613</c:v>
                </c:pt>
                <c:pt idx="5">
                  <c:v>577</c:v>
                </c:pt>
                <c:pt idx="6">
                  <c:v>515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05D-4210-9789-4F7AB6AB95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4092168"/>
        <c:axId val="1304095240"/>
      </c:scatterChart>
      <c:valAx>
        <c:axId val="1304092168"/>
        <c:scaling>
          <c:orientation val="minMax"/>
          <c:max val="7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095240"/>
        <c:crosses val="autoZero"/>
        <c:crossBetween val="midCat"/>
      </c:valAx>
      <c:valAx>
        <c:axId val="1304095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092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'Monthy November 2025'!$AG$52</c:f>
              <c:strCache>
                <c:ptCount val="1"/>
                <c:pt idx="0">
                  <c:v>Cardio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val>
            <c:numRef>
              <c:f>'Monthy November 2025'!$AH$52:$AN$52</c:f>
              <c:numCache>
                <c:formatCode>General</c:formatCode>
                <c:ptCount val="7"/>
                <c:pt idx="0">
                  <c:v>195</c:v>
                </c:pt>
                <c:pt idx="1">
                  <c:v>224</c:v>
                </c:pt>
                <c:pt idx="2">
                  <c:v>453</c:v>
                </c:pt>
                <c:pt idx="3">
                  <c:v>415</c:v>
                </c:pt>
                <c:pt idx="4">
                  <c:v>359</c:v>
                </c:pt>
                <c:pt idx="5">
                  <c:v>392</c:v>
                </c:pt>
                <c:pt idx="6">
                  <c:v>236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6BC-428E-AD05-17EF4F603A8B}"/>
            </c:ext>
          </c:extLst>
        </c:ser>
        <c:ser>
          <c:idx val="1"/>
          <c:order val="1"/>
          <c:tx>
            <c:strRef>
              <c:f>'Monthy November 2025'!$AG$53</c:f>
              <c:strCache>
                <c:ptCount val="1"/>
                <c:pt idx="0">
                  <c:v>eGym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val>
            <c:numRef>
              <c:f>'Monthy November 2025'!$AH$53:$AN$53</c:f>
              <c:numCache>
                <c:formatCode>General</c:formatCode>
                <c:ptCount val="7"/>
                <c:pt idx="0">
                  <c:v>58</c:v>
                </c:pt>
                <c:pt idx="1">
                  <c:v>57</c:v>
                </c:pt>
                <c:pt idx="2">
                  <c:v>178</c:v>
                </c:pt>
                <c:pt idx="3">
                  <c:v>116</c:v>
                </c:pt>
                <c:pt idx="4">
                  <c:v>144</c:v>
                </c:pt>
                <c:pt idx="5">
                  <c:v>131</c:v>
                </c:pt>
                <c:pt idx="6">
                  <c:v>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6BC-428E-AD05-17EF4F603A8B}"/>
            </c:ext>
          </c:extLst>
        </c:ser>
        <c:ser>
          <c:idx val="2"/>
          <c:order val="2"/>
          <c:tx>
            <c:strRef>
              <c:f>'Monthy November 2025'!$AG$54</c:f>
              <c:strCache>
                <c:ptCount val="1"/>
                <c:pt idx="0">
                  <c:v>Free Weight</c:v>
                </c:pt>
              </c:strCache>
            </c:strRef>
          </c:tx>
          <c:spPr>
            <a:ln w="28575" cap="rnd">
              <a:solidFill>
                <a:srgbClr val="FBBC0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2AA0A4"/>
              </a:solidFill>
              <a:ln w="9525">
                <a:solidFill>
                  <a:srgbClr val="2AA0A4"/>
                </a:solidFill>
              </a:ln>
              <a:effectLst/>
            </c:spPr>
          </c:marker>
          <c:val>
            <c:numRef>
              <c:f>'Monthy November 2025'!$AH$54:$AN$54</c:f>
              <c:numCache>
                <c:formatCode>General</c:formatCode>
                <c:ptCount val="7"/>
                <c:pt idx="0">
                  <c:v>214</c:v>
                </c:pt>
                <c:pt idx="1">
                  <c:v>127</c:v>
                </c:pt>
                <c:pt idx="2">
                  <c:v>413</c:v>
                </c:pt>
                <c:pt idx="3">
                  <c:v>347</c:v>
                </c:pt>
                <c:pt idx="4">
                  <c:v>321</c:v>
                </c:pt>
                <c:pt idx="5">
                  <c:v>322</c:v>
                </c:pt>
                <c:pt idx="6">
                  <c:v>249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6BC-428E-AD05-17EF4F603A8B}"/>
            </c:ext>
          </c:extLst>
        </c:ser>
        <c:ser>
          <c:idx val="3"/>
          <c:order val="3"/>
          <c:tx>
            <c:strRef>
              <c:f>'Monthy November 2025'!$AG$55</c:f>
              <c:strCache>
                <c:ptCount val="1"/>
                <c:pt idx="0">
                  <c:v>Track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9373C0"/>
              </a:solidFill>
              <a:ln w="9525">
                <a:solidFill>
                  <a:srgbClr val="9373C0"/>
                </a:solidFill>
              </a:ln>
              <a:effectLst/>
            </c:spPr>
          </c:marker>
          <c:val>
            <c:numRef>
              <c:f>'Monthy November 2025'!$AH$55:$AN$55</c:f>
              <c:numCache>
                <c:formatCode>General</c:formatCode>
                <c:ptCount val="7"/>
                <c:pt idx="0">
                  <c:v>73</c:v>
                </c:pt>
                <c:pt idx="1">
                  <c:v>70</c:v>
                </c:pt>
                <c:pt idx="2">
                  <c:v>150</c:v>
                </c:pt>
                <c:pt idx="3">
                  <c:v>118</c:v>
                </c:pt>
                <c:pt idx="4">
                  <c:v>118</c:v>
                </c:pt>
                <c:pt idx="5">
                  <c:v>126</c:v>
                </c:pt>
                <c:pt idx="6">
                  <c:v>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6BC-428E-AD05-17EF4F603A8B}"/>
            </c:ext>
          </c:extLst>
        </c:ser>
        <c:ser>
          <c:idx val="4"/>
          <c:order val="4"/>
          <c:tx>
            <c:strRef>
              <c:f>'Monthy November 2025'!$AG$56</c:f>
              <c:strCache>
                <c:ptCount val="1"/>
                <c:pt idx="0">
                  <c:v>Stretch &amp; Core</c:v>
                </c:pt>
              </c:strCache>
            </c:strRef>
          </c:tx>
          <c:spPr>
            <a:ln w="28575" cap="rnd">
              <a:solidFill>
                <a:srgbClr val="7030A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13A10E"/>
              </a:solidFill>
              <a:ln w="9525">
                <a:solidFill>
                  <a:srgbClr val="13A10E"/>
                </a:solidFill>
              </a:ln>
              <a:effectLst/>
            </c:spPr>
          </c:marker>
          <c:val>
            <c:numRef>
              <c:f>'Monthy November 2025'!$AH$56:$AN$56</c:f>
              <c:numCache>
                <c:formatCode>General</c:formatCode>
                <c:ptCount val="7"/>
                <c:pt idx="0">
                  <c:v>89</c:v>
                </c:pt>
                <c:pt idx="1">
                  <c:v>43</c:v>
                </c:pt>
                <c:pt idx="2">
                  <c:v>146</c:v>
                </c:pt>
                <c:pt idx="3">
                  <c:v>111</c:v>
                </c:pt>
                <c:pt idx="4">
                  <c:v>102</c:v>
                </c:pt>
                <c:pt idx="5">
                  <c:v>133</c:v>
                </c:pt>
                <c:pt idx="6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6BC-428E-AD05-17EF4F603A8B}"/>
            </c:ext>
          </c:extLst>
        </c:ser>
        <c:ser>
          <c:idx val="5"/>
          <c:order val="5"/>
          <c:tx>
            <c:strRef>
              <c:f>'Monthy November 2025'!$AG$57</c:f>
              <c:strCache>
                <c:ptCount val="1"/>
                <c:pt idx="0">
                  <c:v>SPC</c:v>
                </c:pt>
              </c:strCache>
            </c:strRef>
          </c:tx>
          <c:spPr>
            <a:ln w="28575" cap="rnd">
              <a:solidFill>
                <a:srgbClr val="00B0F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3A96DD"/>
              </a:solidFill>
              <a:ln w="9525">
                <a:solidFill>
                  <a:srgbClr val="3A96DD"/>
                </a:solidFill>
              </a:ln>
              <a:effectLst/>
            </c:spPr>
          </c:marker>
          <c:val>
            <c:numRef>
              <c:f>'Monthy November 2025'!$AH$57:$AN$57</c:f>
              <c:numCache>
                <c:formatCode>General</c:formatCode>
                <c:ptCount val="7"/>
                <c:pt idx="0">
                  <c:v>97</c:v>
                </c:pt>
                <c:pt idx="1">
                  <c:v>51</c:v>
                </c:pt>
                <c:pt idx="2">
                  <c:v>181</c:v>
                </c:pt>
                <c:pt idx="3">
                  <c:v>135</c:v>
                </c:pt>
                <c:pt idx="4">
                  <c:v>120</c:v>
                </c:pt>
                <c:pt idx="5">
                  <c:v>143</c:v>
                </c:pt>
                <c:pt idx="6">
                  <c:v>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6BC-428E-AD05-17EF4F603A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0011271"/>
        <c:axId val="1363334663"/>
      </c:lineChart>
      <c:catAx>
        <c:axId val="12800112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334663"/>
        <c:crosses val="autoZero"/>
        <c:auto val="1"/>
        <c:lblAlgn val="ctr"/>
        <c:lblOffset val="100"/>
        <c:noMultiLvlLbl val="0"/>
      </c:catAx>
      <c:valAx>
        <c:axId val="1363334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011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Room Popularity - [Week]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December 2025'!$AH$5</c:f>
              <c:strCache>
                <c:ptCount val="1"/>
                <c:pt idx="0">
                  <c:v>Saturday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December 2025'!$AG$6:$AG$11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December 2025'!$AH$6:$AH$11</c:f>
              <c:numCache>
                <c:formatCode>General</c:formatCode>
                <c:ptCount val="6"/>
                <c:pt idx="0">
                  <c:v>335</c:v>
                </c:pt>
                <c:pt idx="1">
                  <c:v>63</c:v>
                </c:pt>
                <c:pt idx="2">
                  <c:v>249</c:v>
                </c:pt>
                <c:pt idx="3">
                  <c:v>78</c:v>
                </c:pt>
                <c:pt idx="4">
                  <c:v>108</c:v>
                </c:pt>
                <c:pt idx="5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0D-4BB5-9C73-40C0FE368917}"/>
            </c:ext>
          </c:extLst>
        </c:ser>
        <c:ser>
          <c:idx val="1"/>
          <c:order val="1"/>
          <c:tx>
            <c:strRef>
              <c:f>'Monthly December 2025'!$AI$5</c:f>
              <c:strCache>
                <c:ptCount val="1"/>
                <c:pt idx="0">
                  <c:v>Sunday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December 2025'!$AG$6:$AG$11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December 2025'!$AI$6:$AI$11</c:f>
              <c:numCache>
                <c:formatCode>General</c:formatCode>
                <c:ptCount val="6"/>
                <c:pt idx="0">
                  <c:v>232</c:v>
                </c:pt>
                <c:pt idx="1">
                  <c:v>57</c:v>
                </c:pt>
                <c:pt idx="2">
                  <c:v>151</c:v>
                </c:pt>
                <c:pt idx="3">
                  <c:v>70</c:v>
                </c:pt>
                <c:pt idx="4">
                  <c:v>51</c:v>
                </c:pt>
                <c:pt idx="5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0D-4BB5-9C73-40C0FE368917}"/>
            </c:ext>
          </c:extLst>
        </c:ser>
        <c:ser>
          <c:idx val="2"/>
          <c:order val="2"/>
          <c:tx>
            <c:strRef>
              <c:f>'Monthly December 2025'!$AJ$5</c:f>
              <c:strCache>
                <c:ptCount val="1"/>
                <c:pt idx="0">
                  <c:v>Monday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December 2025'!$AG$6:$AG$11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December 2025'!$AJ$6:$AJ$11</c:f>
              <c:numCache>
                <c:formatCode>General</c:formatCode>
                <c:ptCount val="6"/>
                <c:pt idx="0">
                  <c:v>431</c:v>
                </c:pt>
                <c:pt idx="1">
                  <c:v>183</c:v>
                </c:pt>
                <c:pt idx="2">
                  <c:v>405</c:v>
                </c:pt>
                <c:pt idx="3">
                  <c:v>178</c:v>
                </c:pt>
                <c:pt idx="4">
                  <c:v>147</c:v>
                </c:pt>
                <c:pt idx="5">
                  <c:v>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0D-4BB5-9C73-40C0FE368917}"/>
            </c:ext>
          </c:extLst>
        </c:ser>
        <c:ser>
          <c:idx val="3"/>
          <c:order val="3"/>
          <c:tx>
            <c:strRef>
              <c:f>'Monthly December 2025'!$AK$5</c:f>
              <c:strCache>
                <c:ptCount val="1"/>
                <c:pt idx="0">
                  <c:v>Tuesday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December 2025'!$AG$6:$AG$11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December 2025'!$AK$6:$AK$11</c:f>
              <c:numCache>
                <c:formatCode>General</c:formatCode>
                <c:ptCount val="6"/>
                <c:pt idx="0">
                  <c:v>401</c:v>
                </c:pt>
                <c:pt idx="1">
                  <c:v>130</c:v>
                </c:pt>
                <c:pt idx="2">
                  <c:v>338</c:v>
                </c:pt>
                <c:pt idx="3">
                  <c:v>155</c:v>
                </c:pt>
                <c:pt idx="4">
                  <c:v>135</c:v>
                </c:pt>
                <c:pt idx="5">
                  <c:v>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90D-4BB5-9C73-40C0FE368917}"/>
            </c:ext>
          </c:extLst>
        </c:ser>
        <c:ser>
          <c:idx val="4"/>
          <c:order val="4"/>
          <c:tx>
            <c:strRef>
              <c:f>'Monthly December 2025'!$AL$5</c:f>
              <c:strCache>
                <c:ptCount val="1"/>
                <c:pt idx="0">
                  <c:v>Wednesday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December 2025'!$AG$6:$AG$11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December 2025'!$AL$6:$AL$11</c:f>
              <c:numCache>
                <c:formatCode>General</c:formatCode>
                <c:ptCount val="6"/>
                <c:pt idx="0">
                  <c:v>381</c:v>
                </c:pt>
                <c:pt idx="1">
                  <c:v>165</c:v>
                </c:pt>
                <c:pt idx="2">
                  <c:v>342</c:v>
                </c:pt>
                <c:pt idx="3">
                  <c:v>144</c:v>
                </c:pt>
                <c:pt idx="4">
                  <c:v>85</c:v>
                </c:pt>
                <c:pt idx="5">
                  <c:v>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90D-4BB5-9C73-40C0FE368917}"/>
            </c:ext>
          </c:extLst>
        </c:ser>
        <c:ser>
          <c:idx val="5"/>
          <c:order val="5"/>
          <c:tx>
            <c:strRef>
              <c:f>'Monthly December 2025'!$AM$5</c:f>
              <c:strCache>
                <c:ptCount val="1"/>
                <c:pt idx="0">
                  <c:v>Thursday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December 2025'!$AG$6:$AG$11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December 2025'!$AM$6:$AM$11</c:f>
              <c:numCache>
                <c:formatCode>General</c:formatCode>
                <c:ptCount val="6"/>
                <c:pt idx="0">
                  <c:v>348</c:v>
                </c:pt>
                <c:pt idx="1">
                  <c:v>120</c:v>
                </c:pt>
                <c:pt idx="2">
                  <c:v>290</c:v>
                </c:pt>
                <c:pt idx="3">
                  <c:v>127</c:v>
                </c:pt>
                <c:pt idx="4">
                  <c:v>102</c:v>
                </c:pt>
                <c:pt idx="5">
                  <c:v>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90D-4BB5-9C73-40C0FE368917}"/>
            </c:ext>
          </c:extLst>
        </c:ser>
        <c:ser>
          <c:idx val="6"/>
          <c:order val="6"/>
          <c:tx>
            <c:strRef>
              <c:f>'Monthly December 2025'!$AN$5</c:f>
              <c:strCache>
                <c:ptCount val="1"/>
                <c:pt idx="0">
                  <c:v>Friday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'Monthly December 2025'!$AG$6:$AG$11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December 2025'!$AN$6:$AN$11</c:f>
              <c:numCache>
                <c:formatCode>General</c:formatCode>
                <c:ptCount val="6"/>
                <c:pt idx="0">
                  <c:v>349</c:v>
                </c:pt>
                <c:pt idx="1">
                  <c:v>131</c:v>
                </c:pt>
                <c:pt idx="2">
                  <c:v>295</c:v>
                </c:pt>
                <c:pt idx="3">
                  <c:v>112</c:v>
                </c:pt>
                <c:pt idx="4">
                  <c:v>62</c:v>
                </c:pt>
                <c:pt idx="5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90D-4BB5-9C73-40C0FE3689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Room Attendance - [Week]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December 2025'!$AG$6</c:f>
              <c:strCache>
                <c:ptCount val="1"/>
                <c:pt idx="0">
                  <c:v>Cardio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December 2025'!$AH$5:$AN$5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December 2025'!$AH$6:$AN$6</c:f>
              <c:numCache>
                <c:formatCode>General</c:formatCode>
                <c:ptCount val="7"/>
                <c:pt idx="0">
                  <c:v>335</c:v>
                </c:pt>
                <c:pt idx="1">
                  <c:v>232</c:v>
                </c:pt>
                <c:pt idx="2">
                  <c:v>431</c:v>
                </c:pt>
                <c:pt idx="3">
                  <c:v>401</c:v>
                </c:pt>
                <c:pt idx="4">
                  <c:v>381</c:v>
                </c:pt>
                <c:pt idx="5">
                  <c:v>348</c:v>
                </c:pt>
                <c:pt idx="6">
                  <c:v>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82-4D21-82A0-D7ED2D61322F}"/>
            </c:ext>
          </c:extLst>
        </c:ser>
        <c:ser>
          <c:idx val="1"/>
          <c:order val="1"/>
          <c:tx>
            <c:strRef>
              <c:f>'Monthly December 2025'!$AG$7</c:f>
              <c:strCache>
                <c:ptCount val="1"/>
                <c:pt idx="0">
                  <c:v>eGym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December 2025'!$AH$5:$AN$5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December 2025'!$AH$7:$AN$7</c:f>
              <c:numCache>
                <c:formatCode>General</c:formatCode>
                <c:ptCount val="7"/>
                <c:pt idx="0">
                  <c:v>63</c:v>
                </c:pt>
                <c:pt idx="1">
                  <c:v>57</c:v>
                </c:pt>
                <c:pt idx="2">
                  <c:v>183</c:v>
                </c:pt>
                <c:pt idx="3">
                  <c:v>130</c:v>
                </c:pt>
                <c:pt idx="4">
                  <c:v>165</c:v>
                </c:pt>
                <c:pt idx="5">
                  <c:v>120</c:v>
                </c:pt>
                <c:pt idx="6">
                  <c:v>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82-4D21-82A0-D7ED2D61322F}"/>
            </c:ext>
          </c:extLst>
        </c:ser>
        <c:ser>
          <c:idx val="2"/>
          <c:order val="2"/>
          <c:tx>
            <c:strRef>
              <c:f>'Monthly December 2025'!$AG$8</c:f>
              <c:strCache>
                <c:ptCount val="1"/>
                <c:pt idx="0">
                  <c:v>Free Weight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December 2025'!$AH$5:$AN$5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December 2025'!$AH$8:$AN$8</c:f>
              <c:numCache>
                <c:formatCode>General</c:formatCode>
                <c:ptCount val="7"/>
                <c:pt idx="0">
                  <c:v>249</c:v>
                </c:pt>
                <c:pt idx="1">
                  <c:v>151</c:v>
                </c:pt>
                <c:pt idx="2">
                  <c:v>405</c:v>
                </c:pt>
                <c:pt idx="3">
                  <c:v>338</c:v>
                </c:pt>
                <c:pt idx="4">
                  <c:v>342</c:v>
                </c:pt>
                <c:pt idx="5">
                  <c:v>290</c:v>
                </c:pt>
                <c:pt idx="6">
                  <c:v>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82-4D21-82A0-D7ED2D61322F}"/>
            </c:ext>
          </c:extLst>
        </c:ser>
        <c:ser>
          <c:idx val="3"/>
          <c:order val="3"/>
          <c:tx>
            <c:strRef>
              <c:f>'Monthly December 2025'!$AG$9</c:f>
              <c:strCache>
                <c:ptCount val="1"/>
                <c:pt idx="0">
                  <c:v>Track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December 2025'!$AH$5:$AN$5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December 2025'!$AH$9:$AN$9</c:f>
              <c:numCache>
                <c:formatCode>General</c:formatCode>
                <c:ptCount val="7"/>
                <c:pt idx="0">
                  <c:v>78</c:v>
                </c:pt>
                <c:pt idx="1">
                  <c:v>70</c:v>
                </c:pt>
                <c:pt idx="2">
                  <c:v>178</c:v>
                </c:pt>
                <c:pt idx="3">
                  <c:v>155</c:v>
                </c:pt>
                <c:pt idx="4">
                  <c:v>144</c:v>
                </c:pt>
                <c:pt idx="5">
                  <c:v>127</c:v>
                </c:pt>
                <c:pt idx="6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C82-4D21-82A0-D7ED2D61322F}"/>
            </c:ext>
          </c:extLst>
        </c:ser>
        <c:ser>
          <c:idx val="4"/>
          <c:order val="4"/>
          <c:tx>
            <c:strRef>
              <c:f>'Monthly December 2025'!$AG$10</c:f>
              <c:strCache>
                <c:ptCount val="1"/>
                <c:pt idx="0">
                  <c:v>Stretch &amp; Core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December 2025'!$AH$5:$AN$5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December 2025'!$AH$10:$AN$10</c:f>
              <c:numCache>
                <c:formatCode>General</c:formatCode>
                <c:ptCount val="7"/>
                <c:pt idx="0">
                  <c:v>108</c:v>
                </c:pt>
                <c:pt idx="1">
                  <c:v>51</c:v>
                </c:pt>
                <c:pt idx="2">
                  <c:v>147</c:v>
                </c:pt>
                <c:pt idx="3">
                  <c:v>135</c:v>
                </c:pt>
                <c:pt idx="4">
                  <c:v>85</c:v>
                </c:pt>
                <c:pt idx="5">
                  <c:v>102</c:v>
                </c:pt>
                <c:pt idx="6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C82-4D21-82A0-D7ED2D61322F}"/>
            </c:ext>
          </c:extLst>
        </c:ser>
        <c:ser>
          <c:idx val="5"/>
          <c:order val="5"/>
          <c:tx>
            <c:strRef>
              <c:f>'Monthly December 2025'!$AG$11</c:f>
              <c:strCache>
                <c:ptCount val="1"/>
                <c:pt idx="0">
                  <c:v>SPC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December 2025'!$AH$5:$AN$5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December 2025'!$AH$11:$AN$11</c:f>
              <c:numCache>
                <c:formatCode>General</c:formatCode>
                <c:ptCount val="7"/>
                <c:pt idx="0">
                  <c:v>87</c:v>
                </c:pt>
                <c:pt idx="1">
                  <c:v>72</c:v>
                </c:pt>
                <c:pt idx="2">
                  <c:v>163</c:v>
                </c:pt>
                <c:pt idx="3">
                  <c:v>144</c:v>
                </c:pt>
                <c:pt idx="4">
                  <c:v>129</c:v>
                </c:pt>
                <c:pt idx="5">
                  <c:v>119</c:v>
                </c:pt>
                <c:pt idx="6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C82-4D21-82A0-D7ED2D613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Room Popularity - [Week]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December 2025'!$AH$51</c:f>
              <c:strCache>
                <c:ptCount val="1"/>
                <c:pt idx="0">
                  <c:v>Saturday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December 2025'!$AG$52:$AG$57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December 2025'!$AH$52:$AH$57</c:f>
              <c:numCache>
                <c:formatCode>General</c:formatCode>
                <c:ptCount val="6"/>
                <c:pt idx="0">
                  <c:v>321</c:v>
                </c:pt>
                <c:pt idx="1">
                  <c:v>60</c:v>
                </c:pt>
                <c:pt idx="2">
                  <c:v>196</c:v>
                </c:pt>
                <c:pt idx="3">
                  <c:v>81</c:v>
                </c:pt>
                <c:pt idx="4">
                  <c:v>77</c:v>
                </c:pt>
                <c:pt idx="5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8E-45F8-992E-FD7D3AB8B50A}"/>
            </c:ext>
          </c:extLst>
        </c:ser>
        <c:ser>
          <c:idx val="1"/>
          <c:order val="1"/>
          <c:tx>
            <c:strRef>
              <c:f>'Monthly December 2025'!$AI$51</c:f>
              <c:strCache>
                <c:ptCount val="1"/>
                <c:pt idx="0">
                  <c:v>Sunday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December 2025'!$AG$52:$AG$57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December 2025'!$AI$52:$AI$57</c:f>
              <c:numCache>
                <c:formatCode>General</c:formatCode>
                <c:ptCount val="6"/>
                <c:pt idx="0">
                  <c:v>283</c:v>
                </c:pt>
                <c:pt idx="1">
                  <c:v>57</c:v>
                </c:pt>
                <c:pt idx="2">
                  <c:v>150</c:v>
                </c:pt>
                <c:pt idx="3">
                  <c:v>74</c:v>
                </c:pt>
                <c:pt idx="4">
                  <c:v>48</c:v>
                </c:pt>
                <c:pt idx="5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8E-45F8-992E-FD7D3AB8B50A}"/>
            </c:ext>
          </c:extLst>
        </c:ser>
        <c:ser>
          <c:idx val="2"/>
          <c:order val="2"/>
          <c:tx>
            <c:strRef>
              <c:f>'Monthly December 2025'!$AJ$51</c:f>
              <c:strCache>
                <c:ptCount val="1"/>
                <c:pt idx="0">
                  <c:v>Monday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December 2025'!$AG$52:$AG$57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December 2025'!$AJ$52:$AJ$57</c:f>
              <c:numCache>
                <c:formatCode>General</c:formatCode>
                <c:ptCount val="6"/>
                <c:pt idx="0">
                  <c:v>470</c:v>
                </c:pt>
                <c:pt idx="1">
                  <c:v>169</c:v>
                </c:pt>
                <c:pt idx="2">
                  <c:v>435</c:v>
                </c:pt>
                <c:pt idx="3">
                  <c:v>188</c:v>
                </c:pt>
                <c:pt idx="4">
                  <c:v>159</c:v>
                </c:pt>
                <c:pt idx="5">
                  <c:v>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8E-45F8-992E-FD7D3AB8B50A}"/>
            </c:ext>
          </c:extLst>
        </c:ser>
        <c:ser>
          <c:idx val="3"/>
          <c:order val="3"/>
          <c:tx>
            <c:strRef>
              <c:f>'Monthly December 2025'!$AK$51</c:f>
              <c:strCache>
                <c:ptCount val="1"/>
                <c:pt idx="0">
                  <c:v>Tuesday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December 2025'!$AG$52:$AG$57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December 2025'!$AK$52:$AK$57</c:f>
              <c:numCache>
                <c:formatCode>General</c:formatCode>
                <c:ptCount val="6"/>
                <c:pt idx="0">
                  <c:v>393</c:v>
                </c:pt>
                <c:pt idx="1">
                  <c:v>116</c:v>
                </c:pt>
                <c:pt idx="2">
                  <c:v>375</c:v>
                </c:pt>
                <c:pt idx="3">
                  <c:v>119</c:v>
                </c:pt>
                <c:pt idx="4">
                  <c:v>107</c:v>
                </c:pt>
                <c:pt idx="5">
                  <c:v>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48E-45F8-992E-FD7D3AB8B50A}"/>
            </c:ext>
          </c:extLst>
        </c:ser>
        <c:ser>
          <c:idx val="4"/>
          <c:order val="4"/>
          <c:tx>
            <c:strRef>
              <c:f>'Monthly December 2025'!$AL$51</c:f>
              <c:strCache>
                <c:ptCount val="1"/>
                <c:pt idx="0">
                  <c:v>Wednesday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December 2025'!$AG$52:$AG$57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December 2025'!$AL$52:$AL$57</c:f>
              <c:numCache>
                <c:formatCode>General</c:formatCode>
                <c:ptCount val="6"/>
                <c:pt idx="0">
                  <c:v>347</c:v>
                </c:pt>
                <c:pt idx="1">
                  <c:v>165</c:v>
                </c:pt>
                <c:pt idx="2">
                  <c:v>338</c:v>
                </c:pt>
                <c:pt idx="3">
                  <c:v>110</c:v>
                </c:pt>
                <c:pt idx="4">
                  <c:v>92</c:v>
                </c:pt>
                <c:pt idx="5">
                  <c:v>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48E-45F8-992E-FD7D3AB8B50A}"/>
            </c:ext>
          </c:extLst>
        </c:ser>
        <c:ser>
          <c:idx val="5"/>
          <c:order val="5"/>
          <c:tx>
            <c:strRef>
              <c:f>'Monthly December 2025'!$AM$51</c:f>
              <c:strCache>
                <c:ptCount val="1"/>
                <c:pt idx="0">
                  <c:v>Thursday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December 2025'!$AG$52:$AG$57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December 2025'!$AM$52:$AM$57</c:f>
              <c:numCache>
                <c:formatCode>General</c:formatCode>
                <c:ptCount val="6"/>
                <c:pt idx="0">
                  <c:v>375</c:v>
                </c:pt>
                <c:pt idx="1">
                  <c:v>126</c:v>
                </c:pt>
                <c:pt idx="2">
                  <c:v>333</c:v>
                </c:pt>
                <c:pt idx="3">
                  <c:v>99</c:v>
                </c:pt>
                <c:pt idx="4">
                  <c:v>121</c:v>
                </c:pt>
                <c:pt idx="5">
                  <c:v>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48E-45F8-992E-FD7D3AB8B50A}"/>
            </c:ext>
          </c:extLst>
        </c:ser>
        <c:ser>
          <c:idx val="6"/>
          <c:order val="6"/>
          <c:tx>
            <c:strRef>
              <c:f>'Monthly December 2025'!$AN$51</c:f>
              <c:strCache>
                <c:ptCount val="1"/>
                <c:pt idx="0">
                  <c:v>Friday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'Monthly December 2025'!$AG$52:$AG$57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December 2025'!$AN$52:$AN$57</c:f>
              <c:numCache>
                <c:formatCode>General</c:formatCode>
                <c:ptCount val="6"/>
                <c:pt idx="0">
                  <c:v>347</c:v>
                </c:pt>
                <c:pt idx="1">
                  <c:v>120</c:v>
                </c:pt>
                <c:pt idx="2">
                  <c:v>331</c:v>
                </c:pt>
                <c:pt idx="3">
                  <c:v>109</c:v>
                </c:pt>
                <c:pt idx="4">
                  <c:v>79</c:v>
                </c:pt>
                <c:pt idx="5">
                  <c:v>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48E-45F8-992E-FD7D3AB8B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Room Attendance - [Week]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December 2025'!$AG$52</c:f>
              <c:strCache>
                <c:ptCount val="1"/>
                <c:pt idx="0">
                  <c:v>Cardio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December 2025'!$AH$51:$AN$51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December 2025'!$AH$52:$AN$52</c:f>
              <c:numCache>
                <c:formatCode>General</c:formatCode>
                <c:ptCount val="7"/>
                <c:pt idx="0">
                  <c:v>321</c:v>
                </c:pt>
                <c:pt idx="1">
                  <c:v>283</c:v>
                </c:pt>
                <c:pt idx="2">
                  <c:v>470</c:v>
                </c:pt>
                <c:pt idx="3">
                  <c:v>393</c:v>
                </c:pt>
                <c:pt idx="4">
                  <c:v>347</c:v>
                </c:pt>
                <c:pt idx="5">
                  <c:v>375</c:v>
                </c:pt>
                <c:pt idx="6">
                  <c:v>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51-489B-9027-95114727EEC6}"/>
            </c:ext>
          </c:extLst>
        </c:ser>
        <c:ser>
          <c:idx val="1"/>
          <c:order val="1"/>
          <c:tx>
            <c:strRef>
              <c:f>'Monthly December 2025'!$AG$53</c:f>
              <c:strCache>
                <c:ptCount val="1"/>
                <c:pt idx="0">
                  <c:v>eGym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December 2025'!$AH$51:$AN$51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December 2025'!$AH$53:$AN$53</c:f>
              <c:numCache>
                <c:formatCode>General</c:formatCode>
                <c:ptCount val="7"/>
                <c:pt idx="0">
                  <c:v>60</c:v>
                </c:pt>
                <c:pt idx="1">
                  <c:v>57</c:v>
                </c:pt>
                <c:pt idx="2">
                  <c:v>169</c:v>
                </c:pt>
                <c:pt idx="3">
                  <c:v>116</c:v>
                </c:pt>
                <c:pt idx="4">
                  <c:v>165</c:v>
                </c:pt>
                <c:pt idx="5">
                  <c:v>126</c:v>
                </c:pt>
                <c:pt idx="6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51-489B-9027-95114727EEC6}"/>
            </c:ext>
          </c:extLst>
        </c:ser>
        <c:ser>
          <c:idx val="2"/>
          <c:order val="2"/>
          <c:tx>
            <c:strRef>
              <c:f>'Monthly December 2025'!$AG$54</c:f>
              <c:strCache>
                <c:ptCount val="1"/>
                <c:pt idx="0">
                  <c:v>Free Weight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December 2025'!$AH$51:$AN$51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December 2025'!$AH$54:$AN$54</c:f>
              <c:numCache>
                <c:formatCode>General</c:formatCode>
                <c:ptCount val="7"/>
                <c:pt idx="0">
                  <c:v>196</c:v>
                </c:pt>
                <c:pt idx="1">
                  <c:v>150</c:v>
                </c:pt>
                <c:pt idx="2">
                  <c:v>435</c:v>
                </c:pt>
                <c:pt idx="3">
                  <c:v>375</c:v>
                </c:pt>
                <c:pt idx="4">
                  <c:v>338</c:v>
                </c:pt>
                <c:pt idx="5">
                  <c:v>333</c:v>
                </c:pt>
                <c:pt idx="6">
                  <c:v>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51-489B-9027-95114727EEC6}"/>
            </c:ext>
          </c:extLst>
        </c:ser>
        <c:ser>
          <c:idx val="3"/>
          <c:order val="3"/>
          <c:tx>
            <c:strRef>
              <c:f>'Monthly December 2025'!$AG$55</c:f>
              <c:strCache>
                <c:ptCount val="1"/>
                <c:pt idx="0">
                  <c:v>Track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December 2025'!$AH$51:$AN$51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December 2025'!$AH$55:$AN$55</c:f>
              <c:numCache>
                <c:formatCode>General</c:formatCode>
                <c:ptCount val="7"/>
                <c:pt idx="0">
                  <c:v>81</c:v>
                </c:pt>
                <c:pt idx="1">
                  <c:v>74</c:v>
                </c:pt>
                <c:pt idx="2">
                  <c:v>188</c:v>
                </c:pt>
                <c:pt idx="3">
                  <c:v>119</c:v>
                </c:pt>
                <c:pt idx="4">
                  <c:v>110</c:v>
                </c:pt>
                <c:pt idx="5">
                  <c:v>99</c:v>
                </c:pt>
                <c:pt idx="6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51-489B-9027-95114727EEC6}"/>
            </c:ext>
          </c:extLst>
        </c:ser>
        <c:ser>
          <c:idx val="4"/>
          <c:order val="4"/>
          <c:tx>
            <c:strRef>
              <c:f>'Monthly December 2025'!$AG$56</c:f>
              <c:strCache>
                <c:ptCount val="1"/>
                <c:pt idx="0">
                  <c:v>Stretch &amp; Core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December 2025'!$AH$51:$AN$51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December 2025'!$AH$56:$AN$56</c:f>
              <c:numCache>
                <c:formatCode>General</c:formatCode>
                <c:ptCount val="7"/>
                <c:pt idx="0">
                  <c:v>77</c:v>
                </c:pt>
                <c:pt idx="1">
                  <c:v>48</c:v>
                </c:pt>
                <c:pt idx="2">
                  <c:v>159</c:v>
                </c:pt>
                <c:pt idx="3">
                  <c:v>107</c:v>
                </c:pt>
                <c:pt idx="4">
                  <c:v>92</c:v>
                </c:pt>
                <c:pt idx="5">
                  <c:v>121</c:v>
                </c:pt>
                <c:pt idx="6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51-489B-9027-95114727EEC6}"/>
            </c:ext>
          </c:extLst>
        </c:ser>
        <c:ser>
          <c:idx val="5"/>
          <c:order val="5"/>
          <c:tx>
            <c:strRef>
              <c:f>'Monthly December 2025'!$AG$57</c:f>
              <c:strCache>
                <c:ptCount val="1"/>
                <c:pt idx="0">
                  <c:v>SPC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December 2025'!$AH$51:$AN$51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December 2025'!$AH$57:$AN$57</c:f>
              <c:numCache>
                <c:formatCode>General</c:formatCode>
                <c:ptCount val="7"/>
                <c:pt idx="0">
                  <c:v>72</c:v>
                </c:pt>
                <c:pt idx="1">
                  <c:v>52</c:v>
                </c:pt>
                <c:pt idx="2">
                  <c:v>168</c:v>
                </c:pt>
                <c:pt idx="3">
                  <c:v>159</c:v>
                </c:pt>
                <c:pt idx="4">
                  <c:v>138</c:v>
                </c:pt>
                <c:pt idx="5">
                  <c:v>131</c:v>
                </c:pt>
                <c:pt idx="6">
                  <c:v>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51-489B-9027-95114727E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Room Attendance - [Week]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December 2025'!$AG$98</c:f>
              <c:strCache>
                <c:ptCount val="1"/>
                <c:pt idx="0">
                  <c:v>Cardio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December 2025'!$AH$97:$AN$97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December 2025'!$AH$98:$AN$98</c:f>
              <c:numCache>
                <c:formatCode>General</c:formatCode>
                <c:ptCount val="7"/>
                <c:pt idx="0">
                  <c:v>254</c:v>
                </c:pt>
                <c:pt idx="1">
                  <c:v>199</c:v>
                </c:pt>
                <c:pt idx="2">
                  <c:v>483</c:v>
                </c:pt>
                <c:pt idx="3">
                  <c:v>423</c:v>
                </c:pt>
                <c:pt idx="4">
                  <c:v>329</c:v>
                </c:pt>
                <c:pt idx="5">
                  <c:v>0</c:v>
                </c:pt>
                <c:pt idx="6">
                  <c:v>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07-4DE8-B2BD-146606E869D8}"/>
            </c:ext>
          </c:extLst>
        </c:ser>
        <c:ser>
          <c:idx val="1"/>
          <c:order val="1"/>
          <c:tx>
            <c:strRef>
              <c:f>'Monthly December 2025'!$AG$99</c:f>
              <c:strCache>
                <c:ptCount val="1"/>
                <c:pt idx="0">
                  <c:v>eGym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December 2025'!$AH$97:$AN$97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December 2025'!$AH$99:$AN$99</c:f>
              <c:numCache>
                <c:formatCode>General</c:formatCode>
                <c:ptCount val="7"/>
                <c:pt idx="0">
                  <c:v>62</c:v>
                </c:pt>
                <c:pt idx="1">
                  <c:v>39</c:v>
                </c:pt>
                <c:pt idx="2">
                  <c:v>239</c:v>
                </c:pt>
                <c:pt idx="3">
                  <c:v>109</c:v>
                </c:pt>
                <c:pt idx="4">
                  <c:v>72</c:v>
                </c:pt>
                <c:pt idx="5">
                  <c:v>0</c:v>
                </c:pt>
                <c:pt idx="6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07-4DE8-B2BD-146606E869D8}"/>
            </c:ext>
          </c:extLst>
        </c:ser>
        <c:ser>
          <c:idx val="2"/>
          <c:order val="2"/>
          <c:tx>
            <c:strRef>
              <c:f>'Monthly December 2025'!$AG$100</c:f>
              <c:strCache>
                <c:ptCount val="1"/>
                <c:pt idx="0">
                  <c:v>Free Weight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December 2025'!$AH$97:$AN$97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December 2025'!$AH$100:$AN$100</c:f>
              <c:numCache>
                <c:formatCode>General</c:formatCode>
                <c:ptCount val="7"/>
                <c:pt idx="0">
                  <c:v>242</c:v>
                </c:pt>
                <c:pt idx="1">
                  <c:v>123</c:v>
                </c:pt>
                <c:pt idx="2">
                  <c:v>484</c:v>
                </c:pt>
                <c:pt idx="3">
                  <c:v>323</c:v>
                </c:pt>
                <c:pt idx="4">
                  <c:v>283</c:v>
                </c:pt>
                <c:pt idx="5">
                  <c:v>0</c:v>
                </c:pt>
                <c:pt idx="6">
                  <c:v>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07-4DE8-B2BD-146606E869D8}"/>
            </c:ext>
          </c:extLst>
        </c:ser>
        <c:ser>
          <c:idx val="3"/>
          <c:order val="3"/>
          <c:tx>
            <c:strRef>
              <c:f>'Monthly December 2025'!$AG$101</c:f>
              <c:strCache>
                <c:ptCount val="1"/>
                <c:pt idx="0">
                  <c:v>Track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December 2025'!$AH$97:$AN$97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December 2025'!$AH$101:$AN$101</c:f>
              <c:numCache>
                <c:formatCode>General</c:formatCode>
                <c:ptCount val="7"/>
                <c:pt idx="0">
                  <c:v>72</c:v>
                </c:pt>
                <c:pt idx="1">
                  <c:v>51</c:v>
                </c:pt>
                <c:pt idx="2">
                  <c:v>161</c:v>
                </c:pt>
                <c:pt idx="3">
                  <c:v>94</c:v>
                </c:pt>
                <c:pt idx="4">
                  <c:v>88</c:v>
                </c:pt>
                <c:pt idx="5">
                  <c:v>0</c:v>
                </c:pt>
                <c:pt idx="6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07-4DE8-B2BD-146606E869D8}"/>
            </c:ext>
          </c:extLst>
        </c:ser>
        <c:ser>
          <c:idx val="4"/>
          <c:order val="4"/>
          <c:tx>
            <c:strRef>
              <c:f>'Monthly December 2025'!$AG$102</c:f>
              <c:strCache>
                <c:ptCount val="1"/>
                <c:pt idx="0">
                  <c:v>Stretch &amp; Core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December 2025'!$AH$97:$AN$97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December 2025'!$AH$102:$AN$102</c:f>
              <c:numCache>
                <c:formatCode>General</c:formatCode>
                <c:ptCount val="7"/>
                <c:pt idx="0">
                  <c:v>77</c:v>
                </c:pt>
                <c:pt idx="1">
                  <c:v>39</c:v>
                </c:pt>
                <c:pt idx="2">
                  <c:v>158</c:v>
                </c:pt>
                <c:pt idx="3">
                  <c:v>103</c:v>
                </c:pt>
                <c:pt idx="4">
                  <c:v>122</c:v>
                </c:pt>
                <c:pt idx="5">
                  <c:v>0</c:v>
                </c:pt>
                <c:pt idx="6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A07-4DE8-B2BD-146606E869D8}"/>
            </c:ext>
          </c:extLst>
        </c:ser>
        <c:ser>
          <c:idx val="5"/>
          <c:order val="5"/>
          <c:tx>
            <c:strRef>
              <c:f>'Monthly December 2025'!$AG$103</c:f>
              <c:strCache>
                <c:ptCount val="1"/>
                <c:pt idx="0">
                  <c:v>SPC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December 2025'!$AH$97:$AN$97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December 2025'!$AH$103:$AN$103</c:f>
              <c:numCache>
                <c:formatCode>General</c:formatCode>
                <c:ptCount val="7"/>
                <c:pt idx="0">
                  <c:v>97</c:v>
                </c:pt>
                <c:pt idx="1">
                  <c:v>39</c:v>
                </c:pt>
                <c:pt idx="2">
                  <c:v>193</c:v>
                </c:pt>
                <c:pt idx="3">
                  <c:v>108</c:v>
                </c:pt>
                <c:pt idx="4">
                  <c:v>127</c:v>
                </c:pt>
                <c:pt idx="5">
                  <c:v>0</c:v>
                </c:pt>
                <c:pt idx="6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A07-4DE8-B2BD-146606E869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Room Popularity - [Week]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December 2025'!$AH$97</c:f>
              <c:strCache>
                <c:ptCount val="1"/>
                <c:pt idx="0">
                  <c:v>Saturday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December 2025'!$AG$98:$AG$103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December 2025'!$AH$98:$AH$103</c:f>
              <c:numCache>
                <c:formatCode>General</c:formatCode>
                <c:ptCount val="6"/>
                <c:pt idx="0">
                  <c:v>254</c:v>
                </c:pt>
                <c:pt idx="1">
                  <c:v>62</c:v>
                </c:pt>
                <c:pt idx="2">
                  <c:v>242</c:v>
                </c:pt>
                <c:pt idx="3">
                  <c:v>72</c:v>
                </c:pt>
                <c:pt idx="4">
                  <c:v>77</c:v>
                </c:pt>
                <c:pt idx="5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89-435E-82C1-2A90433A0C84}"/>
            </c:ext>
          </c:extLst>
        </c:ser>
        <c:ser>
          <c:idx val="1"/>
          <c:order val="1"/>
          <c:tx>
            <c:strRef>
              <c:f>'Monthly December 2025'!$AI$97</c:f>
              <c:strCache>
                <c:ptCount val="1"/>
                <c:pt idx="0">
                  <c:v>Sunday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December 2025'!$AG$98:$AG$103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December 2025'!$AI$98:$AI$103</c:f>
              <c:numCache>
                <c:formatCode>General</c:formatCode>
                <c:ptCount val="6"/>
                <c:pt idx="0">
                  <c:v>199</c:v>
                </c:pt>
                <c:pt idx="1">
                  <c:v>39</c:v>
                </c:pt>
                <c:pt idx="2">
                  <c:v>123</c:v>
                </c:pt>
                <c:pt idx="3">
                  <c:v>51</c:v>
                </c:pt>
                <c:pt idx="4">
                  <c:v>39</c:v>
                </c:pt>
                <c:pt idx="5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89-435E-82C1-2A90433A0C84}"/>
            </c:ext>
          </c:extLst>
        </c:ser>
        <c:ser>
          <c:idx val="2"/>
          <c:order val="2"/>
          <c:tx>
            <c:strRef>
              <c:f>'Monthly December 2025'!$AJ$97</c:f>
              <c:strCache>
                <c:ptCount val="1"/>
                <c:pt idx="0">
                  <c:v>Monday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December 2025'!$AG$98:$AG$103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December 2025'!$AJ$98:$AJ$103</c:f>
              <c:numCache>
                <c:formatCode>General</c:formatCode>
                <c:ptCount val="6"/>
                <c:pt idx="0">
                  <c:v>483</c:v>
                </c:pt>
                <c:pt idx="1">
                  <c:v>239</c:v>
                </c:pt>
                <c:pt idx="2">
                  <c:v>484</c:v>
                </c:pt>
                <c:pt idx="3">
                  <c:v>161</c:v>
                </c:pt>
                <c:pt idx="4">
                  <c:v>158</c:v>
                </c:pt>
                <c:pt idx="5">
                  <c:v>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89-435E-82C1-2A90433A0C84}"/>
            </c:ext>
          </c:extLst>
        </c:ser>
        <c:ser>
          <c:idx val="3"/>
          <c:order val="3"/>
          <c:tx>
            <c:strRef>
              <c:f>'Monthly December 2025'!$AK$97</c:f>
              <c:strCache>
                <c:ptCount val="1"/>
                <c:pt idx="0">
                  <c:v>Tuesday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December 2025'!$AG$98:$AG$103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December 2025'!$AK$98:$AK$103</c:f>
              <c:numCache>
                <c:formatCode>General</c:formatCode>
                <c:ptCount val="6"/>
                <c:pt idx="0">
                  <c:v>423</c:v>
                </c:pt>
                <c:pt idx="1">
                  <c:v>109</c:v>
                </c:pt>
                <c:pt idx="2">
                  <c:v>323</c:v>
                </c:pt>
                <c:pt idx="3">
                  <c:v>94</c:v>
                </c:pt>
                <c:pt idx="4">
                  <c:v>103</c:v>
                </c:pt>
                <c:pt idx="5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89-435E-82C1-2A90433A0C84}"/>
            </c:ext>
          </c:extLst>
        </c:ser>
        <c:ser>
          <c:idx val="4"/>
          <c:order val="4"/>
          <c:tx>
            <c:strRef>
              <c:f>'Monthly December 2025'!$AL$97</c:f>
              <c:strCache>
                <c:ptCount val="1"/>
                <c:pt idx="0">
                  <c:v>Wednesday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December 2025'!$AG$98:$AG$103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December 2025'!$AL$98:$AL$103</c:f>
              <c:numCache>
                <c:formatCode>General</c:formatCode>
                <c:ptCount val="6"/>
                <c:pt idx="0">
                  <c:v>329</c:v>
                </c:pt>
                <c:pt idx="1">
                  <c:v>72</c:v>
                </c:pt>
                <c:pt idx="2">
                  <c:v>283</c:v>
                </c:pt>
                <c:pt idx="3">
                  <c:v>88</c:v>
                </c:pt>
                <c:pt idx="4">
                  <c:v>122</c:v>
                </c:pt>
                <c:pt idx="5">
                  <c:v>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89-435E-82C1-2A90433A0C84}"/>
            </c:ext>
          </c:extLst>
        </c:ser>
        <c:ser>
          <c:idx val="5"/>
          <c:order val="5"/>
          <c:tx>
            <c:strRef>
              <c:f>'Monthly December 2025'!$AM$97</c:f>
              <c:strCache>
                <c:ptCount val="1"/>
                <c:pt idx="0">
                  <c:v>Thursday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December 2025'!$AG$98:$AG$103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December 2025'!$AM$98:$AM$103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E89-435E-82C1-2A90433A0C84}"/>
            </c:ext>
          </c:extLst>
        </c:ser>
        <c:ser>
          <c:idx val="6"/>
          <c:order val="6"/>
          <c:tx>
            <c:strRef>
              <c:f>'Monthly December 2025'!$AN$97</c:f>
              <c:strCache>
                <c:ptCount val="1"/>
                <c:pt idx="0">
                  <c:v>Friday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'Monthly December 2025'!$AG$98:$AG$103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December 2025'!$AN$98:$AN$103</c:f>
              <c:numCache>
                <c:formatCode>General</c:formatCode>
                <c:ptCount val="6"/>
                <c:pt idx="0">
                  <c:v>183</c:v>
                </c:pt>
                <c:pt idx="1">
                  <c:v>47</c:v>
                </c:pt>
                <c:pt idx="2">
                  <c:v>151</c:v>
                </c:pt>
                <c:pt idx="3">
                  <c:v>30</c:v>
                </c:pt>
                <c:pt idx="4">
                  <c:v>47</c:v>
                </c:pt>
                <c:pt idx="5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E89-435E-82C1-2A90433A0C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Room Attendance - [Week]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December 2025'!$AG$144</c:f>
              <c:strCache>
                <c:ptCount val="1"/>
                <c:pt idx="0">
                  <c:v>Cardio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December 2025'!$AH$143:$AN$143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December 2025'!$AH$144:$AN$144</c:f>
              <c:numCache>
                <c:formatCode>General</c:formatCode>
                <c:ptCount val="7"/>
                <c:pt idx="0">
                  <c:v>281</c:v>
                </c:pt>
                <c:pt idx="1">
                  <c:v>333</c:v>
                </c:pt>
                <c:pt idx="2">
                  <c:v>378</c:v>
                </c:pt>
                <c:pt idx="3">
                  <c:v>196</c:v>
                </c:pt>
                <c:pt idx="4">
                  <c:v>251</c:v>
                </c:pt>
                <c:pt idx="5">
                  <c:v>0</c:v>
                </c:pt>
                <c:pt idx="6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1C-44CA-9D2D-58E2EEB1C554}"/>
            </c:ext>
          </c:extLst>
        </c:ser>
        <c:ser>
          <c:idx val="1"/>
          <c:order val="1"/>
          <c:tx>
            <c:strRef>
              <c:f>'Monthly December 2025'!$AG$145</c:f>
              <c:strCache>
                <c:ptCount val="1"/>
                <c:pt idx="0">
                  <c:v>eGym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December 2025'!$AH$143:$AN$143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December 2025'!$AH$145:$AN$145</c:f>
              <c:numCache>
                <c:formatCode>General</c:formatCode>
                <c:ptCount val="7"/>
                <c:pt idx="0">
                  <c:v>74</c:v>
                </c:pt>
                <c:pt idx="1">
                  <c:v>73</c:v>
                </c:pt>
                <c:pt idx="2">
                  <c:v>143</c:v>
                </c:pt>
                <c:pt idx="3">
                  <c:v>61</c:v>
                </c:pt>
                <c:pt idx="4">
                  <c:v>67</c:v>
                </c:pt>
                <c:pt idx="5">
                  <c:v>0</c:v>
                </c:pt>
                <c:pt idx="6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1C-44CA-9D2D-58E2EEB1C554}"/>
            </c:ext>
          </c:extLst>
        </c:ser>
        <c:ser>
          <c:idx val="2"/>
          <c:order val="2"/>
          <c:tx>
            <c:strRef>
              <c:f>'Monthly December 2025'!$AG$146</c:f>
              <c:strCache>
                <c:ptCount val="1"/>
                <c:pt idx="0">
                  <c:v>Free Weight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December 2025'!$AH$143:$AN$143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December 2025'!$AH$146:$AN$146</c:f>
              <c:numCache>
                <c:formatCode>General</c:formatCode>
                <c:ptCount val="7"/>
                <c:pt idx="0">
                  <c:v>264</c:v>
                </c:pt>
                <c:pt idx="1">
                  <c:v>179</c:v>
                </c:pt>
                <c:pt idx="2">
                  <c:v>380</c:v>
                </c:pt>
                <c:pt idx="3">
                  <c:v>193</c:v>
                </c:pt>
                <c:pt idx="4">
                  <c:v>207</c:v>
                </c:pt>
                <c:pt idx="5">
                  <c:v>0</c:v>
                </c:pt>
                <c:pt idx="6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1C-44CA-9D2D-58E2EEB1C554}"/>
            </c:ext>
          </c:extLst>
        </c:ser>
        <c:ser>
          <c:idx val="3"/>
          <c:order val="3"/>
          <c:tx>
            <c:strRef>
              <c:f>'Monthly December 2025'!$AG$147</c:f>
              <c:strCache>
                <c:ptCount val="1"/>
                <c:pt idx="0">
                  <c:v>Track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December 2025'!$AH$143:$AN$143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December 2025'!$AH$147:$AN$147</c:f>
              <c:numCache>
                <c:formatCode>General</c:formatCode>
                <c:ptCount val="7"/>
                <c:pt idx="0">
                  <c:v>88</c:v>
                </c:pt>
                <c:pt idx="1">
                  <c:v>114</c:v>
                </c:pt>
                <c:pt idx="2">
                  <c:v>124</c:v>
                </c:pt>
                <c:pt idx="3">
                  <c:v>58</c:v>
                </c:pt>
                <c:pt idx="4">
                  <c:v>77</c:v>
                </c:pt>
                <c:pt idx="5">
                  <c:v>0</c:v>
                </c:pt>
                <c:pt idx="6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91C-44CA-9D2D-58E2EEB1C554}"/>
            </c:ext>
          </c:extLst>
        </c:ser>
        <c:ser>
          <c:idx val="4"/>
          <c:order val="4"/>
          <c:tx>
            <c:strRef>
              <c:f>'Monthly December 2025'!$AG$148</c:f>
              <c:strCache>
                <c:ptCount val="1"/>
                <c:pt idx="0">
                  <c:v>Stretch &amp; Core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December 2025'!$AH$143:$AN$143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December 2025'!$AH$148:$AN$148</c:f>
              <c:numCache>
                <c:formatCode>General</c:formatCode>
                <c:ptCount val="7"/>
                <c:pt idx="0">
                  <c:v>77</c:v>
                </c:pt>
                <c:pt idx="1">
                  <c:v>58</c:v>
                </c:pt>
                <c:pt idx="2">
                  <c:v>128</c:v>
                </c:pt>
                <c:pt idx="3">
                  <c:v>80</c:v>
                </c:pt>
                <c:pt idx="4">
                  <c:v>92</c:v>
                </c:pt>
                <c:pt idx="5">
                  <c:v>0</c:v>
                </c:pt>
                <c:pt idx="6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91C-44CA-9D2D-58E2EEB1C554}"/>
            </c:ext>
          </c:extLst>
        </c:ser>
        <c:ser>
          <c:idx val="5"/>
          <c:order val="5"/>
          <c:tx>
            <c:strRef>
              <c:f>'Monthly December 2025'!$AG$149</c:f>
              <c:strCache>
                <c:ptCount val="1"/>
                <c:pt idx="0">
                  <c:v>SPC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December 2025'!$AH$143:$AN$143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December 2025'!$AH$149:$AN$149</c:f>
              <c:numCache>
                <c:formatCode>General</c:formatCode>
                <c:ptCount val="7"/>
                <c:pt idx="0">
                  <c:v>90</c:v>
                </c:pt>
                <c:pt idx="1">
                  <c:v>77</c:v>
                </c:pt>
                <c:pt idx="2">
                  <c:v>136</c:v>
                </c:pt>
                <c:pt idx="3">
                  <c:v>97</c:v>
                </c:pt>
                <c:pt idx="4">
                  <c:v>106</c:v>
                </c:pt>
                <c:pt idx="5">
                  <c:v>0</c:v>
                </c:pt>
                <c:pt idx="6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91C-44CA-9D2D-58E2EEB1C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Room Popularity - [Week]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December 2025'!$AH$143</c:f>
              <c:strCache>
                <c:ptCount val="1"/>
                <c:pt idx="0">
                  <c:v>Saturday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December 2025'!$AG$144:$AG$149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December 2025'!$AH$144:$AH$149</c:f>
              <c:numCache>
                <c:formatCode>General</c:formatCode>
                <c:ptCount val="6"/>
                <c:pt idx="0">
                  <c:v>281</c:v>
                </c:pt>
                <c:pt idx="1">
                  <c:v>74</c:v>
                </c:pt>
                <c:pt idx="2">
                  <c:v>264</c:v>
                </c:pt>
                <c:pt idx="3">
                  <c:v>88</c:v>
                </c:pt>
                <c:pt idx="4">
                  <c:v>77</c:v>
                </c:pt>
                <c:pt idx="5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2F-48C2-9239-E9E119E27622}"/>
            </c:ext>
          </c:extLst>
        </c:ser>
        <c:ser>
          <c:idx val="1"/>
          <c:order val="1"/>
          <c:tx>
            <c:strRef>
              <c:f>'Monthly December 2025'!$AI$143</c:f>
              <c:strCache>
                <c:ptCount val="1"/>
                <c:pt idx="0">
                  <c:v>Sunday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December 2025'!$AG$144:$AG$149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December 2025'!$AI$144:$AI$149</c:f>
              <c:numCache>
                <c:formatCode>General</c:formatCode>
                <c:ptCount val="6"/>
                <c:pt idx="0">
                  <c:v>333</c:v>
                </c:pt>
                <c:pt idx="1">
                  <c:v>73</c:v>
                </c:pt>
                <c:pt idx="2">
                  <c:v>179</c:v>
                </c:pt>
                <c:pt idx="3">
                  <c:v>114</c:v>
                </c:pt>
                <c:pt idx="4">
                  <c:v>58</c:v>
                </c:pt>
                <c:pt idx="5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2F-48C2-9239-E9E119E27622}"/>
            </c:ext>
          </c:extLst>
        </c:ser>
        <c:ser>
          <c:idx val="2"/>
          <c:order val="2"/>
          <c:tx>
            <c:strRef>
              <c:f>'Monthly December 2025'!$AJ$143</c:f>
              <c:strCache>
                <c:ptCount val="1"/>
                <c:pt idx="0">
                  <c:v>Monday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December 2025'!$AG$144:$AG$149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December 2025'!$AJ$144:$AJ$149</c:f>
              <c:numCache>
                <c:formatCode>General</c:formatCode>
                <c:ptCount val="6"/>
                <c:pt idx="0">
                  <c:v>378</c:v>
                </c:pt>
                <c:pt idx="1">
                  <c:v>143</c:v>
                </c:pt>
                <c:pt idx="2">
                  <c:v>380</c:v>
                </c:pt>
                <c:pt idx="3">
                  <c:v>124</c:v>
                </c:pt>
                <c:pt idx="4">
                  <c:v>128</c:v>
                </c:pt>
                <c:pt idx="5">
                  <c:v>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2F-48C2-9239-E9E119E27622}"/>
            </c:ext>
          </c:extLst>
        </c:ser>
        <c:ser>
          <c:idx val="3"/>
          <c:order val="3"/>
          <c:tx>
            <c:strRef>
              <c:f>'Monthly December 2025'!$AK$143</c:f>
              <c:strCache>
                <c:ptCount val="1"/>
                <c:pt idx="0">
                  <c:v>Tuesday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December 2025'!$AG$144:$AG$149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December 2025'!$AK$144:$AK$149</c:f>
              <c:numCache>
                <c:formatCode>General</c:formatCode>
                <c:ptCount val="6"/>
                <c:pt idx="0">
                  <c:v>196</c:v>
                </c:pt>
                <c:pt idx="1">
                  <c:v>61</c:v>
                </c:pt>
                <c:pt idx="2">
                  <c:v>193</c:v>
                </c:pt>
                <c:pt idx="3">
                  <c:v>58</c:v>
                </c:pt>
                <c:pt idx="4">
                  <c:v>80</c:v>
                </c:pt>
                <c:pt idx="5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2F-48C2-9239-E9E119E27622}"/>
            </c:ext>
          </c:extLst>
        </c:ser>
        <c:ser>
          <c:idx val="4"/>
          <c:order val="4"/>
          <c:tx>
            <c:strRef>
              <c:f>'Monthly December 2025'!$AL$143</c:f>
              <c:strCache>
                <c:ptCount val="1"/>
                <c:pt idx="0">
                  <c:v>Wednesday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December 2025'!$AG$144:$AG$149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December 2025'!$AL$144:$AL$149</c:f>
              <c:numCache>
                <c:formatCode>General</c:formatCode>
                <c:ptCount val="6"/>
                <c:pt idx="0">
                  <c:v>251</c:v>
                </c:pt>
                <c:pt idx="1">
                  <c:v>67</c:v>
                </c:pt>
                <c:pt idx="2">
                  <c:v>207</c:v>
                </c:pt>
                <c:pt idx="3">
                  <c:v>77</c:v>
                </c:pt>
                <c:pt idx="4">
                  <c:v>92</c:v>
                </c:pt>
                <c:pt idx="5">
                  <c:v>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2F-48C2-9239-E9E119E27622}"/>
            </c:ext>
          </c:extLst>
        </c:ser>
        <c:ser>
          <c:idx val="5"/>
          <c:order val="5"/>
          <c:tx>
            <c:strRef>
              <c:f>'Monthly December 2025'!$AM$143</c:f>
              <c:strCache>
                <c:ptCount val="1"/>
                <c:pt idx="0">
                  <c:v>Thursday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December 2025'!$AG$144:$AG$149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December 2025'!$AM$144:$AM$149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02F-48C2-9239-E9E119E27622}"/>
            </c:ext>
          </c:extLst>
        </c:ser>
        <c:ser>
          <c:idx val="6"/>
          <c:order val="6"/>
          <c:tx>
            <c:strRef>
              <c:f>'Monthly December 2025'!$AN$143</c:f>
              <c:strCache>
                <c:ptCount val="1"/>
                <c:pt idx="0">
                  <c:v>Friday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'Monthly December 2025'!$AG$144:$AG$149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December 2025'!$AN$144:$AN$149</c:f>
              <c:numCache>
                <c:formatCode>General</c:formatCode>
                <c:ptCount val="6"/>
                <c:pt idx="0">
                  <c:v>130</c:v>
                </c:pt>
                <c:pt idx="1">
                  <c:v>34</c:v>
                </c:pt>
                <c:pt idx="2">
                  <c:v>105</c:v>
                </c:pt>
                <c:pt idx="3">
                  <c:v>29</c:v>
                </c:pt>
                <c:pt idx="4">
                  <c:v>27</c:v>
                </c:pt>
                <c:pt idx="5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02F-48C2-9239-E9E119E276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Room Popularity - [Week]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December 2025'!$AH$189</c:f>
              <c:strCache>
                <c:ptCount val="1"/>
                <c:pt idx="0">
                  <c:v>Saturday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December 2025'!$AG$190:$AG$195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December 2025'!$AH$190:$AH$195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71-4DDD-9C20-CCEA3C08BF7B}"/>
            </c:ext>
          </c:extLst>
        </c:ser>
        <c:ser>
          <c:idx val="1"/>
          <c:order val="1"/>
          <c:tx>
            <c:strRef>
              <c:f>'Monthly December 2025'!$AI$189</c:f>
              <c:strCache>
                <c:ptCount val="1"/>
                <c:pt idx="0">
                  <c:v>Sunday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December 2025'!$AG$190:$AG$195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December 2025'!$AI$190:$AI$195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71-4DDD-9C20-CCEA3C08BF7B}"/>
            </c:ext>
          </c:extLst>
        </c:ser>
        <c:ser>
          <c:idx val="2"/>
          <c:order val="2"/>
          <c:tx>
            <c:strRef>
              <c:f>'Monthly December 2025'!$AJ$189</c:f>
              <c:strCache>
                <c:ptCount val="1"/>
                <c:pt idx="0">
                  <c:v>Monday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December 2025'!$AG$190:$AG$195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December 2025'!$AJ$190:$AJ$195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71-4DDD-9C20-CCEA3C08BF7B}"/>
            </c:ext>
          </c:extLst>
        </c:ser>
        <c:ser>
          <c:idx val="3"/>
          <c:order val="3"/>
          <c:tx>
            <c:strRef>
              <c:f>'Monthly December 2025'!$AK$189</c:f>
              <c:strCache>
                <c:ptCount val="1"/>
                <c:pt idx="0">
                  <c:v>Tuesday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December 2025'!$AG$190:$AG$195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December 2025'!$AK$190:$AK$195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971-4DDD-9C20-CCEA3C08BF7B}"/>
            </c:ext>
          </c:extLst>
        </c:ser>
        <c:ser>
          <c:idx val="4"/>
          <c:order val="4"/>
          <c:tx>
            <c:strRef>
              <c:f>'Monthly December 2025'!$AL$189</c:f>
              <c:strCache>
                <c:ptCount val="1"/>
                <c:pt idx="0">
                  <c:v>Wednesday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December 2025'!$AG$190:$AG$195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December 2025'!$AL$190:$AL$195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971-4DDD-9C20-CCEA3C08BF7B}"/>
            </c:ext>
          </c:extLst>
        </c:ser>
        <c:ser>
          <c:idx val="5"/>
          <c:order val="5"/>
          <c:tx>
            <c:strRef>
              <c:f>'Monthly December 2025'!$AM$189</c:f>
              <c:strCache>
                <c:ptCount val="1"/>
                <c:pt idx="0">
                  <c:v>Thursday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December 2025'!$AG$190:$AG$195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December 2025'!$AM$190:$AM$195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971-4DDD-9C20-CCEA3C08BF7B}"/>
            </c:ext>
          </c:extLst>
        </c:ser>
        <c:ser>
          <c:idx val="6"/>
          <c:order val="6"/>
          <c:tx>
            <c:strRef>
              <c:f>'Monthly December 2025'!$AN$189</c:f>
              <c:strCache>
                <c:ptCount val="1"/>
                <c:pt idx="0">
                  <c:v>Friday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'Monthly December 2025'!$AG$190:$AG$195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December 2025'!$AN$190:$AN$195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71-4DDD-9C20-CCEA3C08B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Room Attendance - [Week]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December 2025'!$AG$190</c:f>
              <c:strCache>
                <c:ptCount val="1"/>
                <c:pt idx="0">
                  <c:v>Cardio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December 2025'!$AH$189:$AN$189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December 2025'!$AH$190:$AN$190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E8-4238-B322-DD81B40570BD}"/>
            </c:ext>
          </c:extLst>
        </c:ser>
        <c:ser>
          <c:idx val="1"/>
          <c:order val="1"/>
          <c:tx>
            <c:strRef>
              <c:f>'Monthly December 2025'!$AG$191</c:f>
              <c:strCache>
                <c:ptCount val="1"/>
                <c:pt idx="0">
                  <c:v>eGym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December 2025'!$AH$189:$AN$189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December 2025'!$AH$191:$AN$191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E8-4238-B322-DD81B40570BD}"/>
            </c:ext>
          </c:extLst>
        </c:ser>
        <c:ser>
          <c:idx val="2"/>
          <c:order val="2"/>
          <c:tx>
            <c:strRef>
              <c:f>'Monthly December 2025'!$AG$192</c:f>
              <c:strCache>
                <c:ptCount val="1"/>
                <c:pt idx="0">
                  <c:v>Free Weight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December 2025'!$AH$189:$AN$189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December 2025'!$AH$192:$AN$192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E8-4238-B322-DD81B40570BD}"/>
            </c:ext>
          </c:extLst>
        </c:ser>
        <c:ser>
          <c:idx val="3"/>
          <c:order val="3"/>
          <c:tx>
            <c:strRef>
              <c:f>'Monthly December 2025'!$AG$193</c:f>
              <c:strCache>
                <c:ptCount val="1"/>
                <c:pt idx="0">
                  <c:v>Track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December 2025'!$AH$189:$AN$189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December 2025'!$AH$193:$AN$193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E8-4238-B322-DD81B40570BD}"/>
            </c:ext>
          </c:extLst>
        </c:ser>
        <c:ser>
          <c:idx val="4"/>
          <c:order val="4"/>
          <c:tx>
            <c:strRef>
              <c:f>'Monthly December 2025'!$AG$194</c:f>
              <c:strCache>
                <c:ptCount val="1"/>
                <c:pt idx="0">
                  <c:v>Stretch &amp; Core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December 2025'!$AH$189:$AN$189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December 2025'!$AH$194:$AN$194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E8-4238-B322-DD81B40570BD}"/>
            </c:ext>
          </c:extLst>
        </c:ser>
        <c:ser>
          <c:idx val="5"/>
          <c:order val="5"/>
          <c:tx>
            <c:strRef>
              <c:f>'Monthly December 2025'!$AG$195</c:f>
              <c:strCache>
                <c:ptCount val="1"/>
                <c:pt idx="0">
                  <c:v>SPC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December 2025'!$AH$189:$AN$189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December 2025'!$AH$195:$AN$195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E8-4238-B322-DD81B40570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Room Attendance - [Month]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December 2025'!$AP$6</c:f>
              <c:strCache>
                <c:ptCount val="1"/>
                <c:pt idx="0">
                  <c:v>Cardio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December 2025'!$AQ$5:$AW$5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December 2025'!$AQ$6:$AW$6</c:f>
              <c:numCache>
                <c:formatCode>General</c:formatCode>
                <c:ptCount val="7"/>
                <c:pt idx="0">
                  <c:v>1191</c:v>
                </c:pt>
                <c:pt idx="1">
                  <c:v>1047</c:v>
                </c:pt>
                <c:pt idx="2">
                  <c:v>1762</c:v>
                </c:pt>
                <c:pt idx="3">
                  <c:v>1413</c:v>
                </c:pt>
                <c:pt idx="4">
                  <c:v>1308</c:v>
                </c:pt>
                <c:pt idx="5">
                  <c:v>723</c:v>
                </c:pt>
                <c:pt idx="6">
                  <c:v>1009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71-45A3-9BBB-240613B478CC}"/>
            </c:ext>
          </c:extLst>
        </c:ser>
        <c:ser>
          <c:idx val="1"/>
          <c:order val="1"/>
          <c:tx>
            <c:strRef>
              <c:f>'Monthly December 2025'!$AP$7</c:f>
              <c:strCache>
                <c:ptCount val="1"/>
                <c:pt idx="0">
                  <c:v>eGym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December 2025'!$AQ$5:$AW$5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December 2025'!$AQ$7:$AW$7</c:f>
              <c:numCache>
                <c:formatCode>General</c:formatCode>
                <c:ptCount val="7"/>
                <c:pt idx="0">
                  <c:v>259</c:v>
                </c:pt>
                <c:pt idx="1">
                  <c:v>226</c:v>
                </c:pt>
                <c:pt idx="2">
                  <c:v>734</c:v>
                </c:pt>
                <c:pt idx="3">
                  <c:v>416</c:v>
                </c:pt>
                <c:pt idx="4">
                  <c:v>469</c:v>
                </c:pt>
                <c:pt idx="5">
                  <c:v>246</c:v>
                </c:pt>
                <c:pt idx="6">
                  <c:v>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71-45A3-9BBB-240613B478CC}"/>
            </c:ext>
          </c:extLst>
        </c:ser>
        <c:ser>
          <c:idx val="2"/>
          <c:order val="2"/>
          <c:tx>
            <c:strRef>
              <c:f>'Monthly December 2025'!$AP$8</c:f>
              <c:strCache>
                <c:ptCount val="1"/>
                <c:pt idx="0">
                  <c:v>Free Weight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December 2025'!$AQ$5:$AW$5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December 2025'!$AQ$8:$AW$8</c:f>
              <c:numCache>
                <c:formatCode>General</c:formatCode>
                <c:ptCount val="7"/>
                <c:pt idx="0">
                  <c:v>951</c:v>
                </c:pt>
                <c:pt idx="1">
                  <c:v>603</c:v>
                </c:pt>
                <c:pt idx="2">
                  <c:v>1704</c:v>
                </c:pt>
                <c:pt idx="3">
                  <c:v>1229</c:v>
                </c:pt>
                <c:pt idx="4">
                  <c:v>1170</c:v>
                </c:pt>
                <c:pt idx="5">
                  <c:v>623</c:v>
                </c:pt>
                <c:pt idx="6">
                  <c:v>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71-45A3-9BBB-240613B478CC}"/>
            </c:ext>
          </c:extLst>
        </c:ser>
        <c:ser>
          <c:idx val="3"/>
          <c:order val="3"/>
          <c:tx>
            <c:strRef>
              <c:f>'Monthly December 2025'!$AP$9</c:f>
              <c:strCache>
                <c:ptCount val="1"/>
                <c:pt idx="0">
                  <c:v>Track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December 2025'!$AQ$5:$AW$5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December 2025'!$AQ$9:$AW$9</c:f>
              <c:numCache>
                <c:formatCode>General</c:formatCode>
                <c:ptCount val="7"/>
                <c:pt idx="0">
                  <c:v>319</c:v>
                </c:pt>
                <c:pt idx="1">
                  <c:v>309</c:v>
                </c:pt>
                <c:pt idx="2">
                  <c:v>651</c:v>
                </c:pt>
                <c:pt idx="3">
                  <c:v>426</c:v>
                </c:pt>
                <c:pt idx="4">
                  <c:v>419</c:v>
                </c:pt>
                <c:pt idx="5">
                  <c:v>226</c:v>
                </c:pt>
                <c:pt idx="6">
                  <c:v>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A71-45A3-9BBB-240613B478CC}"/>
            </c:ext>
          </c:extLst>
        </c:ser>
        <c:ser>
          <c:idx val="4"/>
          <c:order val="4"/>
          <c:tx>
            <c:strRef>
              <c:f>'Monthly December 2025'!$AP$10</c:f>
              <c:strCache>
                <c:ptCount val="1"/>
                <c:pt idx="0">
                  <c:v>Stretch &amp; Core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December 2025'!$AQ$5:$AW$5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December 2025'!$AQ$10:$AW$10</c:f>
              <c:numCache>
                <c:formatCode>General</c:formatCode>
                <c:ptCount val="7"/>
                <c:pt idx="0">
                  <c:v>339</c:v>
                </c:pt>
                <c:pt idx="1">
                  <c:v>196</c:v>
                </c:pt>
                <c:pt idx="2">
                  <c:v>592</c:v>
                </c:pt>
                <c:pt idx="3">
                  <c:v>425</c:v>
                </c:pt>
                <c:pt idx="4">
                  <c:v>391</c:v>
                </c:pt>
                <c:pt idx="5">
                  <c:v>223</c:v>
                </c:pt>
                <c:pt idx="6">
                  <c:v>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A71-45A3-9BBB-240613B478CC}"/>
            </c:ext>
          </c:extLst>
        </c:ser>
        <c:ser>
          <c:idx val="5"/>
          <c:order val="5"/>
          <c:tx>
            <c:strRef>
              <c:f>'Monthly December 2025'!$AP$11</c:f>
              <c:strCache>
                <c:ptCount val="1"/>
                <c:pt idx="0">
                  <c:v>SPC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December 2025'!$AQ$5:$AW$5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December 2025'!$AQ$11:$AW$11</c:f>
              <c:numCache>
                <c:formatCode>General</c:formatCode>
                <c:ptCount val="7"/>
                <c:pt idx="0">
                  <c:v>346</c:v>
                </c:pt>
                <c:pt idx="1">
                  <c:v>240</c:v>
                </c:pt>
                <c:pt idx="2">
                  <c:v>660</c:v>
                </c:pt>
                <c:pt idx="3">
                  <c:v>508</c:v>
                </c:pt>
                <c:pt idx="4">
                  <c:v>500</c:v>
                </c:pt>
                <c:pt idx="5">
                  <c:v>250</c:v>
                </c:pt>
                <c:pt idx="6">
                  <c:v>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A71-45A3-9BBB-240613B478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Cardio</c:v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10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xVal>
            <c:strRef>
              <c:f>'Monthly December 2025'!$AQ$5:$AW$5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xVal>
          <c:yVal>
            <c:numRef>
              <c:f>'Monthly December 2025'!$AQ$6:$AW$6</c:f>
              <c:numCache>
                <c:formatCode>General</c:formatCode>
                <c:ptCount val="7"/>
                <c:pt idx="0">
                  <c:v>1191</c:v>
                </c:pt>
                <c:pt idx="1">
                  <c:v>1047</c:v>
                </c:pt>
                <c:pt idx="2">
                  <c:v>1762</c:v>
                </c:pt>
                <c:pt idx="3">
                  <c:v>1413</c:v>
                </c:pt>
                <c:pt idx="4">
                  <c:v>1308</c:v>
                </c:pt>
                <c:pt idx="5">
                  <c:v>723</c:v>
                </c:pt>
                <c:pt idx="6">
                  <c:v>1009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2B-4FA3-AEA5-64A2817DE148}"/>
            </c:ext>
          </c:extLst>
        </c:ser>
        <c:ser>
          <c:idx val="1"/>
          <c:order val="1"/>
          <c:tx>
            <c:v>eGym</c:v>
          </c:tx>
          <c:spPr>
            <a:ln w="19050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circle"/>
            <c:size val="10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xVal>
            <c:strRef>
              <c:f>'Monthly December 2025'!$AQ$5:$AW$5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xVal>
          <c:yVal>
            <c:numRef>
              <c:f>'Monthly December 2025'!$AQ$7:$AW$7</c:f>
              <c:numCache>
                <c:formatCode>General</c:formatCode>
                <c:ptCount val="7"/>
                <c:pt idx="0">
                  <c:v>259</c:v>
                </c:pt>
                <c:pt idx="1">
                  <c:v>226</c:v>
                </c:pt>
                <c:pt idx="2">
                  <c:v>734</c:v>
                </c:pt>
                <c:pt idx="3">
                  <c:v>416</c:v>
                </c:pt>
                <c:pt idx="4">
                  <c:v>469</c:v>
                </c:pt>
                <c:pt idx="5">
                  <c:v>246</c:v>
                </c:pt>
                <c:pt idx="6">
                  <c:v>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2B-4FA3-AEA5-64A2817DE148}"/>
            </c:ext>
          </c:extLst>
        </c:ser>
        <c:ser>
          <c:idx val="2"/>
          <c:order val="2"/>
          <c:tx>
            <c:v>Free Weight</c:v>
          </c:tx>
          <c:spPr>
            <a:ln w="19050" cap="rnd">
              <a:solidFill>
                <a:srgbClr val="FFFF00"/>
              </a:solidFill>
              <a:prstDash val="solid"/>
              <a:round/>
            </a:ln>
            <a:effectLst/>
          </c:spPr>
          <c:marker>
            <c:symbol val="circle"/>
            <c:size val="10"/>
            <c:spPr>
              <a:solidFill>
                <a:srgbClr val="2AA0A4"/>
              </a:solidFill>
              <a:ln w="9525">
                <a:solidFill>
                  <a:srgbClr val="2AA0A4"/>
                </a:solidFill>
              </a:ln>
              <a:effectLst/>
            </c:spPr>
          </c:marker>
          <c:xVal>
            <c:strRef>
              <c:f>'Monthly December 2025'!$AQ$5:$AW$5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xVal>
          <c:yVal>
            <c:numRef>
              <c:f>'Monthly December 2025'!$AQ$8:$AW$8</c:f>
              <c:numCache>
                <c:formatCode>General</c:formatCode>
                <c:ptCount val="7"/>
                <c:pt idx="0">
                  <c:v>951</c:v>
                </c:pt>
                <c:pt idx="1">
                  <c:v>603</c:v>
                </c:pt>
                <c:pt idx="2">
                  <c:v>1704</c:v>
                </c:pt>
                <c:pt idx="3">
                  <c:v>1229</c:v>
                </c:pt>
                <c:pt idx="4">
                  <c:v>1170</c:v>
                </c:pt>
                <c:pt idx="5">
                  <c:v>623</c:v>
                </c:pt>
                <c:pt idx="6">
                  <c:v>882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B2B-4FA3-AEA5-64A2817DE148}"/>
            </c:ext>
          </c:extLst>
        </c:ser>
        <c:ser>
          <c:idx val="3"/>
          <c:order val="3"/>
          <c:tx>
            <c:v>Track</c:v>
          </c:tx>
          <c:spPr>
            <a:ln w="19050" cap="rnd">
              <a:solidFill>
                <a:srgbClr val="9373C0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rgbClr val="9373C0"/>
              </a:solidFill>
              <a:ln w="9525">
                <a:solidFill>
                  <a:srgbClr val="9373C0"/>
                </a:solidFill>
              </a:ln>
              <a:effectLst/>
            </c:spPr>
          </c:marker>
          <c:xVal>
            <c:strRef>
              <c:f>'Monthly December 2025'!$AQ$5:$AW$5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xVal>
          <c:yVal>
            <c:numRef>
              <c:f>'Monthly December 2025'!$AQ$9:$AW$9</c:f>
              <c:numCache>
                <c:formatCode>General</c:formatCode>
                <c:ptCount val="7"/>
                <c:pt idx="0">
                  <c:v>319</c:v>
                </c:pt>
                <c:pt idx="1">
                  <c:v>309</c:v>
                </c:pt>
                <c:pt idx="2">
                  <c:v>651</c:v>
                </c:pt>
                <c:pt idx="3">
                  <c:v>426</c:v>
                </c:pt>
                <c:pt idx="4">
                  <c:v>419</c:v>
                </c:pt>
                <c:pt idx="5">
                  <c:v>226</c:v>
                </c:pt>
                <c:pt idx="6">
                  <c:v>280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B2B-4FA3-AEA5-64A2817DE148}"/>
            </c:ext>
          </c:extLst>
        </c:ser>
        <c:ser>
          <c:idx val="4"/>
          <c:order val="4"/>
          <c:tx>
            <c:v>Stretch &amp; Core</c:v>
          </c:tx>
          <c:spPr>
            <a:ln w="19050" cap="rnd">
              <a:solidFill>
                <a:srgbClr val="7030A0"/>
              </a:solidFill>
              <a:prstDash val="solid"/>
              <a:round/>
            </a:ln>
            <a:effectLst/>
          </c:spPr>
          <c:marker>
            <c:symbol val="circle"/>
            <c:size val="10"/>
            <c:spPr>
              <a:solidFill>
                <a:srgbClr val="13A10E"/>
              </a:solidFill>
              <a:ln w="9525">
                <a:solidFill>
                  <a:srgbClr val="13A10E"/>
                </a:solidFill>
              </a:ln>
              <a:effectLst/>
            </c:spPr>
          </c:marker>
          <c:xVal>
            <c:strRef>
              <c:f>'Monthly December 2025'!$AQ$5:$AW$5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xVal>
          <c:yVal>
            <c:numRef>
              <c:f>'Monthly December 2025'!$AQ$10:$AW$10</c:f>
              <c:numCache>
                <c:formatCode>General</c:formatCode>
                <c:ptCount val="7"/>
                <c:pt idx="0">
                  <c:v>339</c:v>
                </c:pt>
                <c:pt idx="1">
                  <c:v>196</c:v>
                </c:pt>
                <c:pt idx="2">
                  <c:v>592</c:v>
                </c:pt>
                <c:pt idx="3">
                  <c:v>425</c:v>
                </c:pt>
                <c:pt idx="4">
                  <c:v>391</c:v>
                </c:pt>
                <c:pt idx="5">
                  <c:v>223</c:v>
                </c:pt>
                <c:pt idx="6">
                  <c:v>215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B2B-4FA3-AEA5-64A2817DE148}"/>
            </c:ext>
          </c:extLst>
        </c:ser>
        <c:ser>
          <c:idx val="5"/>
          <c:order val="5"/>
          <c:tx>
            <c:v>SPC</c:v>
          </c:tx>
          <c:spPr>
            <a:ln w="19050" cap="rnd">
              <a:solidFill>
                <a:srgbClr val="00B0F0"/>
              </a:solidFill>
              <a:prstDash val="solid"/>
              <a:round/>
            </a:ln>
            <a:effectLst/>
          </c:spPr>
          <c:marker>
            <c:symbol val="circle"/>
            <c:size val="10"/>
            <c:spPr>
              <a:solidFill>
                <a:srgbClr val="3A96DD"/>
              </a:solidFill>
              <a:ln w="9525">
                <a:solidFill>
                  <a:srgbClr val="3A96DD"/>
                </a:solidFill>
              </a:ln>
              <a:effectLst/>
            </c:spPr>
          </c:marker>
          <c:xVal>
            <c:strRef>
              <c:f>'Monthly December 2025'!$AQ$5:$AW$5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xVal>
          <c:yVal>
            <c:numRef>
              <c:f>'Monthly December 2025'!$AQ$11:$AW$11</c:f>
              <c:numCache>
                <c:formatCode>General</c:formatCode>
                <c:ptCount val="7"/>
                <c:pt idx="0">
                  <c:v>346</c:v>
                </c:pt>
                <c:pt idx="1">
                  <c:v>240</c:v>
                </c:pt>
                <c:pt idx="2">
                  <c:v>660</c:v>
                </c:pt>
                <c:pt idx="3">
                  <c:v>508</c:v>
                </c:pt>
                <c:pt idx="4">
                  <c:v>500</c:v>
                </c:pt>
                <c:pt idx="5">
                  <c:v>250</c:v>
                </c:pt>
                <c:pt idx="6">
                  <c:v>296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B2B-4FA3-AEA5-64A2817DE1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4092168"/>
        <c:axId val="1304095240"/>
      </c:scatterChart>
      <c:valAx>
        <c:axId val="1304092168"/>
        <c:scaling>
          <c:orientation val="minMax"/>
          <c:max val="7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095240"/>
        <c:crosses val="autoZero"/>
        <c:crossBetween val="midCat"/>
      </c:valAx>
      <c:valAx>
        <c:axId val="1304095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092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Room Popularity - [Week]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Template SB '!$AH$5</c:f>
              <c:strCache>
                <c:ptCount val="1"/>
                <c:pt idx="0">
                  <c:v>Saturday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Template SB '!$AG$6:$AG$11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Template SB '!$AH$6:$AH$11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D7-4238-823C-9745CDA7A9D0}"/>
            </c:ext>
          </c:extLst>
        </c:ser>
        <c:ser>
          <c:idx val="1"/>
          <c:order val="1"/>
          <c:tx>
            <c:strRef>
              <c:f>'Monthly Template SB '!$AI$5</c:f>
              <c:strCache>
                <c:ptCount val="1"/>
                <c:pt idx="0">
                  <c:v>Sunday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Template SB '!$AG$6:$AG$11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Template SB '!$AI$6:$AI$11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D7-4238-823C-9745CDA7A9D0}"/>
            </c:ext>
          </c:extLst>
        </c:ser>
        <c:ser>
          <c:idx val="2"/>
          <c:order val="2"/>
          <c:tx>
            <c:strRef>
              <c:f>'Monthly Template SB '!$AJ$5</c:f>
              <c:strCache>
                <c:ptCount val="1"/>
                <c:pt idx="0">
                  <c:v>Monday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Template SB '!$AG$6:$AG$11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Template SB '!$AJ$6:$AJ$11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D7-4238-823C-9745CDA7A9D0}"/>
            </c:ext>
          </c:extLst>
        </c:ser>
        <c:ser>
          <c:idx val="3"/>
          <c:order val="3"/>
          <c:tx>
            <c:strRef>
              <c:f>'Monthly Template SB '!$AK$5</c:f>
              <c:strCache>
                <c:ptCount val="1"/>
                <c:pt idx="0">
                  <c:v>Tuesday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Template SB '!$AG$6:$AG$11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Template SB '!$AK$6:$AK$11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6D7-4238-823C-9745CDA7A9D0}"/>
            </c:ext>
          </c:extLst>
        </c:ser>
        <c:ser>
          <c:idx val="4"/>
          <c:order val="4"/>
          <c:tx>
            <c:strRef>
              <c:f>'Monthly Template SB '!$AL$5</c:f>
              <c:strCache>
                <c:ptCount val="1"/>
                <c:pt idx="0">
                  <c:v>Wednesday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Template SB '!$AG$6:$AG$11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Template SB '!$AL$6:$AL$11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6D7-4238-823C-9745CDA7A9D0}"/>
            </c:ext>
          </c:extLst>
        </c:ser>
        <c:ser>
          <c:idx val="5"/>
          <c:order val="5"/>
          <c:tx>
            <c:strRef>
              <c:f>'Monthly Template SB '!$AM$5</c:f>
              <c:strCache>
                <c:ptCount val="1"/>
                <c:pt idx="0">
                  <c:v>Thursday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Template SB '!$AG$6:$AG$11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Template SB '!$AM$6:$AM$11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6D7-4238-823C-9745CDA7A9D0}"/>
            </c:ext>
          </c:extLst>
        </c:ser>
        <c:ser>
          <c:idx val="6"/>
          <c:order val="6"/>
          <c:tx>
            <c:strRef>
              <c:f>'Monthly Template SB '!$AN$5</c:f>
              <c:strCache>
                <c:ptCount val="1"/>
                <c:pt idx="0">
                  <c:v>Friday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'Monthly Template SB '!$AG$6:$AG$11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Template SB '!$AN$6:$AN$11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6D7-4238-823C-9745CDA7A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Room Attendance - [Week]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Template SB '!$AG$6</c:f>
              <c:strCache>
                <c:ptCount val="1"/>
                <c:pt idx="0">
                  <c:v>Cardio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Template SB '!$AH$5:$AN$5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Template SB '!$AH$6:$AN$6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69-41C6-9248-07FC4CD19E9F}"/>
            </c:ext>
          </c:extLst>
        </c:ser>
        <c:ser>
          <c:idx val="1"/>
          <c:order val="1"/>
          <c:tx>
            <c:strRef>
              <c:f>'Monthly Template SB '!$AG$7</c:f>
              <c:strCache>
                <c:ptCount val="1"/>
                <c:pt idx="0">
                  <c:v>eGym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Template SB '!$AH$5:$AN$5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Template SB '!$AH$7:$AN$7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69-41C6-9248-07FC4CD19E9F}"/>
            </c:ext>
          </c:extLst>
        </c:ser>
        <c:ser>
          <c:idx val="2"/>
          <c:order val="2"/>
          <c:tx>
            <c:strRef>
              <c:f>'Monthly Template SB '!$AG$8</c:f>
              <c:strCache>
                <c:ptCount val="1"/>
                <c:pt idx="0">
                  <c:v>Free Weight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Template SB '!$AH$5:$AN$5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Template SB '!$AH$8:$AN$8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69-41C6-9248-07FC4CD19E9F}"/>
            </c:ext>
          </c:extLst>
        </c:ser>
        <c:ser>
          <c:idx val="3"/>
          <c:order val="3"/>
          <c:tx>
            <c:strRef>
              <c:f>'Monthly Template SB '!$AG$9</c:f>
              <c:strCache>
                <c:ptCount val="1"/>
                <c:pt idx="0">
                  <c:v>Track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Template SB '!$AH$5:$AN$5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Template SB '!$AH$9:$AN$9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D69-41C6-9248-07FC4CD19E9F}"/>
            </c:ext>
          </c:extLst>
        </c:ser>
        <c:ser>
          <c:idx val="4"/>
          <c:order val="4"/>
          <c:tx>
            <c:strRef>
              <c:f>'Monthly Template SB '!$AG$10</c:f>
              <c:strCache>
                <c:ptCount val="1"/>
                <c:pt idx="0">
                  <c:v>Stretch &amp; Core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Template SB '!$AH$5:$AN$5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Template SB '!$AH$10:$AN$10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D69-41C6-9248-07FC4CD19E9F}"/>
            </c:ext>
          </c:extLst>
        </c:ser>
        <c:ser>
          <c:idx val="5"/>
          <c:order val="5"/>
          <c:tx>
            <c:strRef>
              <c:f>'Monthly Template SB '!$AG$11</c:f>
              <c:strCache>
                <c:ptCount val="1"/>
                <c:pt idx="0">
                  <c:v>SPC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Template SB '!$AH$5:$AN$5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Template SB '!$AH$11:$AN$11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D69-41C6-9248-07FC4CD19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Room Popularity - [Week]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Template SB '!$AH$51</c:f>
              <c:strCache>
                <c:ptCount val="1"/>
                <c:pt idx="0">
                  <c:v>Saturday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Template SB '!$AG$52:$AG$57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Template SB '!$AH$52:$AH$57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52-4F10-B523-B04858DD1923}"/>
            </c:ext>
          </c:extLst>
        </c:ser>
        <c:ser>
          <c:idx val="1"/>
          <c:order val="1"/>
          <c:tx>
            <c:strRef>
              <c:f>'Monthly Template SB '!$AI$51</c:f>
              <c:strCache>
                <c:ptCount val="1"/>
                <c:pt idx="0">
                  <c:v>Sunday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Template SB '!$AG$52:$AG$57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Template SB '!$AI$52:$AI$57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52-4F10-B523-B04858DD1923}"/>
            </c:ext>
          </c:extLst>
        </c:ser>
        <c:ser>
          <c:idx val="2"/>
          <c:order val="2"/>
          <c:tx>
            <c:strRef>
              <c:f>'Monthly Template SB '!$AJ$51</c:f>
              <c:strCache>
                <c:ptCount val="1"/>
                <c:pt idx="0">
                  <c:v>Monday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Template SB '!$AG$52:$AG$57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Template SB '!$AJ$52:$AJ$57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52-4F10-B523-B04858DD1923}"/>
            </c:ext>
          </c:extLst>
        </c:ser>
        <c:ser>
          <c:idx val="3"/>
          <c:order val="3"/>
          <c:tx>
            <c:strRef>
              <c:f>'Monthly Template SB '!$AK$51</c:f>
              <c:strCache>
                <c:ptCount val="1"/>
                <c:pt idx="0">
                  <c:v>Tuesday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Template SB '!$AG$52:$AG$57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Template SB '!$AK$52:$AK$57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852-4F10-B523-B04858DD1923}"/>
            </c:ext>
          </c:extLst>
        </c:ser>
        <c:ser>
          <c:idx val="4"/>
          <c:order val="4"/>
          <c:tx>
            <c:strRef>
              <c:f>'Monthly Template SB '!$AL$51</c:f>
              <c:strCache>
                <c:ptCount val="1"/>
                <c:pt idx="0">
                  <c:v>Wednesday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Template SB '!$AG$52:$AG$57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Template SB '!$AL$52:$AL$57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852-4F10-B523-B04858DD1923}"/>
            </c:ext>
          </c:extLst>
        </c:ser>
        <c:ser>
          <c:idx val="5"/>
          <c:order val="5"/>
          <c:tx>
            <c:strRef>
              <c:f>'Monthly Template SB '!$AM$51</c:f>
              <c:strCache>
                <c:ptCount val="1"/>
                <c:pt idx="0">
                  <c:v>Thursday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Template SB '!$AG$52:$AG$57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Template SB '!$AM$52:$AM$57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852-4F10-B523-B04858DD1923}"/>
            </c:ext>
          </c:extLst>
        </c:ser>
        <c:ser>
          <c:idx val="6"/>
          <c:order val="6"/>
          <c:tx>
            <c:strRef>
              <c:f>'Monthly Template SB '!$AN$51</c:f>
              <c:strCache>
                <c:ptCount val="1"/>
                <c:pt idx="0">
                  <c:v>Friday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'Monthly Template SB '!$AG$52:$AG$57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Template SB '!$AN$52:$AN$57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852-4F10-B523-B04858DD19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Room Attendance - [Week]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Template SB '!$AG$52</c:f>
              <c:strCache>
                <c:ptCount val="1"/>
                <c:pt idx="0">
                  <c:v>Cardio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Template SB '!$AH$51:$AN$51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Template SB '!$AH$52:$AN$52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62-477D-BD20-F079E73B32C3}"/>
            </c:ext>
          </c:extLst>
        </c:ser>
        <c:ser>
          <c:idx val="1"/>
          <c:order val="1"/>
          <c:tx>
            <c:strRef>
              <c:f>'Monthly Template SB '!$AG$53</c:f>
              <c:strCache>
                <c:ptCount val="1"/>
                <c:pt idx="0">
                  <c:v>eGym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Template SB '!$AH$51:$AN$51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Template SB '!$AH$53:$AN$53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62-477D-BD20-F079E73B32C3}"/>
            </c:ext>
          </c:extLst>
        </c:ser>
        <c:ser>
          <c:idx val="2"/>
          <c:order val="2"/>
          <c:tx>
            <c:strRef>
              <c:f>'Monthly Template SB '!$AG$54</c:f>
              <c:strCache>
                <c:ptCount val="1"/>
                <c:pt idx="0">
                  <c:v>Free Weight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Template SB '!$AH$51:$AN$51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Template SB '!$AH$54:$AN$54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62-477D-BD20-F079E73B32C3}"/>
            </c:ext>
          </c:extLst>
        </c:ser>
        <c:ser>
          <c:idx val="3"/>
          <c:order val="3"/>
          <c:tx>
            <c:strRef>
              <c:f>'Monthly Template SB '!$AG$55</c:f>
              <c:strCache>
                <c:ptCount val="1"/>
                <c:pt idx="0">
                  <c:v>Track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Template SB '!$AH$51:$AN$51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Template SB '!$AH$55:$AN$55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862-477D-BD20-F079E73B32C3}"/>
            </c:ext>
          </c:extLst>
        </c:ser>
        <c:ser>
          <c:idx val="4"/>
          <c:order val="4"/>
          <c:tx>
            <c:strRef>
              <c:f>'Monthly Template SB '!$AG$56</c:f>
              <c:strCache>
                <c:ptCount val="1"/>
                <c:pt idx="0">
                  <c:v>Stretch &amp; Core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Template SB '!$AH$51:$AN$51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Template SB '!$AH$56:$AN$56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862-477D-BD20-F079E73B32C3}"/>
            </c:ext>
          </c:extLst>
        </c:ser>
        <c:ser>
          <c:idx val="5"/>
          <c:order val="5"/>
          <c:tx>
            <c:strRef>
              <c:f>'Monthly Template SB '!$AG$57</c:f>
              <c:strCache>
                <c:ptCount val="1"/>
                <c:pt idx="0">
                  <c:v>SPC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Template SB '!$AH$51:$AN$51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Template SB '!$AH$57:$AN$57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862-477D-BD20-F079E73B32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Room Attendance - [Week]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Template SB '!$AG$98</c:f>
              <c:strCache>
                <c:ptCount val="1"/>
                <c:pt idx="0">
                  <c:v>Cardio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Template SB '!$AH$97:$AN$97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Template SB '!$AH$98:$AN$98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E6-4DA7-8592-B68B252F0426}"/>
            </c:ext>
          </c:extLst>
        </c:ser>
        <c:ser>
          <c:idx val="1"/>
          <c:order val="1"/>
          <c:tx>
            <c:strRef>
              <c:f>'Monthly Template SB '!$AG$99</c:f>
              <c:strCache>
                <c:ptCount val="1"/>
                <c:pt idx="0">
                  <c:v>eGym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Template SB '!$AH$97:$AN$97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Template SB '!$AH$99:$AN$99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E6-4DA7-8592-B68B252F0426}"/>
            </c:ext>
          </c:extLst>
        </c:ser>
        <c:ser>
          <c:idx val="2"/>
          <c:order val="2"/>
          <c:tx>
            <c:strRef>
              <c:f>'Monthly Template SB '!$AG$100</c:f>
              <c:strCache>
                <c:ptCount val="1"/>
                <c:pt idx="0">
                  <c:v>Free Weight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Template SB '!$AH$97:$AN$97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Template SB '!$AH$100:$AN$100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E6-4DA7-8592-B68B252F0426}"/>
            </c:ext>
          </c:extLst>
        </c:ser>
        <c:ser>
          <c:idx val="3"/>
          <c:order val="3"/>
          <c:tx>
            <c:strRef>
              <c:f>'Monthly Template SB '!$AG$101</c:f>
              <c:strCache>
                <c:ptCount val="1"/>
                <c:pt idx="0">
                  <c:v>Track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Template SB '!$AH$97:$AN$97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Template SB '!$AH$101:$AN$101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CE6-4DA7-8592-B68B252F0426}"/>
            </c:ext>
          </c:extLst>
        </c:ser>
        <c:ser>
          <c:idx val="4"/>
          <c:order val="4"/>
          <c:tx>
            <c:strRef>
              <c:f>'Monthly Template SB '!$AG$102</c:f>
              <c:strCache>
                <c:ptCount val="1"/>
                <c:pt idx="0">
                  <c:v>Stretch &amp; Core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Template SB '!$AH$97:$AN$97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Template SB '!$AH$102:$AN$102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CE6-4DA7-8592-B68B252F0426}"/>
            </c:ext>
          </c:extLst>
        </c:ser>
        <c:ser>
          <c:idx val="5"/>
          <c:order val="5"/>
          <c:tx>
            <c:strRef>
              <c:f>'Monthly Template SB '!$AG$103</c:f>
              <c:strCache>
                <c:ptCount val="1"/>
                <c:pt idx="0">
                  <c:v>SPC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Template SB '!$AH$97:$AN$97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Template SB '!$AH$103:$AN$103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CE6-4DA7-8592-B68B252F04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Room Popularity - [Week]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Template SB '!$AH$97</c:f>
              <c:strCache>
                <c:ptCount val="1"/>
                <c:pt idx="0">
                  <c:v>Saturday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Template SB '!$AG$98:$AG$103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Template SB '!$AH$98:$AH$103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25-422C-BA78-0BC76F473512}"/>
            </c:ext>
          </c:extLst>
        </c:ser>
        <c:ser>
          <c:idx val="1"/>
          <c:order val="1"/>
          <c:tx>
            <c:strRef>
              <c:f>'Monthly Template SB '!$AI$97</c:f>
              <c:strCache>
                <c:ptCount val="1"/>
                <c:pt idx="0">
                  <c:v>Sunday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Template SB '!$AG$98:$AG$103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Template SB '!$AI$98:$AI$103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25-422C-BA78-0BC76F473512}"/>
            </c:ext>
          </c:extLst>
        </c:ser>
        <c:ser>
          <c:idx val="2"/>
          <c:order val="2"/>
          <c:tx>
            <c:strRef>
              <c:f>'Monthly Template SB '!$AJ$97</c:f>
              <c:strCache>
                <c:ptCount val="1"/>
                <c:pt idx="0">
                  <c:v>Monday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Template SB '!$AG$98:$AG$103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Template SB '!$AJ$98:$AJ$103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25-422C-BA78-0BC76F473512}"/>
            </c:ext>
          </c:extLst>
        </c:ser>
        <c:ser>
          <c:idx val="3"/>
          <c:order val="3"/>
          <c:tx>
            <c:strRef>
              <c:f>'Monthly Template SB '!$AK$97</c:f>
              <c:strCache>
                <c:ptCount val="1"/>
                <c:pt idx="0">
                  <c:v>Tuesday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Template SB '!$AG$98:$AG$103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Template SB '!$AK$98:$AK$103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125-422C-BA78-0BC76F473512}"/>
            </c:ext>
          </c:extLst>
        </c:ser>
        <c:ser>
          <c:idx val="4"/>
          <c:order val="4"/>
          <c:tx>
            <c:strRef>
              <c:f>'Monthly Template SB '!$AL$97</c:f>
              <c:strCache>
                <c:ptCount val="1"/>
                <c:pt idx="0">
                  <c:v>Wednesday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Template SB '!$AG$98:$AG$103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Template SB '!$AL$98:$AL$103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125-422C-BA78-0BC76F473512}"/>
            </c:ext>
          </c:extLst>
        </c:ser>
        <c:ser>
          <c:idx val="5"/>
          <c:order val="5"/>
          <c:tx>
            <c:strRef>
              <c:f>'Monthly Template SB '!$AM$97</c:f>
              <c:strCache>
                <c:ptCount val="1"/>
                <c:pt idx="0">
                  <c:v>Thursday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Template SB '!$AG$98:$AG$103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Template SB '!$AM$98:$AM$103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125-422C-BA78-0BC76F473512}"/>
            </c:ext>
          </c:extLst>
        </c:ser>
        <c:ser>
          <c:idx val="6"/>
          <c:order val="6"/>
          <c:tx>
            <c:strRef>
              <c:f>'Monthly Template SB '!$AN$97</c:f>
              <c:strCache>
                <c:ptCount val="1"/>
                <c:pt idx="0">
                  <c:v>Friday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'Monthly Template SB '!$AG$98:$AG$103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Template SB '!$AN$98:$AN$103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125-422C-BA78-0BC76F4735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Room Attendance - [Week]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Template SB '!$AG$144</c:f>
              <c:strCache>
                <c:ptCount val="1"/>
                <c:pt idx="0">
                  <c:v>Cardio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Template SB '!$AH$143:$AN$143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Template SB '!$AH$144:$AN$144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42-44CA-8D68-FDE16591A4F0}"/>
            </c:ext>
          </c:extLst>
        </c:ser>
        <c:ser>
          <c:idx val="1"/>
          <c:order val="1"/>
          <c:tx>
            <c:strRef>
              <c:f>'Monthly Template SB '!$AG$145</c:f>
              <c:strCache>
                <c:ptCount val="1"/>
                <c:pt idx="0">
                  <c:v>eGym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Template SB '!$AH$143:$AN$143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Template SB '!$AH$145:$AN$145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42-44CA-8D68-FDE16591A4F0}"/>
            </c:ext>
          </c:extLst>
        </c:ser>
        <c:ser>
          <c:idx val="2"/>
          <c:order val="2"/>
          <c:tx>
            <c:strRef>
              <c:f>'Monthly Template SB '!$AG$146</c:f>
              <c:strCache>
                <c:ptCount val="1"/>
                <c:pt idx="0">
                  <c:v>Free Weight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Template SB '!$AH$143:$AN$143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Template SB '!$AH$146:$AN$146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42-44CA-8D68-FDE16591A4F0}"/>
            </c:ext>
          </c:extLst>
        </c:ser>
        <c:ser>
          <c:idx val="3"/>
          <c:order val="3"/>
          <c:tx>
            <c:strRef>
              <c:f>'Monthly Template SB '!$AG$147</c:f>
              <c:strCache>
                <c:ptCount val="1"/>
                <c:pt idx="0">
                  <c:v>Track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Template SB '!$AH$143:$AN$143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Template SB '!$AH$147:$AN$147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442-44CA-8D68-FDE16591A4F0}"/>
            </c:ext>
          </c:extLst>
        </c:ser>
        <c:ser>
          <c:idx val="4"/>
          <c:order val="4"/>
          <c:tx>
            <c:strRef>
              <c:f>'Monthly Template SB '!$AG$148</c:f>
              <c:strCache>
                <c:ptCount val="1"/>
                <c:pt idx="0">
                  <c:v>Stretch &amp; Core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Template SB '!$AH$143:$AN$143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Template SB '!$AH$148:$AN$148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442-44CA-8D68-FDE16591A4F0}"/>
            </c:ext>
          </c:extLst>
        </c:ser>
        <c:ser>
          <c:idx val="5"/>
          <c:order val="5"/>
          <c:tx>
            <c:strRef>
              <c:f>'Monthly Template SB '!$AG$149</c:f>
              <c:strCache>
                <c:ptCount val="1"/>
                <c:pt idx="0">
                  <c:v>SPC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Template SB '!$AH$143:$AN$143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Template SB '!$AH$149:$AN$149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442-44CA-8D68-FDE16591A4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Room Popularity - [Week]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Template SB '!$AH$143</c:f>
              <c:strCache>
                <c:ptCount val="1"/>
                <c:pt idx="0">
                  <c:v>Saturday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Template SB '!$AG$144:$AG$149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Template SB '!$AH$144:$AH$149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14-48CE-A43F-F1E283EE9501}"/>
            </c:ext>
          </c:extLst>
        </c:ser>
        <c:ser>
          <c:idx val="1"/>
          <c:order val="1"/>
          <c:tx>
            <c:strRef>
              <c:f>'Monthly Template SB '!$AI$143</c:f>
              <c:strCache>
                <c:ptCount val="1"/>
                <c:pt idx="0">
                  <c:v>Sunday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Template SB '!$AG$144:$AG$149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Template SB '!$AI$144:$AI$149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14-48CE-A43F-F1E283EE9501}"/>
            </c:ext>
          </c:extLst>
        </c:ser>
        <c:ser>
          <c:idx val="2"/>
          <c:order val="2"/>
          <c:tx>
            <c:strRef>
              <c:f>'Monthly Template SB '!$AJ$143</c:f>
              <c:strCache>
                <c:ptCount val="1"/>
                <c:pt idx="0">
                  <c:v>Monday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Template SB '!$AG$144:$AG$149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Template SB '!$AJ$144:$AJ$149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14-48CE-A43F-F1E283EE9501}"/>
            </c:ext>
          </c:extLst>
        </c:ser>
        <c:ser>
          <c:idx val="3"/>
          <c:order val="3"/>
          <c:tx>
            <c:strRef>
              <c:f>'Monthly Template SB '!$AK$143</c:f>
              <c:strCache>
                <c:ptCount val="1"/>
                <c:pt idx="0">
                  <c:v>Tuesday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Template SB '!$AG$144:$AG$149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Template SB '!$AK$144:$AK$149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14-48CE-A43F-F1E283EE9501}"/>
            </c:ext>
          </c:extLst>
        </c:ser>
        <c:ser>
          <c:idx val="4"/>
          <c:order val="4"/>
          <c:tx>
            <c:strRef>
              <c:f>'Monthly Template SB '!$AL$143</c:f>
              <c:strCache>
                <c:ptCount val="1"/>
                <c:pt idx="0">
                  <c:v>Wednesday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Template SB '!$AG$144:$AG$149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Template SB '!$AL$144:$AL$149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D14-48CE-A43F-F1E283EE9501}"/>
            </c:ext>
          </c:extLst>
        </c:ser>
        <c:ser>
          <c:idx val="5"/>
          <c:order val="5"/>
          <c:tx>
            <c:strRef>
              <c:f>'Monthly Template SB '!$AM$143</c:f>
              <c:strCache>
                <c:ptCount val="1"/>
                <c:pt idx="0">
                  <c:v>Thursday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Template SB '!$AG$144:$AG$149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Template SB '!$AM$144:$AM$149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D14-48CE-A43F-F1E283EE9501}"/>
            </c:ext>
          </c:extLst>
        </c:ser>
        <c:ser>
          <c:idx val="6"/>
          <c:order val="6"/>
          <c:tx>
            <c:strRef>
              <c:f>'Monthly Template SB '!$AN$143</c:f>
              <c:strCache>
                <c:ptCount val="1"/>
                <c:pt idx="0">
                  <c:v>Friday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'Monthly Template SB '!$AG$144:$AG$149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Template SB '!$AN$144:$AN$149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D14-48CE-A43F-F1E283EE95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Room Popularity - [Week]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Template SB '!$AH$189</c:f>
              <c:strCache>
                <c:ptCount val="1"/>
                <c:pt idx="0">
                  <c:v>Saturday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Template SB '!$AG$190:$AG$195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Template SB '!$AH$190:$AH$195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41-4AC3-A51E-4485782107DA}"/>
            </c:ext>
          </c:extLst>
        </c:ser>
        <c:ser>
          <c:idx val="1"/>
          <c:order val="1"/>
          <c:tx>
            <c:strRef>
              <c:f>'Monthly Template SB '!$AI$189</c:f>
              <c:strCache>
                <c:ptCount val="1"/>
                <c:pt idx="0">
                  <c:v>Sunday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Template SB '!$AG$190:$AG$195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Template SB '!$AI$190:$AI$195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41-4AC3-A51E-4485782107DA}"/>
            </c:ext>
          </c:extLst>
        </c:ser>
        <c:ser>
          <c:idx val="2"/>
          <c:order val="2"/>
          <c:tx>
            <c:strRef>
              <c:f>'Monthly Template SB '!$AJ$189</c:f>
              <c:strCache>
                <c:ptCount val="1"/>
                <c:pt idx="0">
                  <c:v>Monday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Template SB '!$AG$190:$AG$195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Template SB '!$AJ$190:$AJ$195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41-4AC3-A51E-4485782107DA}"/>
            </c:ext>
          </c:extLst>
        </c:ser>
        <c:ser>
          <c:idx val="3"/>
          <c:order val="3"/>
          <c:tx>
            <c:strRef>
              <c:f>'Monthly Template SB '!$AK$189</c:f>
              <c:strCache>
                <c:ptCount val="1"/>
                <c:pt idx="0">
                  <c:v>Tuesday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Template SB '!$AG$190:$AG$195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Template SB '!$AK$190:$AK$195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441-4AC3-A51E-4485782107DA}"/>
            </c:ext>
          </c:extLst>
        </c:ser>
        <c:ser>
          <c:idx val="4"/>
          <c:order val="4"/>
          <c:tx>
            <c:strRef>
              <c:f>'Monthly Template SB '!$AL$189</c:f>
              <c:strCache>
                <c:ptCount val="1"/>
                <c:pt idx="0">
                  <c:v>Wednesday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Template SB '!$AG$190:$AG$195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Template SB '!$AL$190:$AL$195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441-4AC3-A51E-4485782107DA}"/>
            </c:ext>
          </c:extLst>
        </c:ser>
        <c:ser>
          <c:idx val="5"/>
          <c:order val="5"/>
          <c:tx>
            <c:strRef>
              <c:f>'Monthly Template SB '!$AM$189</c:f>
              <c:strCache>
                <c:ptCount val="1"/>
                <c:pt idx="0">
                  <c:v>Thursday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Template SB '!$AG$190:$AG$195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Template SB '!$AM$190:$AM$195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441-4AC3-A51E-4485782107DA}"/>
            </c:ext>
          </c:extLst>
        </c:ser>
        <c:ser>
          <c:idx val="6"/>
          <c:order val="6"/>
          <c:tx>
            <c:strRef>
              <c:f>'Monthly Template SB '!$AN$189</c:f>
              <c:strCache>
                <c:ptCount val="1"/>
                <c:pt idx="0">
                  <c:v>Friday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'Monthly Template SB '!$AG$190:$AG$195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Template SB '!$AN$190:$AN$195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441-4AC3-A51E-4485782107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Room Attendance - [Week]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Template SB '!$AG$190</c:f>
              <c:strCache>
                <c:ptCount val="1"/>
                <c:pt idx="0">
                  <c:v>Cardio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Template SB '!$AH$189:$AN$189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Template SB '!$AH$190:$AN$190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F0-44C9-B2D5-8A9EB695E281}"/>
            </c:ext>
          </c:extLst>
        </c:ser>
        <c:ser>
          <c:idx val="1"/>
          <c:order val="1"/>
          <c:tx>
            <c:strRef>
              <c:f>'Monthly Template SB '!$AG$191</c:f>
              <c:strCache>
                <c:ptCount val="1"/>
                <c:pt idx="0">
                  <c:v>eGym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Template SB '!$AH$189:$AN$189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Template SB '!$AH$191:$AN$191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F0-44C9-B2D5-8A9EB695E281}"/>
            </c:ext>
          </c:extLst>
        </c:ser>
        <c:ser>
          <c:idx val="2"/>
          <c:order val="2"/>
          <c:tx>
            <c:strRef>
              <c:f>'Monthly Template SB '!$AG$192</c:f>
              <c:strCache>
                <c:ptCount val="1"/>
                <c:pt idx="0">
                  <c:v>Free Weight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Template SB '!$AH$189:$AN$189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Template SB '!$AH$192:$AN$192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F0-44C9-B2D5-8A9EB695E281}"/>
            </c:ext>
          </c:extLst>
        </c:ser>
        <c:ser>
          <c:idx val="3"/>
          <c:order val="3"/>
          <c:tx>
            <c:strRef>
              <c:f>'Monthly Template SB '!$AG$193</c:f>
              <c:strCache>
                <c:ptCount val="1"/>
                <c:pt idx="0">
                  <c:v>Track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Template SB '!$AH$189:$AN$189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Template SB '!$AH$193:$AN$193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BF0-44C9-B2D5-8A9EB695E281}"/>
            </c:ext>
          </c:extLst>
        </c:ser>
        <c:ser>
          <c:idx val="4"/>
          <c:order val="4"/>
          <c:tx>
            <c:strRef>
              <c:f>'Monthly Template SB '!$AG$194</c:f>
              <c:strCache>
                <c:ptCount val="1"/>
                <c:pt idx="0">
                  <c:v>Stretch &amp; Core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Template SB '!$AH$189:$AN$189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Template SB '!$AH$194:$AN$194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BF0-44C9-B2D5-8A9EB695E281}"/>
            </c:ext>
          </c:extLst>
        </c:ser>
        <c:ser>
          <c:idx val="5"/>
          <c:order val="5"/>
          <c:tx>
            <c:strRef>
              <c:f>'Monthly Template SB '!$AG$195</c:f>
              <c:strCache>
                <c:ptCount val="1"/>
                <c:pt idx="0">
                  <c:v>SPC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Template SB '!$AH$189:$AN$189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Template SB '!$AH$195:$AN$195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BF0-44C9-B2D5-8A9EB695E2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Room Attendance - [Month]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Template SB '!$AP$6</c:f>
              <c:strCache>
                <c:ptCount val="1"/>
                <c:pt idx="0">
                  <c:v>Cardio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Template SB '!$AQ$5:$AW$5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Template SB '!$AQ$6:$AW$6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1C-4D53-BE96-111F2C4DD830}"/>
            </c:ext>
          </c:extLst>
        </c:ser>
        <c:ser>
          <c:idx val="1"/>
          <c:order val="1"/>
          <c:tx>
            <c:strRef>
              <c:f>'Monthly Template SB '!$AP$7</c:f>
              <c:strCache>
                <c:ptCount val="1"/>
                <c:pt idx="0">
                  <c:v>eGym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Template SB '!$AQ$5:$AW$5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Template SB '!$AQ$7:$AW$7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1C-4D53-BE96-111F2C4DD830}"/>
            </c:ext>
          </c:extLst>
        </c:ser>
        <c:ser>
          <c:idx val="2"/>
          <c:order val="2"/>
          <c:tx>
            <c:strRef>
              <c:f>'Monthly Template SB '!$AP$8</c:f>
              <c:strCache>
                <c:ptCount val="1"/>
                <c:pt idx="0">
                  <c:v>Free Weight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Template SB '!$AQ$5:$AW$5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Template SB '!$AQ$8:$AW$8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1C-4D53-BE96-111F2C4DD830}"/>
            </c:ext>
          </c:extLst>
        </c:ser>
        <c:ser>
          <c:idx val="3"/>
          <c:order val="3"/>
          <c:tx>
            <c:strRef>
              <c:f>'Monthly Template SB '!$AP$9</c:f>
              <c:strCache>
                <c:ptCount val="1"/>
                <c:pt idx="0">
                  <c:v>Track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Template SB '!$AQ$5:$AW$5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Template SB '!$AQ$9:$AW$9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D1C-4D53-BE96-111F2C4DD830}"/>
            </c:ext>
          </c:extLst>
        </c:ser>
        <c:ser>
          <c:idx val="4"/>
          <c:order val="4"/>
          <c:tx>
            <c:strRef>
              <c:f>'Monthly Template SB '!$AP$10</c:f>
              <c:strCache>
                <c:ptCount val="1"/>
                <c:pt idx="0">
                  <c:v>Stretch &amp; Core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Template SB '!$AQ$5:$AW$5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Template SB '!$AQ$10:$AW$10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D1C-4D53-BE96-111F2C4DD830}"/>
            </c:ext>
          </c:extLst>
        </c:ser>
        <c:ser>
          <c:idx val="5"/>
          <c:order val="5"/>
          <c:tx>
            <c:strRef>
              <c:f>'Monthly Template SB '!$AP$11</c:f>
              <c:strCache>
                <c:ptCount val="1"/>
                <c:pt idx="0">
                  <c:v>SPC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Template SB '!$AQ$5:$AW$5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Template SB '!$AQ$11:$AW$11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D1C-4D53-BE96-111F2C4DD8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Room Popularity - [Week]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Template SB '!$AH$5</c:f>
              <c:strCache>
                <c:ptCount val="1"/>
                <c:pt idx="0">
                  <c:v>Saturday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Template SB '!$AG$6:$AG$11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Template SB '!$AH$6:$AH$11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FAE-44AE-BD4D-0EFCF2BEEC58}"/>
            </c:ext>
          </c:extLst>
        </c:ser>
        <c:ser>
          <c:idx val="1"/>
          <c:order val="1"/>
          <c:tx>
            <c:strRef>
              <c:f>'Monthly Template SB '!$AI$5</c:f>
              <c:strCache>
                <c:ptCount val="1"/>
                <c:pt idx="0">
                  <c:v>Sunday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Template SB '!$AG$6:$AG$11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Template SB '!$AI$6:$AI$11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FAE-44AE-BD4D-0EFCF2BEEC58}"/>
            </c:ext>
          </c:extLst>
        </c:ser>
        <c:ser>
          <c:idx val="2"/>
          <c:order val="2"/>
          <c:tx>
            <c:strRef>
              <c:f>'Monthly Template SB '!$AJ$5</c:f>
              <c:strCache>
                <c:ptCount val="1"/>
                <c:pt idx="0">
                  <c:v>Monday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Template SB '!$AG$6:$AG$11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Template SB '!$AJ$6:$AJ$11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CFAE-44AE-BD4D-0EFCF2BEEC58}"/>
            </c:ext>
          </c:extLst>
        </c:ser>
        <c:ser>
          <c:idx val="3"/>
          <c:order val="3"/>
          <c:tx>
            <c:strRef>
              <c:f>'Monthly Template SB '!$AK$5</c:f>
              <c:strCache>
                <c:ptCount val="1"/>
                <c:pt idx="0">
                  <c:v>Tuesday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Template SB '!$AG$6:$AG$11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Template SB '!$AK$6:$AK$11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CFAE-44AE-BD4D-0EFCF2BEEC58}"/>
            </c:ext>
          </c:extLst>
        </c:ser>
        <c:ser>
          <c:idx val="4"/>
          <c:order val="4"/>
          <c:tx>
            <c:strRef>
              <c:f>'Monthly Template SB '!$AL$5</c:f>
              <c:strCache>
                <c:ptCount val="1"/>
                <c:pt idx="0">
                  <c:v>Wednesday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Template SB '!$AG$6:$AG$11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Template SB '!$AL$6:$AL$11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FAE-44AE-BD4D-0EFCF2BEEC58}"/>
            </c:ext>
          </c:extLst>
        </c:ser>
        <c:ser>
          <c:idx val="5"/>
          <c:order val="5"/>
          <c:tx>
            <c:strRef>
              <c:f>'Monthly Template SB '!$AM$5</c:f>
              <c:strCache>
                <c:ptCount val="1"/>
                <c:pt idx="0">
                  <c:v>Thursday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Template SB '!$AG$6:$AG$11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Template SB '!$AM$6:$AM$11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FAE-44AE-BD4D-0EFCF2BEEC58}"/>
            </c:ext>
          </c:extLst>
        </c:ser>
        <c:ser>
          <c:idx val="6"/>
          <c:order val="6"/>
          <c:tx>
            <c:strRef>
              <c:f>'Monthly Template SB '!$AN$5</c:f>
              <c:strCache>
                <c:ptCount val="1"/>
                <c:pt idx="0">
                  <c:v>Friday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'Monthly Template SB '!$AG$6:$AG$11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Template SB '!$AN$6:$AN$11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CFAE-44AE-BD4D-0EFCF2BEEC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Room Attendance - [Week]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Template SB '!$AG$6</c:f>
              <c:strCache>
                <c:ptCount val="1"/>
                <c:pt idx="0">
                  <c:v>Cardio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Template SB '!$AH$5:$AN$5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Template SB '!$AH$6:$AN$6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C0-4DF2-8C7F-37056B9DED0D}"/>
            </c:ext>
          </c:extLst>
        </c:ser>
        <c:ser>
          <c:idx val="1"/>
          <c:order val="1"/>
          <c:tx>
            <c:strRef>
              <c:f>'Monthly Template SB '!$AG$7</c:f>
              <c:strCache>
                <c:ptCount val="1"/>
                <c:pt idx="0">
                  <c:v>eGym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Template SB '!$AH$5:$AN$5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Template SB '!$AH$7:$AN$7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FC0-4DF2-8C7F-37056B9DED0D}"/>
            </c:ext>
          </c:extLst>
        </c:ser>
        <c:ser>
          <c:idx val="2"/>
          <c:order val="2"/>
          <c:tx>
            <c:strRef>
              <c:f>'Monthly Template SB '!$AG$8</c:f>
              <c:strCache>
                <c:ptCount val="1"/>
                <c:pt idx="0">
                  <c:v>Free Weight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Template SB '!$AH$5:$AN$5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Template SB '!$AH$8:$AN$8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FC0-4DF2-8C7F-37056B9DED0D}"/>
            </c:ext>
          </c:extLst>
        </c:ser>
        <c:ser>
          <c:idx val="3"/>
          <c:order val="3"/>
          <c:tx>
            <c:strRef>
              <c:f>'Monthly Template SB '!$AG$9</c:f>
              <c:strCache>
                <c:ptCount val="1"/>
                <c:pt idx="0">
                  <c:v>Track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Template SB '!$AH$5:$AN$5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Template SB '!$AH$9:$AN$9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FC0-4DF2-8C7F-37056B9DED0D}"/>
            </c:ext>
          </c:extLst>
        </c:ser>
        <c:ser>
          <c:idx val="4"/>
          <c:order val="4"/>
          <c:tx>
            <c:strRef>
              <c:f>'Monthly Template SB '!$AG$10</c:f>
              <c:strCache>
                <c:ptCount val="1"/>
                <c:pt idx="0">
                  <c:v>Stretch &amp; Core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Template SB '!$AH$5:$AN$5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Template SB '!$AH$10:$AN$10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FC0-4DF2-8C7F-37056B9DED0D}"/>
            </c:ext>
          </c:extLst>
        </c:ser>
        <c:ser>
          <c:idx val="5"/>
          <c:order val="5"/>
          <c:tx>
            <c:strRef>
              <c:f>'Monthly Template SB '!$AG$11</c:f>
              <c:strCache>
                <c:ptCount val="1"/>
                <c:pt idx="0">
                  <c:v>SPC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Template SB '!$AH$5:$AN$5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Template SB '!$AH$11:$AN$11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FC0-4DF2-8C7F-37056B9DE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Room Popularity - [Week]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Template SB '!$AH$51</c:f>
              <c:strCache>
                <c:ptCount val="1"/>
                <c:pt idx="0">
                  <c:v>Saturday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Template SB '!$AG$52:$AG$57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Template SB '!$AH$52:$AH$57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E6-473B-B929-6E01DB4EF99D}"/>
            </c:ext>
          </c:extLst>
        </c:ser>
        <c:ser>
          <c:idx val="1"/>
          <c:order val="1"/>
          <c:tx>
            <c:strRef>
              <c:f>'Monthly Template SB '!$AI$51</c:f>
              <c:strCache>
                <c:ptCount val="1"/>
                <c:pt idx="0">
                  <c:v>Sunday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Template SB '!$AG$52:$AG$57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Template SB '!$AI$52:$AI$57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8E6-473B-B929-6E01DB4EF99D}"/>
            </c:ext>
          </c:extLst>
        </c:ser>
        <c:ser>
          <c:idx val="2"/>
          <c:order val="2"/>
          <c:tx>
            <c:strRef>
              <c:f>'Monthly Template SB '!$AJ$51</c:f>
              <c:strCache>
                <c:ptCount val="1"/>
                <c:pt idx="0">
                  <c:v>Monday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Template SB '!$AG$52:$AG$57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Template SB '!$AJ$52:$AJ$57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8E6-473B-B929-6E01DB4EF99D}"/>
            </c:ext>
          </c:extLst>
        </c:ser>
        <c:ser>
          <c:idx val="3"/>
          <c:order val="3"/>
          <c:tx>
            <c:strRef>
              <c:f>'Monthly Template SB '!$AK$51</c:f>
              <c:strCache>
                <c:ptCount val="1"/>
                <c:pt idx="0">
                  <c:v>Tuesday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Template SB '!$AG$52:$AG$57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Template SB '!$AK$52:$AK$57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8E6-473B-B929-6E01DB4EF99D}"/>
            </c:ext>
          </c:extLst>
        </c:ser>
        <c:ser>
          <c:idx val="4"/>
          <c:order val="4"/>
          <c:tx>
            <c:strRef>
              <c:f>'Monthly Template SB '!$AL$51</c:f>
              <c:strCache>
                <c:ptCount val="1"/>
                <c:pt idx="0">
                  <c:v>Wednesday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Template SB '!$AG$52:$AG$57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Template SB '!$AL$52:$AL$57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8E6-473B-B929-6E01DB4EF99D}"/>
            </c:ext>
          </c:extLst>
        </c:ser>
        <c:ser>
          <c:idx val="5"/>
          <c:order val="5"/>
          <c:tx>
            <c:strRef>
              <c:f>'Monthly Template SB '!$AM$51</c:f>
              <c:strCache>
                <c:ptCount val="1"/>
                <c:pt idx="0">
                  <c:v>Thursday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Template SB '!$AG$52:$AG$57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Template SB '!$AM$52:$AM$57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8E6-473B-B929-6E01DB4EF99D}"/>
            </c:ext>
          </c:extLst>
        </c:ser>
        <c:ser>
          <c:idx val="6"/>
          <c:order val="6"/>
          <c:tx>
            <c:strRef>
              <c:f>'Monthly Template SB '!$AN$51</c:f>
              <c:strCache>
                <c:ptCount val="1"/>
                <c:pt idx="0">
                  <c:v>Friday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'Monthly Template SB '!$AG$52:$AG$57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Template SB '!$AN$52:$AN$57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8E6-473B-B929-6E01DB4EF9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Room Attendance - [Week]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Template SB '!$AG$52</c:f>
              <c:strCache>
                <c:ptCount val="1"/>
                <c:pt idx="0">
                  <c:v>Cardio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Template SB '!$AH$51:$AN$51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Template SB '!$AH$52:$AN$52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24-408C-8B71-B5BECBA7FDA3}"/>
            </c:ext>
          </c:extLst>
        </c:ser>
        <c:ser>
          <c:idx val="1"/>
          <c:order val="1"/>
          <c:tx>
            <c:strRef>
              <c:f>'Monthly Template SB '!$AG$53</c:f>
              <c:strCache>
                <c:ptCount val="1"/>
                <c:pt idx="0">
                  <c:v>eGym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Template SB '!$AH$51:$AN$51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Template SB '!$AH$53:$AN$53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024-408C-8B71-B5BECBA7FDA3}"/>
            </c:ext>
          </c:extLst>
        </c:ser>
        <c:ser>
          <c:idx val="2"/>
          <c:order val="2"/>
          <c:tx>
            <c:strRef>
              <c:f>'Monthly Template SB '!$AG$54</c:f>
              <c:strCache>
                <c:ptCount val="1"/>
                <c:pt idx="0">
                  <c:v>Free Weight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Template SB '!$AH$51:$AN$51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Template SB '!$AH$54:$AN$54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024-408C-8B71-B5BECBA7FDA3}"/>
            </c:ext>
          </c:extLst>
        </c:ser>
        <c:ser>
          <c:idx val="3"/>
          <c:order val="3"/>
          <c:tx>
            <c:strRef>
              <c:f>'Monthly Template SB '!$AG$55</c:f>
              <c:strCache>
                <c:ptCount val="1"/>
                <c:pt idx="0">
                  <c:v>Track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Template SB '!$AH$51:$AN$51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Template SB '!$AH$55:$AN$55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024-408C-8B71-B5BECBA7FDA3}"/>
            </c:ext>
          </c:extLst>
        </c:ser>
        <c:ser>
          <c:idx val="4"/>
          <c:order val="4"/>
          <c:tx>
            <c:strRef>
              <c:f>'Monthly Template SB '!$AG$56</c:f>
              <c:strCache>
                <c:ptCount val="1"/>
                <c:pt idx="0">
                  <c:v>Stretch &amp; Core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Template SB '!$AH$51:$AN$51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Template SB '!$AH$56:$AN$56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024-408C-8B71-B5BECBA7FDA3}"/>
            </c:ext>
          </c:extLst>
        </c:ser>
        <c:ser>
          <c:idx val="5"/>
          <c:order val="5"/>
          <c:tx>
            <c:strRef>
              <c:f>'Monthly Template SB '!$AG$57</c:f>
              <c:strCache>
                <c:ptCount val="1"/>
                <c:pt idx="0">
                  <c:v>SPC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Template SB '!$AH$51:$AN$51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Template SB '!$AH$57:$AN$57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024-408C-8B71-B5BECBA7FD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Room Attendance - [Week]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Template SB '!$AG$98</c:f>
              <c:strCache>
                <c:ptCount val="1"/>
                <c:pt idx="0">
                  <c:v>Cardio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Template SB '!$AH$97:$AN$97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Template SB '!$AH$98:$AN$98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8F-4245-BA79-F61B2E688E27}"/>
            </c:ext>
          </c:extLst>
        </c:ser>
        <c:ser>
          <c:idx val="1"/>
          <c:order val="1"/>
          <c:tx>
            <c:strRef>
              <c:f>'Monthly Template SB '!$AG$99</c:f>
              <c:strCache>
                <c:ptCount val="1"/>
                <c:pt idx="0">
                  <c:v>eGym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Template SB '!$AH$97:$AN$97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Template SB '!$AH$99:$AN$99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C8F-4245-BA79-F61B2E688E27}"/>
            </c:ext>
          </c:extLst>
        </c:ser>
        <c:ser>
          <c:idx val="2"/>
          <c:order val="2"/>
          <c:tx>
            <c:strRef>
              <c:f>'Monthly Template SB '!$AG$100</c:f>
              <c:strCache>
                <c:ptCount val="1"/>
                <c:pt idx="0">
                  <c:v>Free Weight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Template SB '!$AH$97:$AN$97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Template SB '!$AH$100:$AN$100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C8F-4245-BA79-F61B2E688E27}"/>
            </c:ext>
          </c:extLst>
        </c:ser>
        <c:ser>
          <c:idx val="3"/>
          <c:order val="3"/>
          <c:tx>
            <c:strRef>
              <c:f>'Monthly Template SB '!$AG$101</c:f>
              <c:strCache>
                <c:ptCount val="1"/>
                <c:pt idx="0">
                  <c:v>Track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Template SB '!$AH$97:$AN$97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Template SB '!$AH$101:$AN$101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C8F-4245-BA79-F61B2E688E27}"/>
            </c:ext>
          </c:extLst>
        </c:ser>
        <c:ser>
          <c:idx val="4"/>
          <c:order val="4"/>
          <c:tx>
            <c:strRef>
              <c:f>'Monthly Template SB '!$AG$102</c:f>
              <c:strCache>
                <c:ptCount val="1"/>
                <c:pt idx="0">
                  <c:v>Stretch &amp; Core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Template SB '!$AH$97:$AN$97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Template SB '!$AH$102:$AN$102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C8F-4245-BA79-F61B2E688E27}"/>
            </c:ext>
          </c:extLst>
        </c:ser>
        <c:ser>
          <c:idx val="5"/>
          <c:order val="5"/>
          <c:tx>
            <c:strRef>
              <c:f>'Monthly Template SB '!$AG$103</c:f>
              <c:strCache>
                <c:ptCount val="1"/>
                <c:pt idx="0">
                  <c:v>SPC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Template SB '!$AH$97:$AN$97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Template SB '!$AH$103:$AN$103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C8F-4245-BA79-F61B2E688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Room Popularity - [Week]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Template SB '!$AH$97</c:f>
              <c:strCache>
                <c:ptCount val="1"/>
                <c:pt idx="0">
                  <c:v>Saturday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Template SB '!$AG$98:$AG$103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Template SB '!$AH$98:$AH$103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78-4F01-A213-30574E135E74}"/>
            </c:ext>
          </c:extLst>
        </c:ser>
        <c:ser>
          <c:idx val="1"/>
          <c:order val="1"/>
          <c:tx>
            <c:strRef>
              <c:f>'Monthly Template SB '!$AI$97</c:f>
              <c:strCache>
                <c:ptCount val="1"/>
                <c:pt idx="0">
                  <c:v>Sunday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Template SB '!$AG$98:$AG$103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Template SB '!$AI$98:$AI$103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B78-4F01-A213-30574E135E74}"/>
            </c:ext>
          </c:extLst>
        </c:ser>
        <c:ser>
          <c:idx val="2"/>
          <c:order val="2"/>
          <c:tx>
            <c:strRef>
              <c:f>'Monthly Template SB '!$AJ$97</c:f>
              <c:strCache>
                <c:ptCount val="1"/>
                <c:pt idx="0">
                  <c:v>Monday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Template SB '!$AG$98:$AG$103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Template SB '!$AJ$98:$AJ$103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B78-4F01-A213-30574E135E74}"/>
            </c:ext>
          </c:extLst>
        </c:ser>
        <c:ser>
          <c:idx val="3"/>
          <c:order val="3"/>
          <c:tx>
            <c:strRef>
              <c:f>'Monthly Template SB '!$AK$97</c:f>
              <c:strCache>
                <c:ptCount val="1"/>
                <c:pt idx="0">
                  <c:v>Tuesday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Template SB '!$AG$98:$AG$103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Template SB '!$AK$98:$AK$103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B78-4F01-A213-30574E135E74}"/>
            </c:ext>
          </c:extLst>
        </c:ser>
        <c:ser>
          <c:idx val="4"/>
          <c:order val="4"/>
          <c:tx>
            <c:strRef>
              <c:f>'Monthly Template SB '!$AL$97</c:f>
              <c:strCache>
                <c:ptCount val="1"/>
                <c:pt idx="0">
                  <c:v>Wednesday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Template SB '!$AG$98:$AG$103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Template SB '!$AL$98:$AL$103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B78-4F01-A213-30574E135E74}"/>
            </c:ext>
          </c:extLst>
        </c:ser>
        <c:ser>
          <c:idx val="5"/>
          <c:order val="5"/>
          <c:tx>
            <c:strRef>
              <c:f>'Monthly Template SB '!$AM$97</c:f>
              <c:strCache>
                <c:ptCount val="1"/>
                <c:pt idx="0">
                  <c:v>Thursday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Template SB '!$AG$98:$AG$103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Template SB '!$AM$98:$AM$103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B78-4F01-A213-30574E135E74}"/>
            </c:ext>
          </c:extLst>
        </c:ser>
        <c:ser>
          <c:idx val="6"/>
          <c:order val="6"/>
          <c:tx>
            <c:strRef>
              <c:f>'Monthly Template SB '!$AN$97</c:f>
              <c:strCache>
                <c:ptCount val="1"/>
                <c:pt idx="0">
                  <c:v>Friday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'Monthly Template SB '!$AG$98:$AG$103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Template SB '!$AN$98:$AN$103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B78-4F01-A213-30574E135E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Room Attendance - [Week]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Template SB '!$AG$144</c:f>
              <c:strCache>
                <c:ptCount val="1"/>
                <c:pt idx="0">
                  <c:v>Cardio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Template SB '!$AH$143:$AN$143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Template SB '!$AH$144:$AN$144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CC-4CC2-B119-71992666979B}"/>
            </c:ext>
          </c:extLst>
        </c:ser>
        <c:ser>
          <c:idx val="1"/>
          <c:order val="1"/>
          <c:tx>
            <c:strRef>
              <c:f>'Monthly Template SB '!$AG$145</c:f>
              <c:strCache>
                <c:ptCount val="1"/>
                <c:pt idx="0">
                  <c:v>eGym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Template SB '!$AH$143:$AN$143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Template SB '!$AH$145:$AN$145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BCC-4CC2-B119-71992666979B}"/>
            </c:ext>
          </c:extLst>
        </c:ser>
        <c:ser>
          <c:idx val="2"/>
          <c:order val="2"/>
          <c:tx>
            <c:strRef>
              <c:f>'Monthly Template SB '!$AG$146</c:f>
              <c:strCache>
                <c:ptCount val="1"/>
                <c:pt idx="0">
                  <c:v>Free Weight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Template SB '!$AH$143:$AN$143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Template SB '!$AH$146:$AN$146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BCC-4CC2-B119-71992666979B}"/>
            </c:ext>
          </c:extLst>
        </c:ser>
        <c:ser>
          <c:idx val="3"/>
          <c:order val="3"/>
          <c:tx>
            <c:strRef>
              <c:f>'Monthly Template SB '!$AG$147</c:f>
              <c:strCache>
                <c:ptCount val="1"/>
                <c:pt idx="0">
                  <c:v>Track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Template SB '!$AH$143:$AN$143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Template SB '!$AH$147:$AN$147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BCC-4CC2-B119-71992666979B}"/>
            </c:ext>
          </c:extLst>
        </c:ser>
        <c:ser>
          <c:idx val="4"/>
          <c:order val="4"/>
          <c:tx>
            <c:strRef>
              <c:f>'Monthly Template SB '!$AG$148</c:f>
              <c:strCache>
                <c:ptCount val="1"/>
                <c:pt idx="0">
                  <c:v>Stretch &amp; Core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Template SB '!$AH$143:$AN$143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Template SB '!$AH$148:$AN$148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BCC-4CC2-B119-71992666979B}"/>
            </c:ext>
          </c:extLst>
        </c:ser>
        <c:ser>
          <c:idx val="5"/>
          <c:order val="5"/>
          <c:tx>
            <c:strRef>
              <c:f>'Monthly Template SB '!$AG$149</c:f>
              <c:strCache>
                <c:ptCount val="1"/>
                <c:pt idx="0">
                  <c:v>SPC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Template SB '!$AH$143:$AN$143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Template SB '!$AH$149:$AN$149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BCC-4CC2-B119-7199266697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Room Popularity - [Week]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Template SB '!$AH$143</c:f>
              <c:strCache>
                <c:ptCount val="1"/>
                <c:pt idx="0">
                  <c:v>Saturday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Template SB '!$AG$144:$AG$149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Template SB '!$AH$144:$AH$149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DB-4CBD-8A8C-717D1F671DCE}"/>
            </c:ext>
          </c:extLst>
        </c:ser>
        <c:ser>
          <c:idx val="1"/>
          <c:order val="1"/>
          <c:tx>
            <c:strRef>
              <c:f>'Monthly Template SB '!$AI$143</c:f>
              <c:strCache>
                <c:ptCount val="1"/>
                <c:pt idx="0">
                  <c:v>Sunday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Template SB '!$AG$144:$AG$149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Template SB '!$AI$144:$AI$149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9DB-4CBD-8A8C-717D1F671DCE}"/>
            </c:ext>
          </c:extLst>
        </c:ser>
        <c:ser>
          <c:idx val="2"/>
          <c:order val="2"/>
          <c:tx>
            <c:strRef>
              <c:f>'Monthly Template SB '!$AJ$143</c:f>
              <c:strCache>
                <c:ptCount val="1"/>
                <c:pt idx="0">
                  <c:v>Monday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Template SB '!$AG$144:$AG$149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Template SB '!$AJ$144:$AJ$149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DB-4CBD-8A8C-717D1F671DCE}"/>
            </c:ext>
          </c:extLst>
        </c:ser>
        <c:ser>
          <c:idx val="3"/>
          <c:order val="3"/>
          <c:tx>
            <c:strRef>
              <c:f>'Monthly Template SB '!$AK$143</c:f>
              <c:strCache>
                <c:ptCount val="1"/>
                <c:pt idx="0">
                  <c:v>Tuesday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Template SB '!$AG$144:$AG$149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Template SB '!$AK$144:$AK$149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9DB-4CBD-8A8C-717D1F671DCE}"/>
            </c:ext>
          </c:extLst>
        </c:ser>
        <c:ser>
          <c:idx val="4"/>
          <c:order val="4"/>
          <c:tx>
            <c:strRef>
              <c:f>'Monthly Template SB '!$AL$143</c:f>
              <c:strCache>
                <c:ptCount val="1"/>
                <c:pt idx="0">
                  <c:v>Wednesday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Template SB '!$AG$144:$AG$149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Template SB '!$AL$144:$AL$149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9DB-4CBD-8A8C-717D1F671DCE}"/>
            </c:ext>
          </c:extLst>
        </c:ser>
        <c:ser>
          <c:idx val="5"/>
          <c:order val="5"/>
          <c:tx>
            <c:strRef>
              <c:f>'Monthly Template SB '!$AM$143</c:f>
              <c:strCache>
                <c:ptCount val="1"/>
                <c:pt idx="0">
                  <c:v>Thursday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Template SB '!$AG$144:$AG$149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Template SB '!$AM$144:$AM$149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9DB-4CBD-8A8C-717D1F671DCE}"/>
            </c:ext>
          </c:extLst>
        </c:ser>
        <c:ser>
          <c:idx val="6"/>
          <c:order val="6"/>
          <c:tx>
            <c:strRef>
              <c:f>'Monthly Template SB '!$AN$143</c:f>
              <c:strCache>
                <c:ptCount val="1"/>
                <c:pt idx="0">
                  <c:v>Friday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'Monthly Template SB '!$AG$144:$AG$149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Template SB '!$AN$144:$AN$149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9DB-4CBD-8A8C-717D1F671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Room Popularity - [Week]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Template SB '!$AH$189</c:f>
              <c:strCache>
                <c:ptCount val="1"/>
                <c:pt idx="0">
                  <c:v>Saturday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Template SB '!$AG$190:$AG$195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Template SB '!$AH$190:$AH$195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DB-49DE-939B-457EAFDB2993}"/>
            </c:ext>
          </c:extLst>
        </c:ser>
        <c:ser>
          <c:idx val="1"/>
          <c:order val="1"/>
          <c:tx>
            <c:strRef>
              <c:f>'Monthly Template SB '!$AI$189</c:f>
              <c:strCache>
                <c:ptCount val="1"/>
                <c:pt idx="0">
                  <c:v>Sunday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Template SB '!$AG$190:$AG$195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Template SB '!$AI$190:$AI$195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0DB-49DE-939B-457EAFDB2993}"/>
            </c:ext>
          </c:extLst>
        </c:ser>
        <c:ser>
          <c:idx val="2"/>
          <c:order val="2"/>
          <c:tx>
            <c:strRef>
              <c:f>'Monthly Template SB '!$AJ$189</c:f>
              <c:strCache>
                <c:ptCount val="1"/>
                <c:pt idx="0">
                  <c:v>Monday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Template SB '!$AG$190:$AG$195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Template SB '!$AJ$190:$AJ$195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0DB-49DE-939B-457EAFDB2993}"/>
            </c:ext>
          </c:extLst>
        </c:ser>
        <c:ser>
          <c:idx val="3"/>
          <c:order val="3"/>
          <c:tx>
            <c:strRef>
              <c:f>'Monthly Template SB '!$AK$189</c:f>
              <c:strCache>
                <c:ptCount val="1"/>
                <c:pt idx="0">
                  <c:v>Tuesday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Template SB '!$AG$190:$AG$195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Template SB '!$AK$190:$AK$195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0DB-49DE-939B-457EAFDB2993}"/>
            </c:ext>
          </c:extLst>
        </c:ser>
        <c:ser>
          <c:idx val="4"/>
          <c:order val="4"/>
          <c:tx>
            <c:strRef>
              <c:f>'Monthly Template SB '!$AL$189</c:f>
              <c:strCache>
                <c:ptCount val="1"/>
                <c:pt idx="0">
                  <c:v>Wednesday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Template SB '!$AG$190:$AG$195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Template SB '!$AL$190:$AL$195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0DB-49DE-939B-457EAFDB2993}"/>
            </c:ext>
          </c:extLst>
        </c:ser>
        <c:ser>
          <c:idx val="5"/>
          <c:order val="5"/>
          <c:tx>
            <c:strRef>
              <c:f>'Monthly Template SB '!$AM$189</c:f>
              <c:strCache>
                <c:ptCount val="1"/>
                <c:pt idx="0">
                  <c:v>Thursday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Template SB '!$AG$190:$AG$195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Template SB '!$AM$190:$AM$195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0DB-49DE-939B-457EAFDB2993}"/>
            </c:ext>
          </c:extLst>
        </c:ser>
        <c:ser>
          <c:idx val="6"/>
          <c:order val="6"/>
          <c:tx>
            <c:strRef>
              <c:f>'Monthly Template SB '!$AN$189</c:f>
              <c:strCache>
                <c:ptCount val="1"/>
                <c:pt idx="0">
                  <c:v>Friday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'Monthly Template SB '!$AG$190:$AG$195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'Monthly Template SB '!$AN$190:$AN$195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0DB-49DE-939B-457EAFDB29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Room Attendance - [Week]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Template SB '!$AG$190</c:f>
              <c:strCache>
                <c:ptCount val="1"/>
                <c:pt idx="0">
                  <c:v>Cardio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Template SB '!$AH$189:$AN$189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Template SB '!$AH$190:$AN$190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F7-4949-BA64-6BB927F8CCFD}"/>
            </c:ext>
          </c:extLst>
        </c:ser>
        <c:ser>
          <c:idx val="1"/>
          <c:order val="1"/>
          <c:tx>
            <c:strRef>
              <c:f>'Monthly Template SB '!$AG$191</c:f>
              <c:strCache>
                <c:ptCount val="1"/>
                <c:pt idx="0">
                  <c:v>eGym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Template SB '!$AH$189:$AN$189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Template SB '!$AH$191:$AN$191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6F7-4949-BA64-6BB927F8CCFD}"/>
            </c:ext>
          </c:extLst>
        </c:ser>
        <c:ser>
          <c:idx val="2"/>
          <c:order val="2"/>
          <c:tx>
            <c:strRef>
              <c:f>'Monthly Template SB '!$AG$192</c:f>
              <c:strCache>
                <c:ptCount val="1"/>
                <c:pt idx="0">
                  <c:v>Free Weight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Template SB '!$AH$189:$AN$189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Template SB '!$AH$192:$AN$192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6F7-4949-BA64-6BB927F8CCFD}"/>
            </c:ext>
          </c:extLst>
        </c:ser>
        <c:ser>
          <c:idx val="3"/>
          <c:order val="3"/>
          <c:tx>
            <c:strRef>
              <c:f>'Monthly Template SB '!$AG$193</c:f>
              <c:strCache>
                <c:ptCount val="1"/>
                <c:pt idx="0">
                  <c:v>Track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Template SB '!$AH$189:$AN$189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Template SB '!$AH$193:$AN$193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6F7-4949-BA64-6BB927F8CCFD}"/>
            </c:ext>
          </c:extLst>
        </c:ser>
        <c:ser>
          <c:idx val="4"/>
          <c:order val="4"/>
          <c:tx>
            <c:strRef>
              <c:f>'Monthly Template SB '!$AG$194</c:f>
              <c:strCache>
                <c:ptCount val="1"/>
                <c:pt idx="0">
                  <c:v>Stretch &amp; Core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Template SB '!$AH$189:$AN$189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Template SB '!$AH$194:$AN$194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6F7-4949-BA64-6BB927F8CCFD}"/>
            </c:ext>
          </c:extLst>
        </c:ser>
        <c:ser>
          <c:idx val="5"/>
          <c:order val="5"/>
          <c:tx>
            <c:strRef>
              <c:f>'Monthly Template SB '!$AG$195</c:f>
              <c:strCache>
                <c:ptCount val="1"/>
                <c:pt idx="0">
                  <c:v>SPC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Template SB '!$AH$189:$AN$189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Template SB '!$AH$195:$AN$195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6F7-4949-BA64-6BB927F8CC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Room Attendance - [Month]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'Monthly Template SB '!$AP$6</c:f>
              <c:strCache>
                <c:ptCount val="1"/>
                <c:pt idx="0">
                  <c:v>Cardio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Template SB '!$AQ$5:$AW$5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Template SB '!$AQ$6:$AW$6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79-44AC-9389-A22C6444D5AA}"/>
            </c:ext>
          </c:extLst>
        </c:ser>
        <c:ser>
          <c:idx val="1"/>
          <c:order val="1"/>
          <c:tx>
            <c:strRef>
              <c:f>'Monthly Template SB '!$AP$7</c:f>
              <c:strCache>
                <c:ptCount val="1"/>
                <c:pt idx="0">
                  <c:v>eGym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Template SB '!$AQ$5:$AW$5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Template SB '!$AQ$7:$AW$7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779-44AC-9389-A22C6444D5AA}"/>
            </c:ext>
          </c:extLst>
        </c:ser>
        <c:ser>
          <c:idx val="2"/>
          <c:order val="2"/>
          <c:tx>
            <c:strRef>
              <c:f>'Monthly Template SB '!$AP$8</c:f>
              <c:strCache>
                <c:ptCount val="1"/>
                <c:pt idx="0">
                  <c:v>Free Weight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Template SB '!$AQ$5:$AW$5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Template SB '!$AQ$8:$AW$8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779-44AC-9389-A22C6444D5AA}"/>
            </c:ext>
          </c:extLst>
        </c:ser>
        <c:ser>
          <c:idx val="3"/>
          <c:order val="3"/>
          <c:tx>
            <c:strRef>
              <c:f>'Monthly Template SB '!$AP$9</c:f>
              <c:strCache>
                <c:ptCount val="1"/>
                <c:pt idx="0">
                  <c:v>Track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Template SB '!$AQ$5:$AW$5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Template SB '!$AQ$9:$AW$9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779-44AC-9389-A22C6444D5AA}"/>
            </c:ext>
          </c:extLst>
        </c:ser>
        <c:ser>
          <c:idx val="4"/>
          <c:order val="4"/>
          <c:tx>
            <c:strRef>
              <c:f>'Monthly Template SB '!$AP$10</c:f>
              <c:strCache>
                <c:ptCount val="1"/>
                <c:pt idx="0">
                  <c:v>Stretch &amp; Core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'Monthly Template SB '!$AQ$5:$AW$5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Template SB '!$AQ$10:$AW$10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779-44AC-9389-A22C6444D5AA}"/>
            </c:ext>
          </c:extLst>
        </c:ser>
        <c:ser>
          <c:idx val="5"/>
          <c:order val="5"/>
          <c:tx>
            <c:strRef>
              <c:f>'Monthly Template SB '!$AP$11</c:f>
              <c:strCache>
                <c:ptCount val="1"/>
                <c:pt idx="0">
                  <c:v>SPC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'Monthly Template SB '!$AQ$5:$AW$5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'Monthly Template SB '!$AQ$11:$AW$11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779-44AC-9389-A22C6444D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414216"/>
        <c:axId val="158863880"/>
      </c:barChart>
      <c:catAx>
        <c:axId val="324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3880"/>
        <c:crosses val="autoZero"/>
        <c:auto val="1"/>
        <c:lblAlgn val="ctr"/>
        <c:lblOffset val="100"/>
        <c:noMultiLvlLbl val="0"/>
      </c:catAx>
      <c:valAx>
        <c:axId val="15886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Cardio</c:v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10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xVal>
            <c:strRef>
              <c:f>'Monthly Template SB '!$AQ$5:$AW$5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xVal>
          <c:yVal>
            <c:numRef>
              <c:f>'Monthly Template SB '!$AQ$6:$AW$6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636-425A-92AE-038F80E73E85}"/>
            </c:ext>
          </c:extLst>
        </c:ser>
        <c:ser>
          <c:idx val="1"/>
          <c:order val="1"/>
          <c:tx>
            <c:v>eGym</c:v>
          </c:tx>
          <c:spPr>
            <a:ln w="19050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circle"/>
            <c:size val="10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xVal>
            <c:strRef>
              <c:f>'Monthly Template SB '!$AQ$5:$AW$5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xVal>
          <c:yVal>
            <c:numRef>
              <c:f>'Monthly Template SB '!$AQ$7:$AW$7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636-425A-92AE-038F80E73E85}"/>
            </c:ext>
          </c:extLst>
        </c:ser>
        <c:ser>
          <c:idx val="2"/>
          <c:order val="2"/>
          <c:tx>
            <c:v>Free Weight</c:v>
          </c:tx>
          <c:spPr>
            <a:ln w="19050" cap="rnd">
              <a:solidFill>
                <a:srgbClr val="FFFF00"/>
              </a:solidFill>
              <a:prstDash val="solid"/>
              <a:round/>
            </a:ln>
            <a:effectLst/>
          </c:spPr>
          <c:marker>
            <c:symbol val="circle"/>
            <c:size val="10"/>
            <c:spPr>
              <a:solidFill>
                <a:srgbClr val="2AA0A4"/>
              </a:solidFill>
              <a:ln w="9525">
                <a:solidFill>
                  <a:srgbClr val="2AA0A4"/>
                </a:solidFill>
              </a:ln>
              <a:effectLst/>
            </c:spPr>
          </c:marker>
          <c:xVal>
            <c:strRef>
              <c:f>'Monthly Template SB '!$AQ$5:$AW$5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xVal>
          <c:yVal>
            <c:numRef>
              <c:f>'Monthly Template SB '!$AQ$8:$AW$8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636-425A-92AE-038F80E73E85}"/>
            </c:ext>
          </c:extLst>
        </c:ser>
        <c:ser>
          <c:idx val="3"/>
          <c:order val="3"/>
          <c:tx>
            <c:v>Track</c:v>
          </c:tx>
          <c:spPr>
            <a:ln w="19050" cap="rnd">
              <a:solidFill>
                <a:srgbClr val="9373C0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rgbClr val="9373C0"/>
              </a:solidFill>
              <a:ln w="9525">
                <a:solidFill>
                  <a:srgbClr val="9373C0"/>
                </a:solidFill>
              </a:ln>
              <a:effectLst/>
            </c:spPr>
          </c:marker>
          <c:xVal>
            <c:strRef>
              <c:f>'Monthly Template SB '!$AQ$5:$AW$5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xVal>
          <c:yVal>
            <c:numRef>
              <c:f>'Monthly Template SB '!$AQ$9:$AW$9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636-425A-92AE-038F80E73E85}"/>
            </c:ext>
          </c:extLst>
        </c:ser>
        <c:ser>
          <c:idx val="4"/>
          <c:order val="4"/>
          <c:tx>
            <c:v>Stretch &amp; Core</c:v>
          </c:tx>
          <c:spPr>
            <a:ln w="19050" cap="rnd">
              <a:solidFill>
                <a:srgbClr val="7030A0"/>
              </a:solidFill>
              <a:prstDash val="solid"/>
              <a:round/>
            </a:ln>
            <a:effectLst/>
          </c:spPr>
          <c:marker>
            <c:symbol val="circle"/>
            <c:size val="10"/>
            <c:spPr>
              <a:solidFill>
                <a:srgbClr val="13A10E"/>
              </a:solidFill>
              <a:ln w="9525">
                <a:solidFill>
                  <a:srgbClr val="13A10E"/>
                </a:solidFill>
              </a:ln>
              <a:effectLst/>
            </c:spPr>
          </c:marker>
          <c:xVal>
            <c:strRef>
              <c:f>'Monthly Template SB '!$AQ$5:$AW$5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xVal>
          <c:yVal>
            <c:numRef>
              <c:f>'Monthly Template SB '!$AQ$10:$AW$10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636-425A-92AE-038F80E73E85}"/>
            </c:ext>
          </c:extLst>
        </c:ser>
        <c:ser>
          <c:idx val="5"/>
          <c:order val="5"/>
          <c:tx>
            <c:v>SPC</c:v>
          </c:tx>
          <c:spPr>
            <a:ln w="19050" cap="rnd">
              <a:solidFill>
                <a:srgbClr val="00B0F0"/>
              </a:solidFill>
              <a:prstDash val="solid"/>
              <a:round/>
            </a:ln>
            <a:effectLst/>
          </c:spPr>
          <c:marker>
            <c:symbol val="circle"/>
            <c:size val="10"/>
            <c:spPr>
              <a:solidFill>
                <a:srgbClr val="3A96DD"/>
              </a:solidFill>
              <a:ln w="9525">
                <a:solidFill>
                  <a:srgbClr val="3A96DD"/>
                </a:solidFill>
              </a:ln>
              <a:effectLst/>
            </c:spPr>
          </c:marker>
          <c:xVal>
            <c:strRef>
              <c:f>'Monthly Template SB '!$AQ$5:$AW$5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xVal>
          <c:yVal>
            <c:numRef>
              <c:f>'Monthly Template SB '!$AQ$11:$AW$11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636-425A-92AE-038F80E73E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4092168"/>
        <c:axId val="1304095240"/>
      </c:scatterChart>
      <c:valAx>
        <c:axId val="1304092168"/>
        <c:scaling>
          <c:orientation val="minMax"/>
          <c:max val="7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095240"/>
        <c:crosses val="autoZero"/>
        <c:crossBetween val="midCat"/>
      </c:valAx>
      <c:valAx>
        <c:axId val="1304095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092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2025 Q2 Attendance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April 2025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'Long Term Trends'!$A$5:$A$10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'Long Term Trends'!$I$5:$I$10</c:f>
              <c:numCache>
                <c:formatCode>General</c:formatCode>
                <c:ptCount val="6"/>
                <c:pt idx="0">
                  <c:v>11448</c:v>
                </c:pt>
                <c:pt idx="1">
                  <c:v>4598</c:v>
                </c:pt>
                <c:pt idx="2">
                  <c:v>9324</c:v>
                </c:pt>
                <c:pt idx="3">
                  <c:v>4002</c:v>
                </c:pt>
                <c:pt idx="4">
                  <c:v>3165</c:v>
                </c:pt>
                <c:pt idx="5">
                  <c:v>3774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8F7-4274-85BD-45054E66A4BF}"/>
            </c:ext>
          </c:extLst>
        </c:ser>
        <c:ser>
          <c:idx val="1"/>
          <c:order val="1"/>
          <c:tx>
            <c:strRef>
              <c:f>{"May 2025"}</c:f>
              <c:strCache>
                <c:ptCount val="1"/>
                <c:pt idx="0">
                  <c:v>May 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'Long Term Trends'!$A$5:$A$10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'Long Term Trends'!$I$14:$I$19</c:f>
              <c:numCache>
                <c:formatCode>General</c:formatCode>
                <c:ptCount val="6"/>
                <c:pt idx="0">
                  <c:v>8018</c:v>
                </c:pt>
                <c:pt idx="1">
                  <c:v>3435</c:v>
                </c:pt>
                <c:pt idx="2">
                  <c:v>7430</c:v>
                </c:pt>
                <c:pt idx="3">
                  <c:v>2491</c:v>
                </c:pt>
                <c:pt idx="4">
                  <c:v>2366</c:v>
                </c:pt>
                <c:pt idx="5">
                  <c:v>2707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8F7-4274-85BD-45054E66A4BF}"/>
            </c:ext>
          </c:extLst>
        </c:ser>
        <c:ser>
          <c:idx val="2"/>
          <c:order val="2"/>
          <c:tx>
            <c:strRef>
              <c:f>{"June 2025"}</c:f>
              <c:strCache>
                <c:ptCount val="1"/>
                <c:pt idx="0">
                  <c:v>June 2025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'Long Term Trends'!$A$5:$A$10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'Long Term Trends'!$I$23:$I$28</c:f>
              <c:numCache>
                <c:formatCode>General</c:formatCode>
                <c:ptCount val="6"/>
                <c:pt idx="0">
                  <c:v>7850</c:v>
                </c:pt>
                <c:pt idx="1">
                  <c:v>3365</c:v>
                </c:pt>
                <c:pt idx="2">
                  <c:v>8051</c:v>
                </c:pt>
                <c:pt idx="3">
                  <c:v>2404</c:v>
                </c:pt>
                <c:pt idx="4">
                  <c:v>2424</c:v>
                </c:pt>
                <c:pt idx="5">
                  <c:v>2877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8F7-4274-85BD-45054E66A4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449927"/>
        <c:axId val="130451975"/>
      </c:barChart>
      <c:catAx>
        <c:axId val="130449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51975"/>
        <c:crosses val="autoZero"/>
        <c:auto val="1"/>
        <c:lblAlgn val="ctr"/>
        <c:lblOffset val="100"/>
        <c:noMultiLvlLbl val="0"/>
      </c:catAx>
      <c:valAx>
        <c:axId val="130451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49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2025 Q3 Attendance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July 2025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'Long Term Trends'!$A$5:$A$10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'Long Term Trends'!I33:I38</c:f>
              <c:numCache>
                <c:formatCode>General</c:formatCode>
                <c:ptCount val="6"/>
                <c:pt idx="0">
                  <c:v>7893</c:v>
                </c:pt>
                <c:pt idx="1">
                  <c:v>3153</c:v>
                </c:pt>
                <c:pt idx="2">
                  <c:v>8321</c:v>
                </c:pt>
                <c:pt idx="3">
                  <c:v>2193</c:v>
                </c:pt>
                <c:pt idx="4">
                  <c:v>2512</c:v>
                </c:pt>
                <c:pt idx="5">
                  <c:v>3148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58-42CA-B97D-56C7EE455B8F}"/>
            </c:ext>
          </c:extLst>
        </c:ser>
        <c:ser>
          <c:idx val="1"/>
          <c:order val="1"/>
          <c:tx>
            <c:v>August 2025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'Long Term Trends'!$A$5:$A$10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'Long Term Trends'!I42:I47</c:f>
              <c:numCache>
                <c:formatCode>General</c:formatCode>
                <c:ptCount val="6"/>
                <c:pt idx="0">
                  <c:v>7490</c:v>
                </c:pt>
                <c:pt idx="1">
                  <c:v>3049</c:v>
                </c:pt>
                <c:pt idx="2">
                  <c:v>8069</c:v>
                </c:pt>
                <c:pt idx="3">
                  <c:v>2065</c:v>
                </c:pt>
                <c:pt idx="4">
                  <c:v>2357</c:v>
                </c:pt>
                <c:pt idx="5">
                  <c:v>2769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58-42CA-B97D-56C7EE455B8F}"/>
            </c:ext>
          </c:extLst>
        </c:ser>
        <c:ser>
          <c:idx val="2"/>
          <c:order val="2"/>
          <c:tx>
            <c:v>September 2025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'Long Term Trends'!$A$5:$A$10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'Long Term Trends'!I51:I56</c:f>
              <c:numCache>
                <c:formatCode>General</c:formatCode>
                <c:ptCount val="6"/>
                <c:pt idx="0">
                  <c:v>7049</c:v>
                </c:pt>
                <c:pt idx="1">
                  <c:v>3057</c:v>
                </c:pt>
                <c:pt idx="2">
                  <c:v>6996</c:v>
                </c:pt>
                <c:pt idx="3">
                  <c:v>2001</c:v>
                </c:pt>
                <c:pt idx="4">
                  <c:v>2323</c:v>
                </c:pt>
                <c:pt idx="5">
                  <c:v>2471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58-42CA-B97D-56C7EE455B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0449927"/>
        <c:axId val="130451975"/>
      </c:barChart>
      <c:catAx>
        <c:axId val="130449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51975"/>
        <c:crosses val="autoZero"/>
        <c:auto val="1"/>
        <c:lblAlgn val="ctr"/>
        <c:lblOffset val="100"/>
        <c:noMultiLvlLbl val="0"/>
      </c:catAx>
      <c:valAx>
        <c:axId val="130451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49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400" b="0" i="0" u="none" strike="noStrike" kern="1200" cap="none" spc="0" normalizeH="0" baseline="0" noProof="0">
                <a:ln>
                  <a:noFill/>
                </a:ln>
                <a:solidFill>
                  <a:srgbClr val="000000">
                    <a:lumMod val="65000"/>
                    <a:lumOff val="35000"/>
                  </a:srgbClr>
                </a:solidFill>
                <a:effectLst/>
                <a:uLnTx/>
                <a:uFillTx/>
                <a:latin typeface="Arial"/>
                <a:cs typeface="Arial"/>
              </a:rPr>
              <a:t>2025 Q3 Attendance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July 2025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'Long Term Trends'!$A$5:$A$10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'Long Term Trends'!I33:I38</c:f>
              <c:numCache>
                <c:formatCode>General</c:formatCode>
                <c:ptCount val="6"/>
                <c:pt idx="0">
                  <c:v>7893</c:v>
                </c:pt>
                <c:pt idx="1">
                  <c:v>3153</c:v>
                </c:pt>
                <c:pt idx="2">
                  <c:v>8321</c:v>
                </c:pt>
                <c:pt idx="3">
                  <c:v>2193</c:v>
                </c:pt>
                <c:pt idx="4">
                  <c:v>2512</c:v>
                </c:pt>
                <c:pt idx="5">
                  <c:v>3148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A2-4BAD-BC61-635F2AA4E47C}"/>
            </c:ext>
          </c:extLst>
        </c:ser>
        <c:ser>
          <c:idx val="1"/>
          <c:order val="1"/>
          <c:tx>
            <c:v>August 2025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'Long Term Trends'!$A$5:$A$10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'Long Term Trends'!I42:I47</c:f>
              <c:numCache>
                <c:formatCode>General</c:formatCode>
                <c:ptCount val="6"/>
                <c:pt idx="0">
                  <c:v>7490</c:v>
                </c:pt>
                <c:pt idx="1">
                  <c:v>3049</c:v>
                </c:pt>
                <c:pt idx="2">
                  <c:v>8069</c:v>
                </c:pt>
                <c:pt idx="3">
                  <c:v>2065</c:v>
                </c:pt>
                <c:pt idx="4">
                  <c:v>2357</c:v>
                </c:pt>
                <c:pt idx="5">
                  <c:v>2769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A2-4BAD-BC61-635F2AA4E47C}"/>
            </c:ext>
          </c:extLst>
        </c:ser>
        <c:ser>
          <c:idx val="2"/>
          <c:order val="2"/>
          <c:tx>
            <c:v>September 2025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'Long Term Trends'!$A$5:$A$10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'Long Term Trends'!I51:I56</c:f>
              <c:numCache>
                <c:formatCode>General</c:formatCode>
                <c:ptCount val="6"/>
                <c:pt idx="0">
                  <c:v>7049</c:v>
                </c:pt>
                <c:pt idx="1">
                  <c:v>3057</c:v>
                </c:pt>
                <c:pt idx="2">
                  <c:v>6996</c:v>
                </c:pt>
                <c:pt idx="3">
                  <c:v>2001</c:v>
                </c:pt>
                <c:pt idx="4">
                  <c:v>2323</c:v>
                </c:pt>
                <c:pt idx="5">
                  <c:v>2471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A2-4BAD-BC61-635F2AA4E4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095048"/>
        <c:axId val="27097608"/>
      </c:lineChart>
      <c:catAx>
        <c:axId val="27095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97608"/>
        <c:crosses val="autoZero"/>
        <c:auto val="1"/>
        <c:lblAlgn val="ctr"/>
        <c:lblOffset val="100"/>
        <c:noMultiLvlLbl val="0"/>
      </c:catAx>
      <c:valAx>
        <c:axId val="27097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95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2025 Q2 Attendance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April 2025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'Long Term Trends'!$A$5:$A$10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'Long Term Trends'!$I$5:$I$10</c:f>
              <c:numCache>
                <c:formatCode>General</c:formatCode>
                <c:ptCount val="6"/>
                <c:pt idx="0">
                  <c:v>11448</c:v>
                </c:pt>
                <c:pt idx="1">
                  <c:v>4598</c:v>
                </c:pt>
                <c:pt idx="2">
                  <c:v>9324</c:v>
                </c:pt>
                <c:pt idx="3">
                  <c:v>4002</c:v>
                </c:pt>
                <c:pt idx="4">
                  <c:v>3165</c:v>
                </c:pt>
                <c:pt idx="5">
                  <c:v>3774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70-47A4-9E98-BE691CC5F9C3}"/>
            </c:ext>
          </c:extLst>
        </c:ser>
        <c:ser>
          <c:idx val="1"/>
          <c:order val="1"/>
          <c:tx>
            <c:strRef>
              <c:f>{"May 2025"}</c:f>
              <c:strCache>
                <c:ptCount val="1"/>
                <c:pt idx="0">
                  <c:v>May 2025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'Long Term Trends'!$A$5:$A$10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'Long Term Trends'!$I$14:$I$19</c:f>
              <c:numCache>
                <c:formatCode>General</c:formatCode>
                <c:ptCount val="6"/>
                <c:pt idx="0">
                  <c:v>8018</c:v>
                </c:pt>
                <c:pt idx="1">
                  <c:v>3435</c:v>
                </c:pt>
                <c:pt idx="2">
                  <c:v>7430</c:v>
                </c:pt>
                <c:pt idx="3">
                  <c:v>2491</c:v>
                </c:pt>
                <c:pt idx="4">
                  <c:v>2366</c:v>
                </c:pt>
                <c:pt idx="5">
                  <c:v>2707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70-47A4-9E98-BE691CC5F9C3}"/>
            </c:ext>
          </c:extLst>
        </c:ser>
        <c:ser>
          <c:idx val="2"/>
          <c:order val="2"/>
          <c:tx>
            <c:strRef>
              <c:f>{"June 2025"}</c:f>
              <c:strCache>
                <c:ptCount val="1"/>
                <c:pt idx="0">
                  <c:v>June 2025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'Long Term Trends'!$A$5:$A$10</c:f>
              <c:strCache>
                <c:ptCount val="6"/>
                <c:pt idx="0">
                  <c:v>Cardio</c:v>
                </c:pt>
                <c:pt idx="1">
                  <c:v>eGym</c:v>
                </c:pt>
                <c:pt idx="2">
                  <c:v>Free Weight</c:v>
                </c:pt>
                <c:pt idx="3">
                  <c:v>Track</c:v>
                </c:pt>
                <c:pt idx="4">
                  <c:v>Stretch &amp; Core</c:v>
                </c:pt>
                <c:pt idx="5">
                  <c:v>SPC</c:v>
                </c:pt>
              </c:strCache>
            </c:strRef>
          </c:cat>
          <c:val>
            <c:numRef>
              <c:f>'Long Term Trends'!$I$23:$I$28</c:f>
              <c:numCache>
                <c:formatCode>General</c:formatCode>
                <c:ptCount val="6"/>
                <c:pt idx="0">
                  <c:v>7850</c:v>
                </c:pt>
                <c:pt idx="1">
                  <c:v>3365</c:v>
                </c:pt>
                <c:pt idx="2">
                  <c:v>8051</c:v>
                </c:pt>
                <c:pt idx="3">
                  <c:v>2404</c:v>
                </c:pt>
                <c:pt idx="4">
                  <c:v>2424</c:v>
                </c:pt>
                <c:pt idx="5">
                  <c:v>2877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270-47A4-9E98-BE691CC5F9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449927"/>
        <c:axId val="130451975"/>
      </c:lineChart>
      <c:catAx>
        <c:axId val="130449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51975"/>
        <c:crosses val="autoZero"/>
        <c:auto val="1"/>
        <c:lblAlgn val="ctr"/>
        <c:lblOffset val="100"/>
        <c:noMultiLvlLbl val="0"/>
      </c:catAx>
      <c:valAx>
        <c:axId val="130451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49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8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89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11" Type="http://schemas.openxmlformats.org/officeDocument/2006/relationships/chart" Target="../charts/chart12.xml"/><Relationship Id="rId5" Type="http://schemas.openxmlformats.org/officeDocument/2006/relationships/chart" Target="../charts/chart6.xml"/><Relationship Id="rId10" Type="http://schemas.openxmlformats.org/officeDocument/2006/relationships/chart" Target="../charts/chart11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1.xml"/><Relationship Id="rId3" Type="http://schemas.openxmlformats.org/officeDocument/2006/relationships/chart" Target="../charts/chart26.xml"/><Relationship Id="rId7" Type="http://schemas.openxmlformats.org/officeDocument/2006/relationships/chart" Target="../charts/chart30.xml"/><Relationship Id="rId2" Type="http://schemas.openxmlformats.org/officeDocument/2006/relationships/chart" Target="../charts/chart25.xml"/><Relationship Id="rId1" Type="http://schemas.openxmlformats.org/officeDocument/2006/relationships/chart" Target="../charts/chart24.xml"/><Relationship Id="rId6" Type="http://schemas.openxmlformats.org/officeDocument/2006/relationships/chart" Target="../charts/chart29.xml"/><Relationship Id="rId11" Type="http://schemas.openxmlformats.org/officeDocument/2006/relationships/chart" Target="../charts/chart34.xml"/><Relationship Id="rId5" Type="http://schemas.openxmlformats.org/officeDocument/2006/relationships/chart" Target="../charts/chart28.xml"/><Relationship Id="rId10" Type="http://schemas.openxmlformats.org/officeDocument/2006/relationships/chart" Target="../charts/chart33.xml"/><Relationship Id="rId4" Type="http://schemas.openxmlformats.org/officeDocument/2006/relationships/chart" Target="../charts/chart27.xml"/><Relationship Id="rId9" Type="http://schemas.openxmlformats.org/officeDocument/2006/relationships/chart" Target="../charts/chart3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2.xml"/><Relationship Id="rId3" Type="http://schemas.openxmlformats.org/officeDocument/2006/relationships/chart" Target="../charts/chart37.xml"/><Relationship Id="rId7" Type="http://schemas.openxmlformats.org/officeDocument/2006/relationships/chart" Target="../charts/chart41.xml"/><Relationship Id="rId2" Type="http://schemas.openxmlformats.org/officeDocument/2006/relationships/chart" Target="../charts/chart36.xml"/><Relationship Id="rId1" Type="http://schemas.openxmlformats.org/officeDocument/2006/relationships/chart" Target="../charts/chart35.xml"/><Relationship Id="rId6" Type="http://schemas.openxmlformats.org/officeDocument/2006/relationships/chart" Target="../charts/chart40.xml"/><Relationship Id="rId5" Type="http://schemas.openxmlformats.org/officeDocument/2006/relationships/chart" Target="../charts/chart39.xml"/><Relationship Id="rId4" Type="http://schemas.openxmlformats.org/officeDocument/2006/relationships/chart" Target="../charts/chart38.xml"/><Relationship Id="rId9" Type="http://schemas.openxmlformats.org/officeDocument/2006/relationships/chart" Target="../charts/chart43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1.xml"/><Relationship Id="rId3" Type="http://schemas.openxmlformats.org/officeDocument/2006/relationships/chart" Target="../charts/chart46.xml"/><Relationship Id="rId7" Type="http://schemas.openxmlformats.org/officeDocument/2006/relationships/chart" Target="../charts/chart50.xml"/><Relationship Id="rId2" Type="http://schemas.openxmlformats.org/officeDocument/2006/relationships/chart" Target="../charts/chart45.xml"/><Relationship Id="rId1" Type="http://schemas.openxmlformats.org/officeDocument/2006/relationships/chart" Target="../charts/chart44.xml"/><Relationship Id="rId6" Type="http://schemas.openxmlformats.org/officeDocument/2006/relationships/chart" Target="../charts/chart49.xml"/><Relationship Id="rId11" Type="http://schemas.openxmlformats.org/officeDocument/2006/relationships/chart" Target="../charts/chart54.xml"/><Relationship Id="rId5" Type="http://schemas.openxmlformats.org/officeDocument/2006/relationships/chart" Target="../charts/chart48.xml"/><Relationship Id="rId10" Type="http://schemas.openxmlformats.org/officeDocument/2006/relationships/chart" Target="../charts/chart53.xml"/><Relationship Id="rId4" Type="http://schemas.openxmlformats.org/officeDocument/2006/relationships/chart" Target="../charts/chart47.xml"/><Relationship Id="rId9" Type="http://schemas.openxmlformats.org/officeDocument/2006/relationships/chart" Target="../charts/chart52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2.xml"/><Relationship Id="rId3" Type="http://schemas.openxmlformats.org/officeDocument/2006/relationships/chart" Target="../charts/chart57.xml"/><Relationship Id="rId7" Type="http://schemas.openxmlformats.org/officeDocument/2006/relationships/chart" Target="../charts/chart61.xml"/><Relationship Id="rId2" Type="http://schemas.openxmlformats.org/officeDocument/2006/relationships/chart" Target="../charts/chart56.xml"/><Relationship Id="rId1" Type="http://schemas.openxmlformats.org/officeDocument/2006/relationships/chart" Target="../charts/chart55.xml"/><Relationship Id="rId6" Type="http://schemas.openxmlformats.org/officeDocument/2006/relationships/chart" Target="../charts/chart60.xml"/><Relationship Id="rId11" Type="http://schemas.openxmlformats.org/officeDocument/2006/relationships/chart" Target="../charts/chart65.xml"/><Relationship Id="rId5" Type="http://schemas.openxmlformats.org/officeDocument/2006/relationships/chart" Target="../charts/chart59.xml"/><Relationship Id="rId10" Type="http://schemas.openxmlformats.org/officeDocument/2006/relationships/chart" Target="../charts/chart64.xml"/><Relationship Id="rId4" Type="http://schemas.openxmlformats.org/officeDocument/2006/relationships/chart" Target="../charts/chart58.xml"/><Relationship Id="rId9" Type="http://schemas.openxmlformats.org/officeDocument/2006/relationships/chart" Target="../charts/chart63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3.xml"/><Relationship Id="rId3" Type="http://schemas.openxmlformats.org/officeDocument/2006/relationships/chart" Target="../charts/chart68.xml"/><Relationship Id="rId7" Type="http://schemas.openxmlformats.org/officeDocument/2006/relationships/chart" Target="../charts/chart72.xml"/><Relationship Id="rId12" Type="http://schemas.openxmlformats.org/officeDocument/2006/relationships/chart" Target="../charts/chart77.xml"/><Relationship Id="rId2" Type="http://schemas.openxmlformats.org/officeDocument/2006/relationships/chart" Target="../charts/chart67.xml"/><Relationship Id="rId1" Type="http://schemas.openxmlformats.org/officeDocument/2006/relationships/chart" Target="../charts/chart66.xml"/><Relationship Id="rId6" Type="http://schemas.openxmlformats.org/officeDocument/2006/relationships/chart" Target="../charts/chart71.xml"/><Relationship Id="rId11" Type="http://schemas.openxmlformats.org/officeDocument/2006/relationships/chart" Target="../charts/chart76.xml"/><Relationship Id="rId5" Type="http://schemas.openxmlformats.org/officeDocument/2006/relationships/chart" Target="../charts/chart70.xml"/><Relationship Id="rId10" Type="http://schemas.openxmlformats.org/officeDocument/2006/relationships/chart" Target="../charts/chart75.xml"/><Relationship Id="rId4" Type="http://schemas.openxmlformats.org/officeDocument/2006/relationships/chart" Target="../charts/chart69.xml"/><Relationship Id="rId9" Type="http://schemas.openxmlformats.org/officeDocument/2006/relationships/chart" Target="../charts/chart74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5.xml"/><Relationship Id="rId13" Type="http://schemas.openxmlformats.org/officeDocument/2006/relationships/chart" Target="../charts/chart90.xml"/><Relationship Id="rId3" Type="http://schemas.openxmlformats.org/officeDocument/2006/relationships/chart" Target="../charts/chart80.xml"/><Relationship Id="rId7" Type="http://schemas.openxmlformats.org/officeDocument/2006/relationships/chart" Target="../charts/chart84.xml"/><Relationship Id="rId12" Type="http://schemas.openxmlformats.org/officeDocument/2006/relationships/chart" Target="../charts/chart89.xml"/><Relationship Id="rId2" Type="http://schemas.openxmlformats.org/officeDocument/2006/relationships/chart" Target="../charts/chart79.xml"/><Relationship Id="rId1" Type="http://schemas.openxmlformats.org/officeDocument/2006/relationships/chart" Target="../charts/chart78.xml"/><Relationship Id="rId6" Type="http://schemas.openxmlformats.org/officeDocument/2006/relationships/chart" Target="../charts/chart83.xml"/><Relationship Id="rId11" Type="http://schemas.openxmlformats.org/officeDocument/2006/relationships/chart" Target="../charts/chart88.xml"/><Relationship Id="rId5" Type="http://schemas.openxmlformats.org/officeDocument/2006/relationships/chart" Target="../charts/chart82.xml"/><Relationship Id="rId10" Type="http://schemas.openxmlformats.org/officeDocument/2006/relationships/chart" Target="../charts/chart87.xml"/><Relationship Id="rId4" Type="http://schemas.openxmlformats.org/officeDocument/2006/relationships/chart" Target="../charts/chart81.xml"/><Relationship Id="rId9" Type="http://schemas.openxmlformats.org/officeDocument/2006/relationships/chart" Target="../charts/chart86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8.xml"/><Relationship Id="rId3" Type="http://schemas.openxmlformats.org/officeDocument/2006/relationships/chart" Target="../charts/chart93.xml"/><Relationship Id="rId7" Type="http://schemas.openxmlformats.org/officeDocument/2006/relationships/chart" Target="../charts/chart97.xml"/><Relationship Id="rId12" Type="http://schemas.openxmlformats.org/officeDocument/2006/relationships/chart" Target="../charts/chart102.xml"/><Relationship Id="rId2" Type="http://schemas.openxmlformats.org/officeDocument/2006/relationships/chart" Target="../charts/chart92.xml"/><Relationship Id="rId1" Type="http://schemas.openxmlformats.org/officeDocument/2006/relationships/chart" Target="../charts/chart91.xml"/><Relationship Id="rId6" Type="http://schemas.openxmlformats.org/officeDocument/2006/relationships/chart" Target="../charts/chart96.xml"/><Relationship Id="rId11" Type="http://schemas.openxmlformats.org/officeDocument/2006/relationships/chart" Target="../charts/chart101.xml"/><Relationship Id="rId5" Type="http://schemas.openxmlformats.org/officeDocument/2006/relationships/chart" Target="../charts/chart95.xml"/><Relationship Id="rId10" Type="http://schemas.openxmlformats.org/officeDocument/2006/relationships/chart" Target="../charts/chart100.xml"/><Relationship Id="rId4" Type="http://schemas.openxmlformats.org/officeDocument/2006/relationships/chart" Target="../charts/chart94.xml"/><Relationship Id="rId9" Type="http://schemas.openxmlformats.org/officeDocument/2006/relationships/chart" Target="../charts/chart99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0.xml"/><Relationship Id="rId3" Type="http://schemas.openxmlformats.org/officeDocument/2006/relationships/chart" Target="../charts/chart105.xml"/><Relationship Id="rId7" Type="http://schemas.openxmlformats.org/officeDocument/2006/relationships/chart" Target="../charts/chart109.xml"/><Relationship Id="rId2" Type="http://schemas.openxmlformats.org/officeDocument/2006/relationships/chart" Target="../charts/chart104.xml"/><Relationship Id="rId1" Type="http://schemas.openxmlformats.org/officeDocument/2006/relationships/chart" Target="../charts/chart103.xml"/><Relationship Id="rId6" Type="http://schemas.openxmlformats.org/officeDocument/2006/relationships/chart" Target="../charts/chart108.xml"/><Relationship Id="rId11" Type="http://schemas.openxmlformats.org/officeDocument/2006/relationships/chart" Target="../charts/chart113.xml"/><Relationship Id="rId5" Type="http://schemas.openxmlformats.org/officeDocument/2006/relationships/chart" Target="../charts/chart107.xml"/><Relationship Id="rId10" Type="http://schemas.openxmlformats.org/officeDocument/2006/relationships/chart" Target="../charts/chart112.xml"/><Relationship Id="rId4" Type="http://schemas.openxmlformats.org/officeDocument/2006/relationships/chart" Target="../charts/chart106.xml"/><Relationship Id="rId9" Type="http://schemas.openxmlformats.org/officeDocument/2006/relationships/chart" Target="../charts/chart111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1.xml"/><Relationship Id="rId3" Type="http://schemas.openxmlformats.org/officeDocument/2006/relationships/chart" Target="../charts/chart116.xml"/><Relationship Id="rId7" Type="http://schemas.openxmlformats.org/officeDocument/2006/relationships/chart" Target="../charts/chart120.xml"/><Relationship Id="rId12" Type="http://schemas.openxmlformats.org/officeDocument/2006/relationships/chart" Target="../charts/chart125.xml"/><Relationship Id="rId2" Type="http://schemas.openxmlformats.org/officeDocument/2006/relationships/chart" Target="../charts/chart115.xml"/><Relationship Id="rId1" Type="http://schemas.openxmlformats.org/officeDocument/2006/relationships/chart" Target="../charts/chart114.xml"/><Relationship Id="rId6" Type="http://schemas.openxmlformats.org/officeDocument/2006/relationships/chart" Target="../charts/chart119.xml"/><Relationship Id="rId11" Type="http://schemas.openxmlformats.org/officeDocument/2006/relationships/chart" Target="../charts/chart124.xml"/><Relationship Id="rId5" Type="http://schemas.openxmlformats.org/officeDocument/2006/relationships/chart" Target="../charts/chart118.xml"/><Relationship Id="rId10" Type="http://schemas.openxmlformats.org/officeDocument/2006/relationships/chart" Target="../charts/chart123.xml"/><Relationship Id="rId4" Type="http://schemas.openxmlformats.org/officeDocument/2006/relationships/chart" Target="../charts/chart117.xml"/><Relationship Id="rId9" Type="http://schemas.openxmlformats.org/officeDocument/2006/relationships/chart" Target="../charts/chart122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8.xml"/><Relationship Id="rId2" Type="http://schemas.openxmlformats.org/officeDocument/2006/relationships/chart" Target="../charts/chart127.xml"/><Relationship Id="rId1" Type="http://schemas.openxmlformats.org/officeDocument/2006/relationships/chart" Target="../charts/chart126.xml"/><Relationship Id="rId4" Type="http://schemas.openxmlformats.org/officeDocument/2006/relationships/chart" Target="../charts/chart12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27</xdr:col>
      <xdr:colOff>38100</xdr:colOff>
      <xdr:row>139</xdr:row>
      <xdr:rowOff>133350</xdr:rowOff>
    </xdr:from>
    <xdr:ext cx="7324725" cy="439102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0</xdr:colOff>
      <xdr:row>14</xdr:row>
      <xdr:rowOff>219075</xdr:rowOff>
    </xdr:from>
    <xdr:to>
      <xdr:col>40</xdr:col>
      <xdr:colOff>819150</xdr:colOff>
      <xdr:row>29</xdr:row>
      <xdr:rowOff>180975</xdr:rowOff>
    </xdr:to>
    <xdr:graphicFrame macro="">
      <xdr:nvGraphicFramePr>
        <xdr:cNvPr id="125" name="Chart 6">
          <a:extLst>
            <a:ext uri="{FF2B5EF4-FFF2-40B4-BE49-F238E27FC236}">
              <a16:creationId xmlns:a16="http://schemas.microsoft.com/office/drawing/2014/main" id="{17928425-3312-6ECA-4EB8-8838C1665501}"/>
            </a:ext>
            <a:ext uri="{147F2762-F138-4A5C-976F-8EAC2B608ADB}">
              <a16:predDERef xmlns:a16="http://schemas.microsoft.com/office/drawing/2014/main" pred="{9E8F9BB1-D70B-CEF0-D211-D3C827E429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600075</xdr:colOff>
      <xdr:row>14</xdr:row>
      <xdr:rowOff>228600</xdr:rowOff>
    </xdr:from>
    <xdr:to>
      <xdr:col>31</xdr:col>
      <xdr:colOff>19050</xdr:colOff>
      <xdr:row>29</xdr:row>
      <xdr:rowOff>228600</xdr:rowOff>
    </xdr:to>
    <xdr:graphicFrame macro="">
      <xdr:nvGraphicFramePr>
        <xdr:cNvPr id="153" name="Chart 7">
          <a:extLst>
            <a:ext uri="{FF2B5EF4-FFF2-40B4-BE49-F238E27FC236}">
              <a16:creationId xmlns:a16="http://schemas.microsoft.com/office/drawing/2014/main" id="{F210F6D0-8CDC-3DD6-0D73-7EF60790923D}"/>
            </a:ext>
            <a:ext uri="{147F2762-F138-4A5C-976F-8EAC2B608ADB}">
              <a16:predDERef xmlns:a16="http://schemas.microsoft.com/office/drawing/2014/main" pred="{17928425-3312-6ECA-4EB8-8838C16655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42</xdr:col>
      <xdr:colOff>0</xdr:colOff>
      <xdr:row>15</xdr:row>
      <xdr:rowOff>9525</xdr:rowOff>
    </xdr:from>
    <xdr:to>
      <xdr:col>50</xdr:col>
      <xdr:colOff>514350</xdr:colOff>
      <xdr:row>30</xdr:row>
      <xdr:rowOff>228600</xdr:rowOff>
    </xdr:to>
    <xdr:graphicFrame macro="">
      <xdr:nvGraphicFramePr>
        <xdr:cNvPr id="151" name="Chart 8">
          <a:extLst>
            <a:ext uri="{FF2B5EF4-FFF2-40B4-BE49-F238E27FC236}">
              <a16:creationId xmlns:a16="http://schemas.microsoft.com/office/drawing/2014/main" id="{CE8AD9A3-187F-B586-F0F8-B8711F73AF01}"/>
            </a:ext>
            <a:ext uri="{147F2762-F138-4A5C-976F-8EAC2B608ADB}">
              <a16:predDERef xmlns:a16="http://schemas.microsoft.com/office/drawing/2014/main" pred="{F210F6D0-8CDC-3DD6-0D73-7EF6079092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0</xdr:colOff>
      <xdr:row>61</xdr:row>
      <xdr:rowOff>0</xdr:rowOff>
    </xdr:from>
    <xdr:to>
      <xdr:col>31</xdr:col>
      <xdr:colOff>28575</xdr:colOff>
      <xdr:row>76</xdr:row>
      <xdr:rowOff>0</xdr:rowOff>
    </xdr:to>
    <xdr:graphicFrame macro="">
      <xdr:nvGraphicFramePr>
        <xdr:cNvPr id="157" name="Chart 9">
          <a:extLst>
            <a:ext uri="{FF2B5EF4-FFF2-40B4-BE49-F238E27FC236}">
              <a16:creationId xmlns:a16="http://schemas.microsoft.com/office/drawing/2014/main" id="{14B657CE-655F-44E3-BF6D-F674800E1741}"/>
            </a:ext>
            <a:ext uri="{147F2762-F138-4A5C-976F-8EAC2B608ADB}">
              <a16:predDERef xmlns:a16="http://schemas.microsoft.com/office/drawing/2014/main" pred="{CE8AD9A3-187F-B586-F0F8-B8711F73AF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32</xdr:col>
      <xdr:colOff>0</xdr:colOff>
      <xdr:row>61</xdr:row>
      <xdr:rowOff>0</xdr:rowOff>
    </xdr:from>
    <xdr:to>
      <xdr:col>40</xdr:col>
      <xdr:colOff>542925</xdr:colOff>
      <xdr:row>76</xdr:row>
      <xdr:rowOff>0</xdr:rowOff>
    </xdr:to>
    <xdr:graphicFrame macro="">
      <xdr:nvGraphicFramePr>
        <xdr:cNvPr id="164" name="Chart 1">
          <a:extLst>
            <a:ext uri="{FF2B5EF4-FFF2-40B4-BE49-F238E27FC236}">
              <a16:creationId xmlns:a16="http://schemas.microsoft.com/office/drawing/2014/main" id="{5E285C63-FD2E-48F9-B317-B0B67583F6E7}"/>
            </a:ext>
            <a:ext uri="{147F2762-F138-4A5C-976F-8EAC2B608ADB}">
              <a16:predDERef xmlns:a16="http://schemas.microsoft.com/office/drawing/2014/main" pred="{14B657CE-655F-44E3-BF6D-F674800E17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0</xdr:colOff>
      <xdr:row>107</xdr:row>
      <xdr:rowOff>0</xdr:rowOff>
    </xdr:from>
    <xdr:to>
      <xdr:col>31</xdr:col>
      <xdr:colOff>28575</xdr:colOff>
      <xdr:row>124</xdr:row>
      <xdr:rowOff>171450</xdr:rowOff>
    </xdr:to>
    <xdr:graphicFrame macro="">
      <xdr:nvGraphicFramePr>
        <xdr:cNvPr id="169" name="Chart 2">
          <a:extLst>
            <a:ext uri="{FF2B5EF4-FFF2-40B4-BE49-F238E27FC236}">
              <a16:creationId xmlns:a16="http://schemas.microsoft.com/office/drawing/2014/main" id="{43C5752B-CF09-410C-ABD8-461E28F14840}"/>
            </a:ext>
            <a:ext uri="{147F2762-F138-4A5C-976F-8EAC2B608ADB}">
              <a16:predDERef xmlns:a16="http://schemas.microsoft.com/office/drawing/2014/main" pred="{5E285C63-FD2E-48F9-B317-B0B67583F6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32</xdr:col>
      <xdr:colOff>0</xdr:colOff>
      <xdr:row>107</xdr:row>
      <xdr:rowOff>0</xdr:rowOff>
    </xdr:from>
    <xdr:to>
      <xdr:col>40</xdr:col>
      <xdr:colOff>542925</xdr:colOff>
      <xdr:row>124</xdr:row>
      <xdr:rowOff>171450</xdr:rowOff>
    </xdr:to>
    <xdr:graphicFrame macro="">
      <xdr:nvGraphicFramePr>
        <xdr:cNvPr id="174" name="Chart 3">
          <a:extLst>
            <a:ext uri="{FF2B5EF4-FFF2-40B4-BE49-F238E27FC236}">
              <a16:creationId xmlns:a16="http://schemas.microsoft.com/office/drawing/2014/main" id="{E5F79A00-26C6-421A-A961-95415B2F6DE9}"/>
            </a:ext>
            <a:ext uri="{147F2762-F138-4A5C-976F-8EAC2B608ADB}">
              <a16:predDERef xmlns:a16="http://schemas.microsoft.com/office/drawing/2014/main" pred="{43C5752B-CF09-410C-ABD8-461E28F148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0</xdr:colOff>
      <xdr:row>153</xdr:row>
      <xdr:rowOff>0</xdr:rowOff>
    </xdr:from>
    <xdr:to>
      <xdr:col>31</xdr:col>
      <xdr:colOff>28575</xdr:colOff>
      <xdr:row>170</xdr:row>
      <xdr:rowOff>171450</xdr:rowOff>
    </xdr:to>
    <xdr:graphicFrame macro="">
      <xdr:nvGraphicFramePr>
        <xdr:cNvPr id="197" name="Chart 4">
          <a:extLst>
            <a:ext uri="{FF2B5EF4-FFF2-40B4-BE49-F238E27FC236}">
              <a16:creationId xmlns:a16="http://schemas.microsoft.com/office/drawing/2014/main" id="{DCAE3E7C-C227-4FCC-99D1-D6D2B12D7C4E}"/>
            </a:ext>
            <a:ext uri="{147F2762-F138-4A5C-976F-8EAC2B608ADB}">
              <a16:predDERef xmlns:a16="http://schemas.microsoft.com/office/drawing/2014/main" pred="{E5F79A00-26C6-421A-A961-95415B2F6D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32</xdr:col>
      <xdr:colOff>0</xdr:colOff>
      <xdr:row>153</xdr:row>
      <xdr:rowOff>0</xdr:rowOff>
    </xdr:from>
    <xdr:to>
      <xdr:col>40</xdr:col>
      <xdr:colOff>542925</xdr:colOff>
      <xdr:row>170</xdr:row>
      <xdr:rowOff>171450</xdr:rowOff>
    </xdr:to>
    <xdr:graphicFrame macro="">
      <xdr:nvGraphicFramePr>
        <xdr:cNvPr id="195" name="Chart 10">
          <a:extLst>
            <a:ext uri="{FF2B5EF4-FFF2-40B4-BE49-F238E27FC236}">
              <a16:creationId xmlns:a16="http://schemas.microsoft.com/office/drawing/2014/main" id="{1E210621-BE3C-42E9-83F9-9BED016A0BE7}"/>
            </a:ext>
            <a:ext uri="{147F2762-F138-4A5C-976F-8EAC2B608ADB}">
              <a16:predDERef xmlns:a16="http://schemas.microsoft.com/office/drawing/2014/main" pred="{DCAE3E7C-C227-4FCC-99D1-D6D2B12D7C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22</xdr:col>
      <xdr:colOff>0</xdr:colOff>
      <xdr:row>199</xdr:row>
      <xdr:rowOff>0</xdr:rowOff>
    </xdr:from>
    <xdr:to>
      <xdr:col>31</xdr:col>
      <xdr:colOff>28575</xdr:colOff>
      <xdr:row>216</xdr:row>
      <xdr:rowOff>171450</xdr:rowOff>
    </xdr:to>
    <xdr:graphicFrame macro="">
      <xdr:nvGraphicFramePr>
        <xdr:cNvPr id="203" name="Chart 11">
          <a:extLst>
            <a:ext uri="{FF2B5EF4-FFF2-40B4-BE49-F238E27FC236}">
              <a16:creationId xmlns:a16="http://schemas.microsoft.com/office/drawing/2014/main" id="{E3F2192C-0936-400E-AA45-F58B0CB5D390}"/>
            </a:ext>
            <a:ext uri="{147F2762-F138-4A5C-976F-8EAC2B608ADB}">
              <a16:predDERef xmlns:a16="http://schemas.microsoft.com/office/drawing/2014/main" pred="{1E210621-BE3C-42E9-83F9-9BED016A0B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32</xdr:col>
      <xdr:colOff>0</xdr:colOff>
      <xdr:row>199</xdr:row>
      <xdr:rowOff>0</xdr:rowOff>
    </xdr:from>
    <xdr:to>
      <xdr:col>40</xdr:col>
      <xdr:colOff>542925</xdr:colOff>
      <xdr:row>216</xdr:row>
      <xdr:rowOff>171450</xdr:rowOff>
    </xdr:to>
    <xdr:graphicFrame macro="">
      <xdr:nvGraphicFramePr>
        <xdr:cNvPr id="209" name="Chart 12">
          <a:extLst>
            <a:ext uri="{FF2B5EF4-FFF2-40B4-BE49-F238E27FC236}">
              <a16:creationId xmlns:a16="http://schemas.microsoft.com/office/drawing/2014/main" id="{8715E555-CBA6-49AC-8753-3D71C8F52F9A}"/>
            </a:ext>
            <a:ext uri="{147F2762-F138-4A5C-976F-8EAC2B608ADB}">
              <a16:predDERef xmlns:a16="http://schemas.microsoft.com/office/drawing/2014/main" pred="{E3F2192C-0936-400E-AA45-F58B0CB5D3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13</xdr:row>
      <xdr:rowOff>0</xdr:rowOff>
    </xdr:from>
    <xdr:to>
      <xdr:col>30</xdr:col>
      <xdr:colOff>409575</xdr:colOff>
      <xdr:row>28</xdr:row>
      <xdr:rowOff>0</xdr:rowOff>
    </xdr:to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887E8313-A538-406F-95D8-1611A7C3AD26}"/>
            </a:ext>
            <a:ext uri="{147F2762-F138-4A5C-976F-8EAC2B608ADB}">
              <a16:predDERef xmlns:a16="http://schemas.microsoft.com/office/drawing/2014/main" pred="{DCAE3E7C-C227-4FCC-99D1-D6D2B12D7C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0</xdr:colOff>
      <xdr:row>13</xdr:row>
      <xdr:rowOff>0</xdr:rowOff>
    </xdr:from>
    <xdr:to>
      <xdr:col>40</xdr:col>
      <xdr:colOff>542925</xdr:colOff>
      <xdr:row>28</xdr:row>
      <xdr:rowOff>0</xdr:rowOff>
    </xdr:to>
    <xdr:graphicFrame macro="">
      <xdr:nvGraphicFramePr>
        <xdr:cNvPr id="11" name="Chart 2">
          <a:extLst>
            <a:ext uri="{FF2B5EF4-FFF2-40B4-BE49-F238E27FC236}">
              <a16:creationId xmlns:a16="http://schemas.microsoft.com/office/drawing/2014/main" id="{76A0DF6D-05DC-49E2-B74F-E12A977141E0}"/>
            </a:ext>
            <a:ext uri="{147F2762-F138-4A5C-976F-8EAC2B608ADB}">
              <a16:predDERef xmlns:a16="http://schemas.microsoft.com/office/drawing/2014/main" pred="{887E8313-A538-406F-95D8-1611A7C3AD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0</xdr:colOff>
      <xdr:row>59</xdr:row>
      <xdr:rowOff>0</xdr:rowOff>
    </xdr:from>
    <xdr:to>
      <xdr:col>30</xdr:col>
      <xdr:colOff>409575</xdr:colOff>
      <xdr:row>74</xdr:row>
      <xdr:rowOff>0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id="{A2DF9F5B-C0ED-48DA-8269-4D87C8F4F69D}"/>
            </a:ext>
            <a:ext uri="{147F2762-F138-4A5C-976F-8EAC2B608ADB}">
              <a16:predDERef xmlns:a16="http://schemas.microsoft.com/office/drawing/2014/main" pred="{76A0DF6D-05DC-49E2-B74F-E12A977141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32</xdr:col>
      <xdr:colOff>0</xdr:colOff>
      <xdr:row>59</xdr:row>
      <xdr:rowOff>0</xdr:rowOff>
    </xdr:from>
    <xdr:to>
      <xdr:col>40</xdr:col>
      <xdr:colOff>542925</xdr:colOff>
      <xdr:row>74</xdr:row>
      <xdr:rowOff>0</xdr:rowOff>
    </xdr:to>
    <xdr:graphicFrame macro="">
      <xdr:nvGraphicFramePr>
        <xdr:cNvPr id="17" name="Chart 4">
          <a:extLst>
            <a:ext uri="{FF2B5EF4-FFF2-40B4-BE49-F238E27FC236}">
              <a16:creationId xmlns:a16="http://schemas.microsoft.com/office/drawing/2014/main" id="{FCFDA463-691C-46AE-A186-A53DA2784BED}"/>
            </a:ext>
            <a:ext uri="{147F2762-F138-4A5C-976F-8EAC2B608ADB}">
              <a16:predDERef xmlns:a16="http://schemas.microsoft.com/office/drawing/2014/main" pred="{A2DF9F5B-C0ED-48DA-8269-4D87C8F4F6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32</xdr:col>
      <xdr:colOff>9525</xdr:colOff>
      <xdr:row>105</xdr:row>
      <xdr:rowOff>0</xdr:rowOff>
    </xdr:from>
    <xdr:to>
      <xdr:col>40</xdr:col>
      <xdr:colOff>552450</xdr:colOff>
      <xdr:row>122</xdr:row>
      <xdr:rowOff>171450</xdr:rowOff>
    </xdr:to>
    <xdr:graphicFrame macro="">
      <xdr:nvGraphicFramePr>
        <xdr:cNvPr id="25" name="Chart 5">
          <a:extLst>
            <a:ext uri="{FF2B5EF4-FFF2-40B4-BE49-F238E27FC236}">
              <a16:creationId xmlns:a16="http://schemas.microsoft.com/office/drawing/2014/main" id="{3AC3C83C-80E9-43A0-A513-1C4AD9AB18F5}"/>
            </a:ext>
            <a:ext uri="{147F2762-F138-4A5C-976F-8EAC2B608ADB}">
              <a16:predDERef xmlns:a16="http://schemas.microsoft.com/office/drawing/2014/main" pred="{FCFDA463-691C-46AE-A186-A53DA2784B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0</xdr:colOff>
      <xdr:row>105</xdr:row>
      <xdr:rowOff>0</xdr:rowOff>
    </xdr:from>
    <xdr:to>
      <xdr:col>30</xdr:col>
      <xdr:colOff>409575</xdr:colOff>
      <xdr:row>122</xdr:row>
      <xdr:rowOff>171450</xdr:rowOff>
    </xdr:to>
    <xdr:graphicFrame macro="">
      <xdr:nvGraphicFramePr>
        <xdr:cNvPr id="21" name="Chart 6">
          <a:extLst>
            <a:ext uri="{FF2B5EF4-FFF2-40B4-BE49-F238E27FC236}">
              <a16:creationId xmlns:a16="http://schemas.microsoft.com/office/drawing/2014/main" id="{4B8D98AD-B995-47A6-AC4C-A27F79F989A9}"/>
            </a:ext>
            <a:ext uri="{147F2762-F138-4A5C-976F-8EAC2B608ADB}">
              <a16:predDERef xmlns:a16="http://schemas.microsoft.com/office/drawing/2014/main" pred="{3AC3C83C-80E9-43A0-A513-1C4AD9AB18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32</xdr:col>
      <xdr:colOff>0</xdr:colOff>
      <xdr:row>151</xdr:row>
      <xdr:rowOff>0</xdr:rowOff>
    </xdr:from>
    <xdr:to>
      <xdr:col>40</xdr:col>
      <xdr:colOff>542925</xdr:colOff>
      <xdr:row>168</xdr:row>
      <xdr:rowOff>171450</xdr:rowOff>
    </xdr:to>
    <xdr:graphicFrame macro="">
      <xdr:nvGraphicFramePr>
        <xdr:cNvPr id="33" name="Chart 7">
          <a:extLst>
            <a:ext uri="{FF2B5EF4-FFF2-40B4-BE49-F238E27FC236}">
              <a16:creationId xmlns:a16="http://schemas.microsoft.com/office/drawing/2014/main" id="{9486A8BD-6339-4EC0-A660-8A029FE13BB5}"/>
            </a:ext>
            <a:ext uri="{147F2762-F138-4A5C-976F-8EAC2B608ADB}">
              <a16:predDERef xmlns:a16="http://schemas.microsoft.com/office/drawing/2014/main" pred="{4B8D98AD-B995-47A6-AC4C-A27F79F989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0</xdr:colOff>
      <xdr:row>151</xdr:row>
      <xdr:rowOff>0</xdr:rowOff>
    </xdr:from>
    <xdr:to>
      <xdr:col>30</xdr:col>
      <xdr:colOff>409575</xdr:colOff>
      <xdr:row>168</xdr:row>
      <xdr:rowOff>171450</xdr:rowOff>
    </xdr:to>
    <xdr:graphicFrame macro="">
      <xdr:nvGraphicFramePr>
        <xdr:cNvPr id="29" name="Chart 8">
          <a:extLst>
            <a:ext uri="{FF2B5EF4-FFF2-40B4-BE49-F238E27FC236}">
              <a16:creationId xmlns:a16="http://schemas.microsoft.com/office/drawing/2014/main" id="{BFB27AE5-91D1-4B90-9FA2-4E34BCAF8568}"/>
            </a:ext>
            <a:ext uri="{147F2762-F138-4A5C-976F-8EAC2B608ADB}">
              <a16:predDERef xmlns:a16="http://schemas.microsoft.com/office/drawing/2014/main" pred="{9486A8BD-6339-4EC0-A660-8A029FE13B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22</xdr:col>
      <xdr:colOff>0</xdr:colOff>
      <xdr:row>197</xdr:row>
      <xdr:rowOff>0</xdr:rowOff>
    </xdr:from>
    <xdr:to>
      <xdr:col>30</xdr:col>
      <xdr:colOff>409575</xdr:colOff>
      <xdr:row>214</xdr:row>
      <xdr:rowOff>171450</xdr:rowOff>
    </xdr:to>
    <xdr:graphicFrame macro="">
      <xdr:nvGraphicFramePr>
        <xdr:cNvPr id="32" name="Chart 9">
          <a:extLst>
            <a:ext uri="{FF2B5EF4-FFF2-40B4-BE49-F238E27FC236}">
              <a16:creationId xmlns:a16="http://schemas.microsoft.com/office/drawing/2014/main" id="{017DE00D-18A5-48F5-B21F-68DDBF1FF099}"/>
            </a:ext>
            <a:ext uri="{147F2762-F138-4A5C-976F-8EAC2B608ADB}">
              <a16:predDERef xmlns:a16="http://schemas.microsoft.com/office/drawing/2014/main" pred="{BFB27AE5-91D1-4B90-9FA2-4E34BCAF85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32</xdr:col>
      <xdr:colOff>0</xdr:colOff>
      <xdr:row>197</xdr:row>
      <xdr:rowOff>0</xdr:rowOff>
    </xdr:from>
    <xdr:to>
      <xdr:col>40</xdr:col>
      <xdr:colOff>542925</xdr:colOff>
      <xdr:row>214</xdr:row>
      <xdr:rowOff>171450</xdr:rowOff>
    </xdr:to>
    <xdr:graphicFrame macro="">
      <xdr:nvGraphicFramePr>
        <xdr:cNvPr id="34" name="Chart 10">
          <a:extLst>
            <a:ext uri="{FF2B5EF4-FFF2-40B4-BE49-F238E27FC236}">
              <a16:creationId xmlns:a16="http://schemas.microsoft.com/office/drawing/2014/main" id="{AAA0B0F0-7FE9-47BF-9B89-AE5E655442FE}"/>
            </a:ext>
            <a:ext uri="{147F2762-F138-4A5C-976F-8EAC2B608ADB}">
              <a16:predDERef xmlns:a16="http://schemas.microsoft.com/office/drawing/2014/main" pred="{017DE00D-18A5-48F5-B21F-68DDBF1FF0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41</xdr:col>
      <xdr:colOff>0</xdr:colOff>
      <xdr:row>13</xdr:row>
      <xdr:rowOff>0</xdr:rowOff>
    </xdr:from>
    <xdr:to>
      <xdr:col>49</xdr:col>
      <xdr:colOff>542925</xdr:colOff>
      <xdr:row>28</xdr:row>
      <xdr:rowOff>0</xdr:rowOff>
    </xdr:to>
    <xdr:graphicFrame macro="">
      <xdr:nvGraphicFramePr>
        <xdr:cNvPr id="7" name="Chart 11">
          <a:extLst>
            <a:ext uri="{FF2B5EF4-FFF2-40B4-BE49-F238E27FC236}">
              <a16:creationId xmlns:a16="http://schemas.microsoft.com/office/drawing/2014/main" id="{1CD9CBA5-97E1-46D8-A30D-5B4441035269}"/>
            </a:ext>
            <a:ext uri="{147F2762-F138-4A5C-976F-8EAC2B608ADB}">
              <a16:predDERef xmlns:a16="http://schemas.microsoft.com/office/drawing/2014/main" pred="{AAA0B0F0-7FE9-47BF-9B89-AE5E655442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13</xdr:row>
      <xdr:rowOff>0</xdr:rowOff>
    </xdr:from>
    <xdr:to>
      <xdr:col>30</xdr:col>
      <xdr:colOff>409575</xdr:colOff>
      <xdr:row>28</xdr:row>
      <xdr:rowOff>0</xdr:rowOff>
    </xdr:to>
    <xdr:graphicFrame macro="">
      <xdr:nvGraphicFramePr>
        <xdr:cNvPr id="35" name="Chart 1">
          <a:extLst>
            <a:ext uri="{FF2B5EF4-FFF2-40B4-BE49-F238E27FC236}">
              <a16:creationId xmlns:a16="http://schemas.microsoft.com/office/drawing/2014/main" id="{9A5490FA-9EE9-4A06-BD5D-6B4D9CB6F18F}"/>
            </a:ext>
            <a:ext uri="{147F2762-F138-4A5C-976F-8EAC2B608ADB}">
              <a16:predDERef xmlns:a16="http://schemas.microsoft.com/office/drawing/2014/main" pred="{DCAE3E7C-C227-4FCC-99D1-D6D2B12D7C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0</xdr:colOff>
      <xdr:row>13</xdr:row>
      <xdr:rowOff>0</xdr:rowOff>
    </xdr:from>
    <xdr:to>
      <xdr:col>40</xdr:col>
      <xdr:colOff>542925</xdr:colOff>
      <xdr:row>28</xdr:row>
      <xdr:rowOff>0</xdr:rowOff>
    </xdr:to>
    <xdr:graphicFrame macro="">
      <xdr:nvGraphicFramePr>
        <xdr:cNvPr id="36" name="Chart 2">
          <a:extLst>
            <a:ext uri="{FF2B5EF4-FFF2-40B4-BE49-F238E27FC236}">
              <a16:creationId xmlns:a16="http://schemas.microsoft.com/office/drawing/2014/main" id="{CC3F0DCE-AC8B-475F-BD81-62562126B5BD}"/>
            </a:ext>
            <a:ext uri="{147F2762-F138-4A5C-976F-8EAC2B608ADB}">
              <a16:predDERef xmlns:a16="http://schemas.microsoft.com/office/drawing/2014/main" pred="{9A5490FA-9EE9-4A06-BD5D-6B4D9CB6F1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0</xdr:colOff>
      <xdr:row>59</xdr:row>
      <xdr:rowOff>0</xdr:rowOff>
    </xdr:from>
    <xdr:to>
      <xdr:col>30</xdr:col>
      <xdr:colOff>409575</xdr:colOff>
      <xdr:row>74</xdr:row>
      <xdr:rowOff>0</xdr:rowOff>
    </xdr:to>
    <xdr:graphicFrame macro="">
      <xdr:nvGraphicFramePr>
        <xdr:cNvPr id="38" name="Chart 3">
          <a:extLst>
            <a:ext uri="{FF2B5EF4-FFF2-40B4-BE49-F238E27FC236}">
              <a16:creationId xmlns:a16="http://schemas.microsoft.com/office/drawing/2014/main" id="{38F7388A-5DE6-4BBA-8E75-42BC6E50EBC7}"/>
            </a:ext>
            <a:ext uri="{147F2762-F138-4A5C-976F-8EAC2B608ADB}">
              <a16:predDERef xmlns:a16="http://schemas.microsoft.com/office/drawing/2014/main" pred="{CC3F0DCE-AC8B-475F-BD81-62562126B5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39</xdr:col>
      <xdr:colOff>647700</xdr:colOff>
      <xdr:row>62</xdr:row>
      <xdr:rowOff>47625</xdr:rowOff>
    </xdr:from>
    <xdr:to>
      <xdr:col>48</xdr:col>
      <xdr:colOff>352425</xdr:colOff>
      <xdr:row>77</xdr:row>
      <xdr:rowOff>47625</xdr:rowOff>
    </xdr:to>
    <xdr:graphicFrame macro="">
      <xdr:nvGraphicFramePr>
        <xdr:cNvPr id="39" name="Chart 4">
          <a:extLst>
            <a:ext uri="{FF2B5EF4-FFF2-40B4-BE49-F238E27FC236}">
              <a16:creationId xmlns:a16="http://schemas.microsoft.com/office/drawing/2014/main" id="{A600C513-4473-4240-A564-E1DDD52B352C}"/>
            </a:ext>
            <a:ext uri="{147F2762-F138-4A5C-976F-8EAC2B608ADB}">
              <a16:predDERef xmlns:a16="http://schemas.microsoft.com/office/drawing/2014/main" pred="{38F7388A-5DE6-4BBA-8E75-42BC6E50EB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32</xdr:col>
      <xdr:colOff>9525</xdr:colOff>
      <xdr:row>105</xdr:row>
      <xdr:rowOff>0</xdr:rowOff>
    </xdr:from>
    <xdr:to>
      <xdr:col>40</xdr:col>
      <xdr:colOff>552450</xdr:colOff>
      <xdr:row>122</xdr:row>
      <xdr:rowOff>171450</xdr:rowOff>
    </xdr:to>
    <xdr:graphicFrame macro="">
      <xdr:nvGraphicFramePr>
        <xdr:cNvPr id="41" name="Chart 5">
          <a:extLst>
            <a:ext uri="{FF2B5EF4-FFF2-40B4-BE49-F238E27FC236}">
              <a16:creationId xmlns:a16="http://schemas.microsoft.com/office/drawing/2014/main" id="{C050D37C-F26A-40BE-B72B-7C6223B860D3}"/>
            </a:ext>
            <a:ext uri="{147F2762-F138-4A5C-976F-8EAC2B608ADB}">
              <a16:predDERef xmlns:a16="http://schemas.microsoft.com/office/drawing/2014/main" pred="{A600C513-4473-4240-A564-E1DDD52B35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0</xdr:colOff>
      <xdr:row>105</xdr:row>
      <xdr:rowOff>0</xdr:rowOff>
    </xdr:from>
    <xdr:to>
      <xdr:col>30</xdr:col>
      <xdr:colOff>409575</xdr:colOff>
      <xdr:row>122</xdr:row>
      <xdr:rowOff>171450</xdr:rowOff>
    </xdr:to>
    <xdr:graphicFrame macro="">
      <xdr:nvGraphicFramePr>
        <xdr:cNvPr id="40" name="Chart 6">
          <a:extLst>
            <a:ext uri="{FF2B5EF4-FFF2-40B4-BE49-F238E27FC236}">
              <a16:creationId xmlns:a16="http://schemas.microsoft.com/office/drawing/2014/main" id="{2D8F3091-7554-43AC-B296-AC7942F8745A}"/>
            </a:ext>
            <a:ext uri="{147F2762-F138-4A5C-976F-8EAC2B608ADB}">
              <a16:predDERef xmlns:a16="http://schemas.microsoft.com/office/drawing/2014/main" pred="{C050D37C-F26A-40BE-B72B-7C6223B860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32</xdr:col>
      <xdr:colOff>0</xdr:colOff>
      <xdr:row>151</xdr:row>
      <xdr:rowOff>0</xdr:rowOff>
    </xdr:from>
    <xdr:to>
      <xdr:col>40</xdr:col>
      <xdr:colOff>542925</xdr:colOff>
      <xdr:row>168</xdr:row>
      <xdr:rowOff>171450</xdr:rowOff>
    </xdr:to>
    <xdr:graphicFrame macro="">
      <xdr:nvGraphicFramePr>
        <xdr:cNvPr id="43" name="Chart 7">
          <a:extLst>
            <a:ext uri="{FF2B5EF4-FFF2-40B4-BE49-F238E27FC236}">
              <a16:creationId xmlns:a16="http://schemas.microsoft.com/office/drawing/2014/main" id="{E5EEACA8-CF5F-41AC-8267-45D404352B0E}"/>
            </a:ext>
            <a:ext uri="{147F2762-F138-4A5C-976F-8EAC2B608ADB}">
              <a16:predDERef xmlns:a16="http://schemas.microsoft.com/office/drawing/2014/main" pred="{2D8F3091-7554-43AC-B296-AC7942F874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0</xdr:colOff>
      <xdr:row>151</xdr:row>
      <xdr:rowOff>0</xdr:rowOff>
    </xdr:from>
    <xdr:to>
      <xdr:col>30</xdr:col>
      <xdr:colOff>409575</xdr:colOff>
      <xdr:row>168</xdr:row>
      <xdr:rowOff>171450</xdr:rowOff>
    </xdr:to>
    <xdr:graphicFrame macro="">
      <xdr:nvGraphicFramePr>
        <xdr:cNvPr id="42" name="Chart 8">
          <a:extLst>
            <a:ext uri="{FF2B5EF4-FFF2-40B4-BE49-F238E27FC236}">
              <a16:creationId xmlns:a16="http://schemas.microsoft.com/office/drawing/2014/main" id="{0680BBA4-7700-4E98-8870-2A2AE039A4B8}"/>
            </a:ext>
            <a:ext uri="{147F2762-F138-4A5C-976F-8EAC2B608ADB}">
              <a16:predDERef xmlns:a16="http://schemas.microsoft.com/office/drawing/2014/main" pred="{E5EEACA8-CF5F-41AC-8267-45D404352B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22</xdr:col>
      <xdr:colOff>0</xdr:colOff>
      <xdr:row>197</xdr:row>
      <xdr:rowOff>0</xdr:rowOff>
    </xdr:from>
    <xdr:to>
      <xdr:col>30</xdr:col>
      <xdr:colOff>409575</xdr:colOff>
      <xdr:row>214</xdr:row>
      <xdr:rowOff>171450</xdr:rowOff>
    </xdr:to>
    <xdr:graphicFrame macro="">
      <xdr:nvGraphicFramePr>
        <xdr:cNvPr id="44" name="Chart 9">
          <a:extLst>
            <a:ext uri="{FF2B5EF4-FFF2-40B4-BE49-F238E27FC236}">
              <a16:creationId xmlns:a16="http://schemas.microsoft.com/office/drawing/2014/main" id="{91F279C8-185C-417D-8146-6415AE1639F6}"/>
            </a:ext>
            <a:ext uri="{147F2762-F138-4A5C-976F-8EAC2B608ADB}">
              <a16:predDERef xmlns:a16="http://schemas.microsoft.com/office/drawing/2014/main" pred="{0680BBA4-7700-4E98-8870-2A2AE039A4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32</xdr:col>
      <xdr:colOff>0</xdr:colOff>
      <xdr:row>197</xdr:row>
      <xdr:rowOff>0</xdr:rowOff>
    </xdr:from>
    <xdr:to>
      <xdr:col>40</xdr:col>
      <xdr:colOff>542925</xdr:colOff>
      <xdr:row>214</xdr:row>
      <xdr:rowOff>171450</xdr:rowOff>
    </xdr:to>
    <xdr:graphicFrame macro="">
      <xdr:nvGraphicFramePr>
        <xdr:cNvPr id="45" name="Chart 10">
          <a:extLst>
            <a:ext uri="{FF2B5EF4-FFF2-40B4-BE49-F238E27FC236}">
              <a16:creationId xmlns:a16="http://schemas.microsoft.com/office/drawing/2014/main" id="{7832B286-3130-4B07-AAE7-FE6738A65B13}"/>
            </a:ext>
            <a:ext uri="{147F2762-F138-4A5C-976F-8EAC2B608ADB}">
              <a16:predDERef xmlns:a16="http://schemas.microsoft.com/office/drawing/2014/main" pred="{91F279C8-185C-417D-8146-6415AE1639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41</xdr:col>
      <xdr:colOff>0</xdr:colOff>
      <xdr:row>13</xdr:row>
      <xdr:rowOff>0</xdr:rowOff>
    </xdr:from>
    <xdr:to>
      <xdr:col>49</xdr:col>
      <xdr:colOff>542925</xdr:colOff>
      <xdr:row>28</xdr:row>
      <xdr:rowOff>0</xdr:rowOff>
    </xdr:to>
    <xdr:graphicFrame macro="">
      <xdr:nvGraphicFramePr>
        <xdr:cNvPr id="37" name="Chart 11">
          <a:extLst>
            <a:ext uri="{FF2B5EF4-FFF2-40B4-BE49-F238E27FC236}">
              <a16:creationId xmlns:a16="http://schemas.microsoft.com/office/drawing/2014/main" id="{717EE121-AEA8-43CD-BA88-1FE148E468A9}"/>
            </a:ext>
            <a:ext uri="{147F2762-F138-4A5C-976F-8EAC2B608ADB}">
              <a16:predDERef xmlns:a16="http://schemas.microsoft.com/office/drawing/2014/main" pred="{7832B286-3130-4B07-AAE7-FE6738A65B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13</xdr:row>
      <xdr:rowOff>0</xdr:rowOff>
    </xdr:from>
    <xdr:to>
      <xdr:col>30</xdr:col>
      <xdr:colOff>409575</xdr:colOff>
      <xdr:row>28</xdr:row>
      <xdr:rowOff>0</xdr:rowOff>
    </xdr:to>
    <xdr:graphicFrame macro="">
      <xdr:nvGraphicFramePr>
        <xdr:cNvPr id="35" name="Chart 1">
          <a:extLst>
            <a:ext uri="{FF2B5EF4-FFF2-40B4-BE49-F238E27FC236}">
              <a16:creationId xmlns:a16="http://schemas.microsoft.com/office/drawing/2014/main" id="{7E607215-AE6A-478C-A0C3-D87467D1E024}"/>
            </a:ext>
            <a:ext uri="{147F2762-F138-4A5C-976F-8EAC2B608ADB}">
              <a16:predDERef xmlns:a16="http://schemas.microsoft.com/office/drawing/2014/main" pred="{DCAE3E7C-C227-4FCC-99D1-D6D2B12D7C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0</xdr:colOff>
      <xdr:row>13</xdr:row>
      <xdr:rowOff>0</xdr:rowOff>
    </xdr:from>
    <xdr:to>
      <xdr:col>40</xdr:col>
      <xdr:colOff>542925</xdr:colOff>
      <xdr:row>28</xdr:row>
      <xdr:rowOff>0</xdr:rowOff>
    </xdr:to>
    <xdr:graphicFrame macro="">
      <xdr:nvGraphicFramePr>
        <xdr:cNvPr id="25" name="Chart 2">
          <a:extLst>
            <a:ext uri="{FF2B5EF4-FFF2-40B4-BE49-F238E27FC236}">
              <a16:creationId xmlns:a16="http://schemas.microsoft.com/office/drawing/2014/main" id="{A5ED96D4-DCC2-4D2D-AF7D-0AD149CC48EE}"/>
            </a:ext>
            <a:ext uri="{147F2762-F138-4A5C-976F-8EAC2B608ADB}">
              <a16:predDERef xmlns:a16="http://schemas.microsoft.com/office/drawing/2014/main" pred="{7E607215-AE6A-478C-A0C3-D87467D1E0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0</xdr:colOff>
      <xdr:row>59</xdr:row>
      <xdr:rowOff>0</xdr:rowOff>
    </xdr:from>
    <xdr:to>
      <xdr:col>30</xdr:col>
      <xdr:colOff>409575</xdr:colOff>
      <xdr:row>74</xdr:row>
      <xdr:rowOff>0</xdr:rowOff>
    </xdr:to>
    <xdr:graphicFrame macro="">
      <xdr:nvGraphicFramePr>
        <xdr:cNvPr id="37" name="Chart 3">
          <a:extLst>
            <a:ext uri="{FF2B5EF4-FFF2-40B4-BE49-F238E27FC236}">
              <a16:creationId xmlns:a16="http://schemas.microsoft.com/office/drawing/2014/main" id="{6F2B5E6D-E5BB-4F3A-B193-BDBBA611A1E7}"/>
            </a:ext>
            <a:ext uri="{147F2762-F138-4A5C-976F-8EAC2B608ADB}">
              <a16:predDERef xmlns:a16="http://schemas.microsoft.com/office/drawing/2014/main" pred="{A5ED96D4-DCC2-4D2D-AF7D-0AD149CC48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32</xdr:col>
      <xdr:colOff>0</xdr:colOff>
      <xdr:row>59</xdr:row>
      <xdr:rowOff>0</xdr:rowOff>
    </xdr:from>
    <xdr:to>
      <xdr:col>40</xdr:col>
      <xdr:colOff>542925</xdr:colOff>
      <xdr:row>74</xdr:row>
      <xdr:rowOff>0</xdr:rowOff>
    </xdr:to>
    <xdr:graphicFrame macro="">
      <xdr:nvGraphicFramePr>
        <xdr:cNvPr id="27" name="Chart 4">
          <a:extLst>
            <a:ext uri="{FF2B5EF4-FFF2-40B4-BE49-F238E27FC236}">
              <a16:creationId xmlns:a16="http://schemas.microsoft.com/office/drawing/2014/main" id="{68782A93-CC6B-411B-A9E4-4D0072F7BE9B}"/>
            </a:ext>
            <a:ext uri="{147F2762-F138-4A5C-976F-8EAC2B608ADB}">
              <a16:predDERef xmlns:a16="http://schemas.microsoft.com/office/drawing/2014/main" pred="{6F2B5E6D-E5BB-4F3A-B193-BDBBA611A1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32</xdr:col>
      <xdr:colOff>9525</xdr:colOff>
      <xdr:row>105</xdr:row>
      <xdr:rowOff>0</xdr:rowOff>
    </xdr:from>
    <xdr:to>
      <xdr:col>40</xdr:col>
      <xdr:colOff>552450</xdr:colOff>
      <xdr:row>122</xdr:row>
      <xdr:rowOff>171450</xdr:rowOff>
    </xdr:to>
    <xdr:graphicFrame macro="">
      <xdr:nvGraphicFramePr>
        <xdr:cNvPr id="28" name="Chart 5">
          <a:extLst>
            <a:ext uri="{FF2B5EF4-FFF2-40B4-BE49-F238E27FC236}">
              <a16:creationId xmlns:a16="http://schemas.microsoft.com/office/drawing/2014/main" id="{03D7E64E-36EC-4487-B8FA-A71E4FE07E17}"/>
            </a:ext>
            <a:ext uri="{147F2762-F138-4A5C-976F-8EAC2B608ADB}">
              <a16:predDERef xmlns:a16="http://schemas.microsoft.com/office/drawing/2014/main" pred="{68782A93-CC6B-411B-A9E4-4D0072F7BE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0</xdr:colOff>
      <xdr:row>105</xdr:row>
      <xdr:rowOff>0</xdr:rowOff>
    </xdr:from>
    <xdr:to>
      <xdr:col>30</xdr:col>
      <xdr:colOff>409575</xdr:colOff>
      <xdr:row>122</xdr:row>
      <xdr:rowOff>171450</xdr:rowOff>
    </xdr:to>
    <xdr:graphicFrame macro="">
      <xdr:nvGraphicFramePr>
        <xdr:cNvPr id="38" name="Chart 6">
          <a:extLst>
            <a:ext uri="{FF2B5EF4-FFF2-40B4-BE49-F238E27FC236}">
              <a16:creationId xmlns:a16="http://schemas.microsoft.com/office/drawing/2014/main" id="{95ECEF3A-092E-43B5-9DAA-30751732116B}"/>
            </a:ext>
            <a:ext uri="{147F2762-F138-4A5C-976F-8EAC2B608ADB}">
              <a16:predDERef xmlns:a16="http://schemas.microsoft.com/office/drawing/2014/main" pred="{03D7E64E-36EC-4487-B8FA-A71E4FE07E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32</xdr:col>
      <xdr:colOff>0</xdr:colOff>
      <xdr:row>151</xdr:row>
      <xdr:rowOff>0</xdr:rowOff>
    </xdr:from>
    <xdr:to>
      <xdr:col>40</xdr:col>
      <xdr:colOff>542925</xdr:colOff>
      <xdr:row>168</xdr:row>
      <xdr:rowOff>171450</xdr:rowOff>
    </xdr:to>
    <xdr:graphicFrame macro="">
      <xdr:nvGraphicFramePr>
        <xdr:cNvPr id="30" name="Chart 7">
          <a:extLst>
            <a:ext uri="{FF2B5EF4-FFF2-40B4-BE49-F238E27FC236}">
              <a16:creationId xmlns:a16="http://schemas.microsoft.com/office/drawing/2014/main" id="{4018B952-D5A7-491B-85C3-70F5AA704411}"/>
            </a:ext>
            <a:ext uri="{147F2762-F138-4A5C-976F-8EAC2B608ADB}">
              <a16:predDERef xmlns:a16="http://schemas.microsoft.com/office/drawing/2014/main" pred="{95ECEF3A-092E-43B5-9DAA-3075173211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0</xdr:colOff>
      <xdr:row>151</xdr:row>
      <xdr:rowOff>0</xdr:rowOff>
    </xdr:from>
    <xdr:to>
      <xdr:col>30</xdr:col>
      <xdr:colOff>409575</xdr:colOff>
      <xdr:row>168</xdr:row>
      <xdr:rowOff>171450</xdr:rowOff>
    </xdr:to>
    <xdr:graphicFrame macro="">
      <xdr:nvGraphicFramePr>
        <xdr:cNvPr id="39" name="Chart 8">
          <a:extLst>
            <a:ext uri="{FF2B5EF4-FFF2-40B4-BE49-F238E27FC236}">
              <a16:creationId xmlns:a16="http://schemas.microsoft.com/office/drawing/2014/main" id="{2E3E8822-8EFB-4B5B-8BF7-BD93776B4C2A}"/>
            </a:ext>
            <a:ext uri="{147F2762-F138-4A5C-976F-8EAC2B608ADB}">
              <a16:predDERef xmlns:a16="http://schemas.microsoft.com/office/drawing/2014/main" pred="{4018B952-D5A7-491B-85C3-70F5AA7044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41</xdr:col>
      <xdr:colOff>0</xdr:colOff>
      <xdr:row>13</xdr:row>
      <xdr:rowOff>0</xdr:rowOff>
    </xdr:from>
    <xdr:to>
      <xdr:col>49</xdr:col>
      <xdr:colOff>542925</xdr:colOff>
      <xdr:row>28</xdr:row>
      <xdr:rowOff>0</xdr:rowOff>
    </xdr:to>
    <xdr:graphicFrame macro="">
      <xdr:nvGraphicFramePr>
        <xdr:cNvPr id="40" name="Chart 11">
          <a:extLst>
            <a:ext uri="{FF2B5EF4-FFF2-40B4-BE49-F238E27FC236}">
              <a16:creationId xmlns:a16="http://schemas.microsoft.com/office/drawing/2014/main" id="{0B4709FE-2850-47D1-BC0A-35CD97BEC8BA}"/>
            </a:ext>
            <a:ext uri="{147F2762-F138-4A5C-976F-8EAC2B608ADB}">
              <a16:predDERef xmlns:a16="http://schemas.microsoft.com/office/drawing/2014/main" pred="{2E3E8822-8EFB-4B5B-8BF7-BD93776B4C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13</xdr:row>
      <xdr:rowOff>0</xdr:rowOff>
    </xdr:from>
    <xdr:to>
      <xdr:col>30</xdr:col>
      <xdr:colOff>409575</xdr:colOff>
      <xdr:row>28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7B4BE2-4737-4D6C-A441-8624697A71ED}"/>
            </a:ext>
            <a:ext uri="{147F2762-F138-4A5C-976F-8EAC2B608ADB}">
              <a16:predDERef xmlns:a16="http://schemas.microsoft.com/office/drawing/2014/main" pred="{DCAE3E7C-C227-4FCC-99D1-D6D2B12D7C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0</xdr:colOff>
      <xdr:row>13</xdr:row>
      <xdr:rowOff>0</xdr:rowOff>
    </xdr:from>
    <xdr:to>
      <xdr:col>40</xdr:col>
      <xdr:colOff>542925</xdr:colOff>
      <xdr:row>28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DDE767B-5846-4752-91DA-B1C6C6FCB2CC}"/>
            </a:ext>
            <a:ext uri="{147F2762-F138-4A5C-976F-8EAC2B608ADB}">
              <a16:predDERef xmlns:a16="http://schemas.microsoft.com/office/drawing/2014/main" pred="{417B4BE2-4737-4D6C-A441-8624697A71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0</xdr:colOff>
      <xdr:row>59</xdr:row>
      <xdr:rowOff>0</xdr:rowOff>
    </xdr:from>
    <xdr:to>
      <xdr:col>30</xdr:col>
      <xdr:colOff>409575</xdr:colOff>
      <xdr:row>74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10EEAAB-E446-4DCE-8704-F92F00D5E0F9}"/>
            </a:ext>
            <a:ext uri="{147F2762-F138-4A5C-976F-8EAC2B608ADB}">
              <a16:predDERef xmlns:a16="http://schemas.microsoft.com/office/drawing/2014/main" pred="{FDDE767B-5846-4752-91DA-B1C6C6FCB2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32</xdr:col>
      <xdr:colOff>0</xdr:colOff>
      <xdr:row>59</xdr:row>
      <xdr:rowOff>0</xdr:rowOff>
    </xdr:from>
    <xdr:to>
      <xdr:col>40</xdr:col>
      <xdr:colOff>542925</xdr:colOff>
      <xdr:row>74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9924AB2-1F17-40DD-A0EF-BBFCF1280633}"/>
            </a:ext>
            <a:ext uri="{147F2762-F138-4A5C-976F-8EAC2B608ADB}">
              <a16:predDERef xmlns:a16="http://schemas.microsoft.com/office/drawing/2014/main" pred="{E10EEAAB-E446-4DCE-8704-F92F00D5E0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32</xdr:col>
      <xdr:colOff>9525</xdr:colOff>
      <xdr:row>105</xdr:row>
      <xdr:rowOff>0</xdr:rowOff>
    </xdr:from>
    <xdr:to>
      <xdr:col>40</xdr:col>
      <xdr:colOff>552450</xdr:colOff>
      <xdr:row>122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17D04BC-863A-4B35-B395-D6B840A34DF2}"/>
            </a:ext>
            <a:ext uri="{147F2762-F138-4A5C-976F-8EAC2B608ADB}">
              <a16:predDERef xmlns:a16="http://schemas.microsoft.com/office/drawing/2014/main" pred="{B9924AB2-1F17-40DD-A0EF-BBFCF12806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0</xdr:colOff>
      <xdr:row>105</xdr:row>
      <xdr:rowOff>0</xdr:rowOff>
    </xdr:from>
    <xdr:to>
      <xdr:col>30</xdr:col>
      <xdr:colOff>409575</xdr:colOff>
      <xdr:row>122</xdr:row>
      <xdr:rowOff>171450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1C7E4A0-E327-4FC0-99DB-70D4D69F83D7}"/>
            </a:ext>
            <a:ext uri="{147F2762-F138-4A5C-976F-8EAC2B608ADB}">
              <a16:predDERef xmlns:a16="http://schemas.microsoft.com/office/drawing/2014/main" pred="{817D04BC-863A-4B35-B395-D6B840A34D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32</xdr:col>
      <xdr:colOff>0</xdr:colOff>
      <xdr:row>151</xdr:row>
      <xdr:rowOff>0</xdr:rowOff>
    </xdr:from>
    <xdr:to>
      <xdr:col>40</xdr:col>
      <xdr:colOff>542925</xdr:colOff>
      <xdr:row>168</xdr:row>
      <xdr:rowOff>171450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26F1D4A-3589-46A6-A974-E347649D66E5}"/>
            </a:ext>
            <a:ext uri="{147F2762-F138-4A5C-976F-8EAC2B608ADB}">
              <a16:predDERef xmlns:a16="http://schemas.microsoft.com/office/drawing/2014/main" pred="{71C7E4A0-E327-4FC0-99DB-70D4D69F83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0</xdr:colOff>
      <xdr:row>151</xdr:row>
      <xdr:rowOff>0</xdr:rowOff>
    </xdr:from>
    <xdr:to>
      <xdr:col>30</xdr:col>
      <xdr:colOff>409575</xdr:colOff>
      <xdr:row>168</xdr:row>
      <xdr:rowOff>171450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9BDBCAF-4608-4993-B74A-878E7F053057}"/>
            </a:ext>
            <a:ext uri="{147F2762-F138-4A5C-976F-8EAC2B608ADB}">
              <a16:predDERef xmlns:a16="http://schemas.microsoft.com/office/drawing/2014/main" pred="{A26F1D4A-3589-46A6-A974-E347649D66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22</xdr:col>
      <xdr:colOff>0</xdr:colOff>
      <xdr:row>197</xdr:row>
      <xdr:rowOff>0</xdr:rowOff>
    </xdr:from>
    <xdr:to>
      <xdr:col>30</xdr:col>
      <xdr:colOff>409575</xdr:colOff>
      <xdr:row>214</xdr:row>
      <xdr:rowOff>171450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4E6B29A-BA5E-4195-951F-08E2957C057D}"/>
            </a:ext>
            <a:ext uri="{147F2762-F138-4A5C-976F-8EAC2B608ADB}">
              <a16:predDERef xmlns:a16="http://schemas.microsoft.com/office/drawing/2014/main" pred="{29BDBCAF-4608-4993-B74A-878E7F0530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32</xdr:col>
      <xdr:colOff>0</xdr:colOff>
      <xdr:row>197</xdr:row>
      <xdr:rowOff>0</xdr:rowOff>
    </xdr:from>
    <xdr:to>
      <xdr:col>40</xdr:col>
      <xdr:colOff>542925</xdr:colOff>
      <xdr:row>214</xdr:row>
      <xdr:rowOff>171450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540950F-6430-4B56-A7A0-5D85604F4143}"/>
            </a:ext>
            <a:ext uri="{147F2762-F138-4A5C-976F-8EAC2B608ADB}">
              <a16:predDERef xmlns:a16="http://schemas.microsoft.com/office/drawing/2014/main" pred="{94E6B29A-BA5E-4195-951F-08E2957C05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41</xdr:col>
      <xdr:colOff>0</xdr:colOff>
      <xdr:row>13</xdr:row>
      <xdr:rowOff>0</xdr:rowOff>
    </xdr:from>
    <xdr:to>
      <xdr:col>49</xdr:col>
      <xdr:colOff>542925</xdr:colOff>
      <xdr:row>28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4EC4C80-1102-444F-BCB4-D6A56EE6D41F}"/>
            </a:ext>
            <a:ext uri="{147F2762-F138-4A5C-976F-8EAC2B608ADB}">
              <a16:predDERef xmlns:a16="http://schemas.microsoft.com/office/drawing/2014/main" pred="{6540950F-6430-4B56-A7A0-5D85604F41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13</xdr:row>
      <xdr:rowOff>0</xdr:rowOff>
    </xdr:from>
    <xdr:to>
      <xdr:col>30</xdr:col>
      <xdr:colOff>409575</xdr:colOff>
      <xdr:row>28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95344F-EE72-4880-A607-7632ADD9AFBE}"/>
            </a:ext>
            <a:ext uri="{147F2762-F138-4A5C-976F-8EAC2B608ADB}">
              <a16:predDERef xmlns:a16="http://schemas.microsoft.com/office/drawing/2014/main" pred="{DCAE3E7C-C227-4FCC-99D1-D6D2B12D7C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0</xdr:colOff>
      <xdr:row>13</xdr:row>
      <xdr:rowOff>0</xdr:rowOff>
    </xdr:from>
    <xdr:to>
      <xdr:col>40</xdr:col>
      <xdr:colOff>542925</xdr:colOff>
      <xdr:row>28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0193D38-238F-41E7-9582-67214692A290}"/>
            </a:ext>
            <a:ext uri="{147F2762-F138-4A5C-976F-8EAC2B608ADB}">
              <a16:predDERef xmlns:a16="http://schemas.microsoft.com/office/drawing/2014/main" pred="{A695344F-EE72-4880-A607-7632ADD9AF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0</xdr:colOff>
      <xdr:row>59</xdr:row>
      <xdr:rowOff>0</xdr:rowOff>
    </xdr:from>
    <xdr:to>
      <xdr:col>30</xdr:col>
      <xdr:colOff>409575</xdr:colOff>
      <xdr:row>74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76181A6-444B-4548-B261-76A203BFD352}"/>
            </a:ext>
            <a:ext uri="{147F2762-F138-4A5C-976F-8EAC2B608ADB}">
              <a16:predDERef xmlns:a16="http://schemas.microsoft.com/office/drawing/2014/main" pred="{A0193D38-238F-41E7-9582-67214692A2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32</xdr:col>
      <xdr:colOff>0</xdr:colOff>
      <xdr:row>59</xdr:row>
      <xdr:rowOff>0</xdr:rowOff>
    </xdr:from>
    <xdr:to>
      <xdr:col>40</xdr:col>
      <xdr:colOff>542925</xdr:colOff>
      <xdr:row>74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2F9CE37-5239-4A97-AAB2-02702A2D3E9C}"/>
            </a:ext>
            <a:ext uri="{147F2762-F138-4A5C-976F-8EAC2B608ADB}">
              <a16:predDERef xmlns:a16="http://schemas.microsoft.com/office/drawing/2014/main" pred="{376181A6-444B-4548-B261-76A203BFD3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32</xdr:col>
      <xdr:colOff>9525</xdr:colOff>
      <xdr:row>105</xdr:row>
      <xdr:rowOff>0</xdr:rowOff>
    </xdr:from>
    <xdr:to>
      <xdr:col>40</xdr:col>
      <xdr:colOff>552450</xdr:colOff>
      <xdr:row>122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6C1D64B-D5B2-4B26-B74B-2B560A6893BB}"/>
            </a:ext>
            <a:ext uri="{147F2762-F138-4A5C-976F-8EAC2B608ADB}">
              <a16:predDERef xmlns:a16="http://schemas.microsoft.com/office/drawing/2014/main" pred="{02F9CE37-5239-4A97-AAB2-02702A2D3E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0</xdr:colOff>
      <xdr:row>105</xdr:row>
      <xdr:rowOff>0</xdr:rowOff>
    </xdr:from>
    <xdr:to>
      <xdr:col>30</xdr:col>
      <xdr:colOff>409575</xdr:colOff>
      <xdr:row>122</xdr:row>
      <xdr:rowOff>171450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9AB5DA8-FBAA-4D49-BFC7-47A9698EC58B}"/>
            </a:ext>
            <a:ext uri="{147F2762-F138-4A5C-976F-8EAC2B608ADB}">
              <a16:predDERef xmlns:a16="http://schemas.microsoft.com/office/drawing/2014/main" pred="{86C1D64B-D5B2-4B26-B74B-2B560A6893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32</xdr:col>
      <xdr:colOff>0</xdr:colOff>
      <xdr:row>151</xdr:row>
      <xdr:rowOff>0</xdr:rowOff>
    </xdr:from>
    <xdr:to>
      <xdr:col>40</xdr:col>
      <xdr:colOff>542925</xdr:colOff>
      <xdr:row>168</xdr:row>
      <xdr:rowOff>171450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D151840-38EF-4B4B-95D4-FC2984006D69}"/>
            </a:ext>
            <a:ext uri="{147F2762-F138-4A5C-976F-8EAC2B608ADB}">
              <a16:predDERef xmlns:a16="http://schemas.microsoft.com/office/drawing/2014/main" pred="{E9AB5DA8-FBAA-4D49-BFC7-47A9698EC5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0</xdr:colOff>
      <xdr:row>151</xdr:row>
      <xdr:rowOff>0</xdr:rowOff>
    </xdr:from>
    <xdr:to>
      <xdr:col>30</xdr:col>
      <xdr:colOff>409575</xdr:colOff>
      <xdr:row>168</xdr:row>
      <xdr:rowOff>171450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C7BE2B8-F2D5-4ADE-A2D2-41E550339025}"/>
            </a:ext>
            <a:ext uri="{147F2762-F138-4A5C-976F-8EAC2B608ADB}">
              <a16:predDERef xmlns:a16="http://schemas.microsoft.com/office/drawing/2014/main" pred="{9D151840-38EF-4B4B-95D4-FC2984006D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22</xdr:col>
      <xdr:colOff>0</xdr:colOff>
      <xdr:row>197</xdr:row>
      <xdr:rowOff>0</xdr:rowOff>
    </xdr:from>
    <xdr:to>
      <xdr:col>30</xdr:col>
      <xdr:colOff>409575</xdr:colOff>
      <xdr:row>214</xdr:row>
      <xdr:rowOff>171450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6797086-1E70-4160-8DE8-5BB87DCC98D0}"/>
            </a:ext>
            <a:ext uri="{147F2762-F138-4A5C-976F-8EAC2B608ADB}">
              <a16:predDERef xmlns:a16="http://schemas.microsoft.com/office/drawing/2014/main" pred="{4C7BE2B8-F2D5-4ADE-A2D2-41E5503390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32</xdr:col>
      <xdr:colOff>0</xdr:colOff>
      <xdr:row>197</xdr:row>
      <xdr:rowOff>0</xdr:rowOff>
    </xdr:from>
    <xdr:to>
      <xdr:col>40</xdr:col>
      <xdr:colOff>542925</xdr:colOff>
      <xdr:row>214</xdr:row>
      <xdr:rowOff>171450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90F6752-1954-4CB1-9C48-4927406EDCE5}"/>
            </a:ext>
            <a:ext uri="{147F2762-F138-4A5C-976F-8EAC2B608ADB}">
              <a16:predDERef xmlns:a16="http://schemas.microsoft.com/office/drawing/2014/main" pred="{26797086-1E70-4160-8DE8-5BB87DCC98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41</xdr:col>
      <xdr:colOff>0</xdr:colOff>
      <xdr:row>13</xdr:row>
      <xdr:rowOff>0</xdr:rowOff>
    </xdr:from>
    <xdr:to>
      <xdr:col>49</xdr:col>
      <xdr:colOff>542925</xdr:colOff>
      <xdr:row>28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1A86D73-3BAD-44C5-A2E0-FC30303499AA}"/>
            </a:ext>
            <a:ext uri="{147F2762-F138-4A5C-976F-8EAC2B608ADB}">
              <a16:predDERef xmlns:a16="http://schemas.microsoft.com/office/drawing/2014/main" pred="{C90F6752-1954-4CB1-9C48-4927406EDC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13</xdr:row>
      <xdr:rowOff>0</xdr:rowOff>
    </xdr:from>
    <xdr:to>
      <xdr:col>30</xdr:col>
      <xdr:colOff>409575</xdr:colOff>
      <xdr:row>28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7BF649-93A2-4695-B6AF-9266B46F472A}"/>
            </a:ext>
            <a:ext uri="{147F2762-F138-4A5C-976F-8EAC2B608ADB}">
              <a16:predDERef xmlns:a16="http://schemas.microsoft.com/office/drawing/2014/main" pred="{DCAE3E7C-C227-4FCC-99D1-D6D2B12D7C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0</xdr:colOff>
      <xdr:row>13</xdr:row>
      <xdr:rowOff>0</xdr:rowOff>
    </xdr:from>
    <xdr:to>
      <xdr:col>40</xdr:col>
      <xdr:colOff>542925</xdr:colOff>
      <xdr:row>28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7EC6F0-11D2-470D-8F87-1CC2740F1780}"/>
            </a:ext>
            <a:ext uri="{147F2762-F138-4A5C-976F-8EAC2B608ADB}">
              <a16:predDERef xmlns:a16="http://schemas.microsoft.com/office/drawing/2014/main" pred="{C17BF649-93A2-4695-B6AF-9266B46F47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0</xdr:colOff>
      <xdr:row>59</xdr:row>
      <xdr:rowOff>0</xdr:rowOff>
    </xdr:from>
    <xdr:to>
      <xdr:col>30</xdr:col>
      <xdr:colOff>409575</xdr:colOff>
      <xdr:row>74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8953D70-C978-483D-A468-FD39A96679D1}"/>
            </a:ext>
            <a:ext uri="{147F2762-F138-4A5C-976F-8EAC2B608ADB}">
              <a16:predDERef xmlns:a16="http://schemas.microsoft.com/office/drawing/2014/main" pred="{3D7EC6F0-11D2-470D-8F87-1CC2740F17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35</xdr:col>
      <xdr:colOff>0</xdr:colOff>
      <xdr:row>63</xdr:row>
      <xdr:rowOff>104775</xdr:rowOff>
    </xdr:from>
    <xdr:to>
      <xdr:col>43</xdr:col>
      <xdr:colOff>542925</xdr:colOff>
      <xdr:row>78</xdr:row>
      <xdr:rowOff>104775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74078CB-2B40-400F-8778-6FF2A67FC3CC}"/>
            </a:ext>
            <a:ext uri="{147F2762-F138-4A5C-976F-8EAC2B608ADB}">
              <a16:predDERef xmlns:a16="http://schemas.microsoft.com/office/drawing/2014/main" pred="{98953D70-C978-483D-A468-FD39A96679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32</xdr:col>
      <xdr:colOff>9525</xdr:colOff>
      <xdr:row>105</xdr:row>
      <xdr:rowOff>0</xdr:rowOff>
    </xdr:from>
    <xdr:to>
      <xdr:col>40</xdr:col>
      <xdr:colOff>552450</xdr:colOff>
      <xdr:row>122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064CEBD-93FA-4A14-A1F9-DDC098FCB338}"/>
            </a:ext>
            <a:ext uri="{147F2762-F138-4A5C-976F-8EAC2B608ADB}">
              <a16:predDERef xmlns:a16="http://schemas.microsoft.com/office/drawing/2014/main" pred="{574078CB-2B40-400F-8778-6FF2A67FC3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0</xdr:colOff>
      <xdr:row>105</xdr:row>
      <xdr:rowOff>0</xdr:rowOff>
    </xdr:from>
    <xdr:to>
      <xdr:col>30</xdr:col>
      <xdr:colOff>409575</xdr:colOff>
      <xdr:row>122</xdr:row>
      <xdr:rowOff>171450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D7DC268-4973-4FB3-9637-6E11B5E33AC6}"/>
            </a:ext>
            <a:ext uri="{147F2762-F138-4A5C-976F-8EAC2B608ADB}">
              <a16:predDERef xmlns:a16="http://schemas.microsoft.com/office/drawing/2014/main" pred="{7064CEBD-93FA-4A14-A1F9-DDC098FCB3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32</xdr:col>
      <xdr:colOff>0</xdr:colOff>
      <xdr:row>151</xdr:row>
      <xdr:rowOff>0</xdr:rowOff>
    </xdr:from>
    <xdr:to>
      <xdr:col>40</xdr:col>
      <xdr:colOff>542925</xdr:colOff>
      <xdr:row>168</xdr:row>
      <xdr:rowOff>171450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121D592-7651-4258-9179-111B93F614A8}"/>
            </a:ext>
            <a:ext uri="{147F2762-F138-4A5C-976F-8EAC2B608ADB}">
              <a16:predDERef xmlns:a16="http://schemas.microsoft.com/office/drawing/2014/main" pred="{BD7DC268-4973-4FB3-9637-6E11B5E33A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0</xdr:colOff>
      <xdr:row>151</xdr:row>
      <xdr:rowOff>0</xdr:rowOff>
    </xdr:from>
    <xdr:to>
      <xdr:col>30</xdr:col>
      <xdr:colOff>409575</xdr:colOff>
      <xdr:row>168</xdr:row>
      <xdr:rowOff>171450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8B80FB5-8F02-4779-8363-8E85EA6A9F2D}"/>
            </a:ext>
            <a:ext uri="{147F2762-F138-4A5C-976F-8EAC2B608ADB}">
              <a16:predDERef xmlns:a16="http://schemas.microsoft.com/office/drawing/2014/main" pred="{F121D592-7651-4258-9179-111B93F614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22</xdr:col>
      <xdr:colOff>0</xdr:colOff>
      <xdr:row>197</xdr:row>
      <xdr:rowOff>0</xdr:rowOff>
    </xdr:from>
    <xdr:to>
      <xdr:col>30</xdr:col>
      <xdr:colOff>409575</xdr:colOff>
      <xdr:row>214</xdr:row>
      <xdr:rowOff>171450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D507155-64A1-407A-B41A-732E572C13B3}"/>
            </a:ext>
            <a:ext uri="{147F2762-F138-4A5C-976F-8EAC2B608ADB}">
              <a16:predDERef xmlns:a16="http://schemas.microsoft.com/office/drawing/2014/main" pred="{B8B80FB5-8F02-4779-8363-8E85EA6A9F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32</xdr:col>
      <xdr:colOff>0</xdr:colOff>
      <xdr:row>197</xdr:row>
      <xdr:rowOff>0</xdr:rowOff>
    </xdr:from>
    <xdr:to>
      <xdr:col>40</xdr:col>
      <xdr:colOff>542925</xdr:colOff>
      <xdr:row>214</xdr:row>
      <xdr:rowOff>171450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8B7536D-926C-44D0-BDF9-12509800E125}"/>
            </a:ext>
            <a:ext uri="{147F2762-F138-4A5C-976F-8EAC2B608ADB}">
              <a16:predDERef xmlns:a16="http://schemas.microsoft.com/office/drawing/2014/main" pred="{FD507155-64A1-407A-B41A-732E572C13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41</xdr:col>
      <xdr:colOff>0</xdr:colOff>
      <xdr:row>13</xdr:row>
      <xdr:rowOff>0</xdr:rowOff>
    </xdr:from>
    <xdr:to>
      <xdr:col>49</xdr:col>
      <xdr:colOff>542925</xdr:colOff>
      <xdr:row>28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9DD1455-73E1-4E5F-8405-A264EA85F7F6}"/>
            </a:ext>
            <a:ext uri="{147F2762-F138-4A5C-976F-8EAC2B608ADB}">
              <a16:predDERef xmlns:a16="http://schemas.microsoft.com/office/drawing/2014/main" pred="{D8B7536D-926C-44D0-BDF9-12509800E1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49</xdr:col>
      <xdr:colOff>504825</xdr:colOff>
      <xdr:row>2</xdr:row>
      <xdr:rowOff>28575</xdr:rowOff>
    </xdr:from>
    <xdr:to>
      <xdr:col>61</xdr:col>
      <xdr:colOff>390525</xdr:colOff>
      <xdr:row>28</xdr:row>
      <xdr:rowOff>171450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4465C3E-C1D7-D4B7-3FBF-1A663A7B3E5B}"/>
            </a:ext>
            <a:ext uri="{147F2762-F138-4A5C-976F-8EAC2B608ADB}">
              <a16:predDERef xmlns:a16="http://schemas.microsoft.com/office/drawing/2014/main" pred="{59DD1455-73E1-4E5F-8405-A264EA85F7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13</xdr:row>
      <xdr:rowOff>0</xdr:rowOff>
    </xdr:from>
    <xdr:to>
      <xdr:col>30</xdr:col>
      <xdr:colOff>409575</xdr:colOff>
      <xdr:row>28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FA63D9-7B72-4FDF-9077-DC7F6540FC5B}"/>
            </a:ext>
            <a:ext uri="{147F2762-F138-4A5C-976F-8EAC2B608ADB}">
              <a16:predDERef xmlns:a16="http://schemas.microsoft.com/office/drawing/2014/main" pred="{DCAE3E7C-C227-4FCC-99D1-D6D2B12D7C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0</xdr:colOff>
      <xdr:row>13</xdr:row>
      <xdr:rowOff>0</xdr:rowOff>
    </xdr:from>
    <xdr:to>
      <xdr:col>40</xdr:col>
      <xdr:colOff>542925</xdr:colOff>
      <xdr:row>28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36719A-91BC-4894-8BDD-FC7FA9B22299}"/>
            </a:ext>
            <a:ext uri="{147F2762-F138-4A5C-976F-8EAC2B608ADB}">
              <a16:predDERef xmlns:a16="http://schemas.microsoft.com/office/drawing/2014/main" pred="{28FA63D9-7B72-4FDF-9077-DC7F6540FC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0</xdr:colOff>
      <xdr:row>59</xdr:row>
      <xdr:rowOff>0</xdr:rowOff>
    </xdr:from>
    <xdr:to>
      <xdr:col>30</xdr:col>
      <xdr:colOff>409575</xdr:colOff>
      <xdr:row>74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3EFAEC7-B919-4748-B162-8360C99DD6C3}"/>
            </a:ext>
            <a:ext uri="{147F2762-F138-4A5C-976F-8EAC2B608ADB}">
              <a16:predDERef xmlns:a16="http://schemas.microsoft.com/office/drawing/2014/main" pred="{1B36719A-91BC-4894-8BDD-FC7FA9B222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32</xdr:col>
      <xdr:colOff>0</xdr:colOff>
      <xdr:row>59</xdr:row>
      <xdr:rowOff>0</xdr:rowOff>
    </xdr:from>
    <xdr:to>
      <xdr:col>40</xdr:col>
      <xdr:colOff>542925</xdr:colOff>
      <xdr:row>74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F0F76AD-804E-48AD-9415-BD6E8E3273EF}"/>
            </a:ext>
            <a:ext uri="{147F2762-F138-4A5C-976F-8EAC2B608ADB}">
              <a16:predDERef xmlns:a16="http://schemas.microsoft.com/office/drawing/2014/main" pred="{83EFAEC7-B919-4748-B162-8360C99DD6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32</xdr:col>
      <xdr:colOff>9525</xdr:colOff>
      <xdr:row>105</xdr:row>
      <xdr:rowOff>0</xdr:rowOff>
    </xdr:from>
    <xdr:to>
      <xdr:col>40</xdr:col>
      <xdr:colOff>552450</xdr:colOff>
      <xdr:row>122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484516C-A79A-42FF-A1DD-D0597C9346F9}"/>
            </a:ext>
            <a:ext uri="{147F2762-F138-4A5C-976F-8EAC2B608ADB}">
              <a16:predDERef xmlns:a16="http://schemas.microsoft.com/office/drawing/2014/main" pred="{4F0F76AD-804E-48AD-9415-BD6E8E3273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0</xdr:colOff>
      <xdr:row>105</xdr:row>
      <xdr:rowOff>0</xdr:rowOff>
    </xdr:from>
    <xdr:to>
      <xdr:col>30</xdr:col>
      <xdr:colOff>409575</xdr:colOff>
      <xdr:row>122</xdr:row>
      <xdr:rowOff>171450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0CBB9BB-32DD-4BC2-B0D4-18E5FC3CC258}"/>
            </a:ext>
            <a:ext uri="{147F2762-F138-4A5C-976F-8EAC2B608ADB}">
              <a16:predDERef xmlns:a16="http://schemas.microsoft.com/office/drawing/2014/main" pred="{E484516C-A79A-42FF-A1DD-D0597C9346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32</xdr:col>
      <xdr:colOff>0</xdr:colOff>
      <xdr:row>151</xdr:row>
      <xdr:rowOff>0</xdr:rowOff>
    </xdr:from>
    <xdr:to>
      <xdr:col>40</xdr:col>
      <xdr:colOff>542925</xdr:colOff>
      <xdr:row>168</xdr:row>
      <xdr:rowOff>171450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39C3FA1-9A23-484E-B1B8-CA18F780C327}"/>
            </a:ext>
            <a:ext uri="{147F2762-F138-4A5C-976F-8EAC2B608ADB}">
              <a16:predDERef xmlns:a16="http://schemas.microsoft.com/office/drawing/2014/main" pred="{50CBB9BB-32DD-4BC2-B0D4-18E5FC3CC2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0</xdr:colOff>
      <xdr:row>151</xdr:row>
      <xdr:rowOff>0</xdr:rowOff>
    </xdr:from>
    <xdr:to>
      <xdr:col>30</xdr:col>
      <xdr:colOff>409575</xdr:colOff>
      <xdr:row>168</xdr:row>
      <xdr:rowOff>171450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ACAFD78-1453-4F11-BAC9-681BAF75B5CD}"/>
            </a:ext>
            <a:ext uri="{147F2762-F138-4A5C-976F-8EAC2B608ADB}">
              <a16:predDERef xmlns:a16="http://schemas.microsoft.com/office/drawing/2014/main" pred="{A39C3FA1-9A23-484E-B1B8-CA18F780C3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22</xdr:col>
      <xdr:colOff>0</xdr:colOff>
      <xdr:row>197</xdr:row>
      <xdr:rowOff>0</xdr:rowOff>
    </xdr:from>
    <xdr:to>
      <xdr:col>30</xdr:col>
      <xdr:colOff>409575</xdr:colOff>
      <xdr:row>214</xdr:row>
      <xdr:rowOff>171450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E53EBFA-CDFF-4158-8A70-7A42044C615C}"/>
            </a:ext>
            <a:ext uri="{147F2762-F138-4A5C-976F-8EAC2B608ADB}">
              <a16:predDERef xmlns:a16="http://schemas.microsoft.com/office/drawing/2014/main" pred="{7ACAFD78-1453-4F11-BAC9-681BAF75B5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32</xdr:col>
      <xdr:colOff>0</xdr:colOff>
      <xdr:row>197</xdr:row>
      <xdr:rowOff>0</xdr:rowOff>
    </xdr:from>
    <xdr:to>
      <xdr:col>40</xdr:col>
      <xdr:colOff>542925</xdr:colOff>
      <xdr:row>214</xdr:row>
      <xdr:rowOff>171450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8FD8DA1-36E8-4B01-AEB7-50C1B7494E4D}"/>
            </a:ext>
            <a:ext uri="{147F2762-F138-4A5C-976F-8EAC2B608ADB}">
              <a16:predDERef xmlns:a16="http://schemas.microsoft.com/office/drawing/2014/main" pred="{1E53EBFA-CDFF-4158-8A70-7A42044C61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41</xdr:col>
      <xdr:colOff>0</xdr:colOff>
      <xdr:row>13</xdr:row>
      <xdr:rowOff>0</xdr:rowOff>
    </xdr:from>
    <xdr:to>
      <xdr:col>49</xdr:col>
      <xdr:colOff>542925</xdr:colOff>
      <xdr:row>28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E89AAAF-7A52-430D-8FF7-BC4A651B66DE}"/>
            </a:ext>
            <a:ext uri="{147F2762-F138-4A5C-976F-8EAC2B608ADB}">
              <a16:predDERef xmlns:a16="http://schemas.microsoft.com/office/drawing/2014/main" pred="{E8FD8DA1-36E8-4B01-AEB7-50C1B7494E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49</xdr:col>
      <xdr:colOff>314325</xdr:colOff>
      <xdr:row>2</xdr:row>
      <xdr:rowOff>133350</xdr:rowOff>
    </xdr:from>
    <xdr:to>
      <xdr:col>65</xdr:col>
      <xdr:colOff>76200</xdr:colOff>
      <xdr:row>30</xdr:row>
      <xdr:rowOff>0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id="{1532381B-0E81-4435-A95E-A5E4C8A6B828}"/>
            </a:ext>
            <a:ext uri="{147F2762-F138-4A5C-976F-8EAC2B608ADB}">
              <a16:predDERef xmlns:a16="http://schemas.microsoft.com/office/drawing/2014/main" pred="{EE89AAAF-7A52-430D-8FF7-BC4A651B66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40</xdr:col>
      <xdr:colOff>781050</xdr:colOff>
      <xdr:row>48</xdr:row>
      <xdr:rowOff>228600</xdr:rowOff>
    </xdr:from>
    <xdr:to>
      <xdr:col>53</xdr:col>
      <xdr:colOff>809625</xdr:colOff>
      <xdr:row>74</xdr:row>
      <xdr:rowOff>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50C54D6F-5241-C324-3182-791D88C22497}"/>
            </a:ext>
            <a:ext uri="{147F2762-F138-4A5C-976F-8EAC2B608ADB}">
              <a16:predDERef xmlns:a16="http://schemas.microsoft.com/office/drawing/2014/main" pred="{1532381B-0E81-4435-A95E-A5E4C8A6B8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13</xdr:row>
      <xdr:rowOff>0</xdr:rowOff>
    </xdr:from>
    <xdr:to>
      <xdr:col>30</xdr:col>
      <xdr:colOff>409575</xdr:colOff>
      <xdr:row>28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3BD81F-D7F3-470A-8727-2D9486CDABCC}"/>
            </a:ext>
            <a:ext uri="{147F2762-F138-4A5C-976F-8EAC2B608ADB}">
              <a16:predDERef xmlns:a16="http://schemas.microsoft.com/office/drawing/2014/main" pred="{DCAE3E7C-C227-4FCC-99D1-D6D2B12D7C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0</xdr:colOff>
      <xdr:row>13</xdr:row>
      <xdr:rowOff>0</xdr:rowOff>
    </xdr:from>
    <xdr:to>
      <xdr:col>40</xdr:col>
      <xdr:colOff>542925</xdr:colOff>
      <xdr:row>28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74D3ED-1256-4A79-A8D3-7CE821411FDD}"/>
            </a:ext>
            <a:ext uri="{147F2762-F138-4A5C-976F-8EAC2B608ADB}">
              <a16:predDERef xmlns:a16="http://schemas.microsoft.com/office/drawing/2014/main" pred="{FC3BD81F-D7F3-470A-8727-2D9486CDAB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561975</xdr:colOff>
      <xdr:row>60</xdr:row>
      <xdr:rowOff>9525</xdr:rowOff>
    </xdr:from>
    <xdr:to>
      <xdr:col>31</xdr:col>
      <xdr:colOff>133350</xdr:colOff>
      <xdr:row>75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8E13383-2DCD-4B9A-9157-7045BA9FA7AB}"/>
            </a:ext>
            <a:ext uri="{147F2762-F138-4A5C-976F-8EAC2B608ADB}">
              <a16:predDERef xmlns:a16="http://schemas.microsoft.com/office/drawing/2014/main" pred="{4174D3ED-1256-4A79-A8D3-7CE821411F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32</xdr:col>
      <xdr:colOff>638175</xdr:colOff>
      <xdr:row>60</xdr:row>
      <xdr:rowOff>200025</xdr:rowOff>
    </xdr:from>
    <xdr:to>
      <xdr:col>41</xdr:col>
      <xdr:colOff>342900</xdr:colOff>
      <xdr:row>75</xdr:row>
      <xdr:rowOff>200025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535A65B-2577-4EA6-8D97-9D4E1FCD0AFC}"/>
            </a:ext>
            <a:ext uri="{147F2762-F138-4A5C-976F-8EAC2B608ADB}">
              <a16:predDERef xmlns:a16="http://schemas.microsoft.com/office/drawing/2014/main" pred="{D8E13383-2DCD-4B9A-9157-7045BA9FA7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32</xdr:col>
      <xdr:colOff>476250</xdr:colOff>
      <xdr:row>105</xdr:row>
      <xdr:rowOff>171450</xdr:rowOff>
    </xdr:from>
    <xdr:to>
      <xdr:col>41</xdr:col>
      <xdr:colOff>180975</xdr:colOff>
      <xdr:row>123</xdr:row>
      <xdr:rowOff>142875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F51F9F3-001E-424F-BB2E-39F5E0679818}"/>
            </a:ext>
            <a:ext uri="{147F2762-F138-4A5C-976F-8EAC2B608ADB}">
              <a16:predDERef xmlns:a16="http://schemas.microsoft.com/office/drawing/2014/main" pred="{B535A65B-2577-4EA6-8D97-9D4E1FCD0A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781050</xdr:colOff>
      <xdr:row>105</xdr:row>
      <xdr:rowOff>152400</xdr:rowOff>
    </xdr:from>
    <xdr:to>
      <xdr:col>31</xdr:col>
      <xdr:colOff>352425</xdr:colOff>
      <xdr:row>123</xdr:row>
      <xdr:rowOff>123825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CF56DB2-5B28-4196-ADB0-A138ACBE1A62}"/>
            </a:ext>
            <a:ext uri="{147F2762-F138-4A5C-976F-8EAC2B608ADB}">
              <a16:predDERef xmlns:a16="http://schemas.microsoft.com/office/drawing/2014/main" pred="{AF51F9F3-001E-424F-BB2E-39F5E06798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32</xdr:col>
      <xdr:colOff>0</xdr:colOff>
      <xdr:row>151</xdr:row>
      <xdr:rowOff>0</xdr:rowOff>
    </xdr:from>
    <xdr:to>
      <xdr:col>40</xdr:col>
      <xdr:colOff>542925</xdr:colOff>
      <xdr:row>168</xdr:row>
      <xdr:rowOff>171450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966B67C-6E1A-4BA6-9294-D6D3EB4FB75A}"/>
            </a:ext>
            <a:ext uri="{147F2762-F138-4A5C-976F-8EAC2B608ADB}">
              <a16:predDERef xmlns:a16="http://schemas.microsoft.com/office/drawing/2014/main" pred="{DCF56DB2-5B28-4196-ADB0-A138ACBE1A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0</xdr:colOff>
      <xdr:row>151</xdr:row>
      <xdr:rowOff>0</xdr:rowOff>
    </xdr:from>
    <xdr:to>
      <xdr:col>30</xdr:col>
      <xdr:colOff>409575</xdr:colOff>
      <xdr:row>168</xdr:row>
      <xdr:rowOff>171450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512479B-1327-4056-B0E7-5DFB32306B52}"/>
            </a:ext>
            <a:ext uri="{147F2762-F138-4A5C-976F-8EAC2B608ADB}">
              <a16:predDERef xmlns:a16="http://schemas.microsoft.com/office/drawing/2014/main" pred="{4966B67C-6E1A-4BA6-9294-D6D3EB4FB7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22</xdr:col>
      <xdr:colOff>0</xdr:colOff>
      <xdr:row>197</xdr:row>
      <xdr:rowOff>0</xdr:rowOff>
    </xdr:from>
    <xdr:to>
      <xdr:col>30</xdr:col>
      <xdr:colOff>409575</xdr:colOff>
      <xdr:row>214</xdr:row>
      <xdr:rowOff>171450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B5314D8-99FB-45F5-8C85-590F5AE2C285}"/>
            </a:ext>
            <a:ext uri="{147F2762-F138-4A5C-976F-8EAC2B608ADB}">
              <a16:predDERef xmlns:a16="http://schemas.microsoft.com/office/drawing/2014/main" pred="{D512479B-1327-4056-B0E7-5DFB32306B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32</xdr:col>
      <xdr:colOff>0</xdr:colOff>
      <xdr:row>197</xdr:row>
      <xdr:rowOff>0</xdr:rowOff>
    </xdr:from>
    <xdr:to>
      <xdr:col>40</xdr:col>
      <xdr:colOff>542925</xdr:colOff>
      <xdr:row>214</xdr:row>
      <xdr:rowOff>171450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DBC4CE5-0FAD-4C1D-9130-BC24D438C141}"/>
            </a:ext>
            <a:ext uri="{147F2762-F138-4A5C-976F-8EAC2B608ADB}">
              <a16:predDERef xmlns:a16="http://schemas.microsoft.com/office/drawing/2014/main" pred="{BB5314D8-99FB-45F5-8C85-590F5AE2C2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41</xdr:col>
      <xdr:colOff>0</xdr:colOff>
      <xdr:row>13</xdr:row>
      <xdr:rowOff>0</xdr:rowOff>
    </xdr:from>
    <xdr:to>
      <xdr:col>49</xdr:col>
      <xdr:colOff>542925</xdr:colOff>
      <xdr:row>28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DC1D38C-95BE-47A5-94C7-6C99CDC0771D}"/>
            </a:ext>
            <a:ext uri="{147F2762-F138-4A5C-976F-8EAC2B608ADB}">
              <a16:predDERef xmlns:a16="http://schemas.microsoft.com/office/drawing/2014/main" pred="{3DBC4CE5-0FAD-4C1D-9130-BC24D438C1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49</xdr:col>
      <xdr:colOff>314325</xdr:colOff>
      <xdr:row>2</xdr:row>
      <xdr:rowOff>133350</xdr:rowOff>
    </xdr:from>
    <xdr:to>
      <xdr:col>65</xdr:col>
      <xdr:colOff>76200</xdr:colOff>
      <xdr:row>30</xdr:row>
      <xdr:rowOff>0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id="{7CAD1ADD-B643-4A82-B4B7-B7FB2D146EEC}"/>
            </a:ext>
            <a:ext uri="{147F2762-F138-4A5C-976F-8EAC2B608ADB}">
              <a16:predDERef xmlns:a16="http://schemas.microsoft.com/office/drawing/2014/main" pred="{8DC1D38C-95BE-47A5-94C7-6C99CDC077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13</xdr:row>
      <xdr:rowOff>0</xdr:rowOff>
    </xdr:from>
    <xdr:to>
      <xdr:col>30</xdr:col>
      <xdr:colOff>409575</xdr:colOff>
      <xdr:row>28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4E994-BAE7-4C36-AA89-33D6EE64D8C8}"/>
            </a:ext>
            <a:ext uri="{147F2762-F138-4A5C-976F-8EAC2B608ADB}">
              <a16:predDERef xmlns:a16="http://schemas.microsoft.com/office/drawing/2014/main" pred="{DCAE3E7C-C227-4FCC-99D1-D6D2B12D7C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0</xdr:colOff>
      <xdr:row>13</xdr:row>
      <xdr:rowOff>0</xdr:rowOff>
    </xdr:from>
    <xdr:to>
      <xdr:col>40</xdr:col>
      <xdr:colOff>542925</xdr:colOff>
      <xdr:row>28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0D92D8A-5932-4060-9AB1-E46189E6CDFA}"/>
            </a:ext>
            <a:ext uri="{147F2762-F138-4A5C-976F-8EAC2B608ADB}">
              <a16:predDERef xmlns:a16="http://schemas.microsoft.com/office/drawing/2014/main" pred="{AC64E994-BAE7-4C36-AA89-33D6EE64D8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561975</xdr:colOff>
      <xdr:row>60</xdr:row>
      <xdr:rowOff>9525</xdr:rowOff>
    </xdr:from>
    <xdr:to>
      <xdr:col>31</xdr:col>
      <xdr:colOff>133350</xdr:colOff>
      <xdr:row>75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E71F49-739F-4D60-9C56-9E104FDE32B9}"/>
            </a:ext>
            <a:ext uri="{147F2762-F138-4A5C-976F-8EAC2B608ADB}">
              <a16:predDERef xmlns:a16="http://schemas.microsoft.com/office/drawing/2014/main" pred="{D0D92D8A-5932-4060-9AB1-E46189E6CD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32</xdr:col>
      <xdr:colOff>638175</xdr:colOff>
      <xdr:row>60</xdr:row>
      <xdr:rowOff>200025</xdr:rowOff>
    </xdr:from>
    <xdr:to>
      <xdr:col>41</xdr:col>
      <xdr:colOff>342900</xdr:colOff>
      <xdr:row>75</xdr:row>
      <xdr:rowOff>200025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25BA5D6-54D5-470E-83E2-B73D900BE1C4}"/>
            </a:ext>
            <a:ext uri="{147F2762-F138-4A5C-976F-8EAC2B608ADB}">
              <a16:predDERef xmlns:a16="http://schemas.microsoft.com/office/drawing/2014/main" pred="{8DE71F49-739F-4D60-9C56-9E104FDE32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32</xdr:col>
      <xdr:colOff>476250</xdr:colOff>
      <xdr:row>105</xdr:row>
      <xdr:rowOff>171450</xdr:rowOff>
    </xdr:from>
    <xdr:to>
      <xdr:col>41</xdr:col>
      <xdr:colOff>180975</xdr:colOff>
      <xdr:row>123</xdr:row>
      <xdr:rowOff>142875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A8B89ED-3726-4CAA-8FE9-C8F96C57340C}"/>
            </a:ext>
            <a:ext uri="{147F2762-F138-4A5C-976F-8EAC2B608ADB}">
              <a16:predDERef xmlns:a16="http://schemas.microsoft.com/office/drawing/2014/main" pred="{425BA5D6-54D5-470E-83E2-B73D900BE1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781050</xdr:colOff>
      <xdr:row>105</xdr:row>
      <xdr:rowOff>152400</xdr:rowOff>
    </xdr:from>
    <xdr:to>
      <xdr:col>31</xdr:col>
      <xdr:colOff>352425</xdr:colOff>
      <xdr:row>123</xdr:row>
      <xdr:rowOff>123825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6629E89-F8B0-431E-B3D9-BD3CFE0C724F}"/>
            </a:ext>
            <a:ext uri="{147F2762-F138-4A5C-976F-8EAC2B608ADB}">
              <a16:predDERef xmlns:a16="http://schemas.microsoft.com/office/drawing/2014/main" pred="{BA8B89ED-3726-4CAA-8FE9-C8F96C5734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32</xdr:col>
      <xdr:colOff>0</xdr:colOff>
      <xdr:row>151</xdr:row>
      <xdr:rowOff>0</xdr:rowOff>
    </xdr:from>
    <xdr:to>
      <xdr:col>40</xdr:col>
      <xdr:colOff>542925</xdr:colOff>
      <xdr:row>168</xdr:row>
      <xdr:rowOff>171450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95309E1-779F-4BB9-9A29-7493BAFC2490}"/>
            </a:ext>
            <a:ext uri="{147F2762-F138-4A5C-976F-8EAC2B608ADB}">
              <a16:predDERef xmlns:a16="http://schemas.microsoft.com/office/drawing/2014/main" pred="{B6629E89-F8B0-431E-B3D9-BD3CFE0C72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0</xdr:colOff>
      <xdr:row>151</xdr:row>
      <xdr:rowOff>0</xdr:rowOff>
    </xdr:from>
    <xdr:to>
      <xdr:col>30</xdr:col>
      <xdr:colOff>409575</xdr:colOff>
      <xdr:row>168</xdr:row>
      <xdr:rowOff>171450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645B6E7-BECE-494B-BC4E-563B6DDB87E7}"/>
            </a:ext>
            <a:ext uri="{147F2762-F138-4A5C-976F-8EAC2B608ADB}">
              <a16:predDERef xmlns:a16="http://schemas.microsoft.com/office/drawing/2014/main" pred="{995309E1-779F-4BB9-9A29-7493BAFC24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22</xdr:col>
      <xdr:colOff>0</xdr:colOff>
      <xdr:row>197</xdr:row>
      <xdr:rowOff>0</xdr:rowOff>
    </xdr:from>
    <xdr:to>
      <xdr:col>30</xdr:col>
      <xdr:colOff>409575</xdr:colOff>
      <xdr:row>214</xdr:row>
      <xdr:rowOff>171450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4CE15A2-E5CD-473E-8B20-CA14E29778E1}"/>
            </a:ext>
            <a:ext uri="{147F2762-F138-4A5C-976F-8EAC2B608ADB}">
              <a16:predDERef xmlns:a16="http://schemas.microsoft.com/office/drawing/2014/main" pred="{0645B6E7-BECE-494B-BC4E-563B6DDB87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32</xdr:col>
      <xdr:colOff>0</xdr:colOff>
      <xdr:row>197</xdr:row>
      <xdr:rowOff>0</xdr:rowOff>
    </xdr:from>
    <xdr:to>
      <xdr:col>40</xdr:col>
      <xdr:colOff>542925</xdr:colOff>
      <xdr:row>214</xdr:row>
      <xdr:rowOff>171450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B8B3865-502D-421A-93E4-DB3D4F9F031C}"/>
            </a:ext>
            <a:ext uri="{147F2762-F138-4A5C-976F-8EAC2B608ADB}">
              <a16:predDERef xmlns:a16="http://schemas.microsoft.com/office/drawing/2014/main" pred="{34CE15A2-E5CD-473E-8B20-CA14E29778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41</xdr:col>
      <xdr:colOff>0</xdr:colOff>
      <xdr:row>13</xdr:row>
      <xdr:rowOff>0</xdr:rowOff>
    </xdr:from>
    <xdr:to>
      <xdr:col>49</xdr:col>
      <xdr:colOff>542925</xdr:colOff>
      <xdr:row>28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6AEB81A-FFD0-4BEA-85B6-9DA4A43DB1CE}"/>
            </a:ext>
            <a:ext uri="{147F2762-F138-4A5C-976F-8EAC2B608ADB}">
              <a16:predDERef xmlns:a16="http://schemas.microsoft.com/office/drawing/2014/main" pred="{EB8B3865-502D-421A-93E4-DB3D4F9F03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13</xdr:row>
      <xdr:rowOff>0</xdr:rowOff>
    </xdr:from>
    <xdr:to>
      <xdr:col>30</xdr:col>
      <xdr:colOff>409575</xdr:colOff>
      <xdr:row>28</xdr:row>
      <xdr:rowOff>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F76ED12-395B-40E7-AB20-E5A253E2EC96}"/>
            </a:ext>
            <a:ext uri="{147F2762-F138-4A5C-976F-8EAC2B608ADB}">
              <a16:predDERef xmlns:a16="http://schemas.microsoft.com/office/drawing/2014/main" pred="{DCAE3E7C-C227-4FCC-99D1-D6D2B12D7C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0</xdr:colOff>
      <xdr:row>13</xdr:row>
      <xdr:rowOff>0</xdr:rowOff>
    </xdr:from>
    <xdr:to>
      <xdr:col>40</xdr:col>
      <xdr:colOff>542925</xdr:colOff>
      <xdr:row>28</xdr:row>
      <xdr:rowOff>0</xdr:rowOff>
    </xdr:to>
    <xdr:graphicFrame macro="">
      <xdr:nvGraphicFramePr>
        <xdr:cNvPr id="50" name="Chart 2">
          <a:extLst>
            <a:ext uri="{FF2B5EF4-FFF2-40B4-BE49-F238E27FC236}">
              <a16:creationId xmlns:a16="http://schemas.microsoft.com/office/drawing/2014/main" id="{495E3E60-31D2-4B09-9E37-7DF2C4503C9F}"/>
            </a:ext>
            <a:ext uri="{147F2762-F138-4A5C-976F-8EAC2B608ADB}">
              <a16:predDERef xmlns:a16="http://schemas.microsoft.com/office/drawing/2014/main" pred="{0F76ED12-395B-40E7-AB20-E5A253E2EC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561975</xdr:colOff>
      <xdr:row>60</xdr:row>
      <xdr:rowOff>9525</xdr:rowOff>
    </xdr:from>
    <xdr:to>
      <xdr:col>31</xdr:col>
      <xdr:colOff>133350</xdr:colOff>
      <xdr:row>75</xdr:row>
      <xdr:rowOff>9525</xdr:rowOff>
    </xdr:to>
    <xdr:graphicFrame macro="">
      <xdr:nvGraphicFramePr>
        <xdr:cNvPr id="54" name="Chart 3">
          <a:extLst>
            <a:ext uri="{FF2B5EF4-FFF2-40B4-BE49-F238E27FC236}">
              <a16:creationId xmlns:a16="http://schemas.microsoft.com/office/drawing/2014/main" id="{61BD0187-6D4F-4CF1-B337-97DB71074D84}"/>
            </a:ext>
            <a:ext uri="{147F2762-F138-4A5C-976F-8EAC2B608ADB}">
              <a16:predDERef xmlns:a16="http://schemas.microsoft.com/office/drawing/2014/main" pred="{495E3E60-31D2-4B09-9E37-7DF2C4503C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32</xdr:col>
      <xdr:colOff>638175</xdr:colOff>
      <xdr:row>60</xdr:row>
      <xdr:rowOff>200025</xdr:rowOff>
    </xdr:from>
    <xdr:to>
      <xdr:col>41</xdr:col>
      <xdr:colOff>342900</xdr:colOff>
      <xdr:row>75</xdr:row>
      <xdr:rowOff>200025</xdr:rowOff>
    </xdr:to>
    <xdr:graphicFrame macro="">
      <xdr:nvGraphicFramePr>
        <xdr:cNvPr id="58" name="Chart 4">
          <a:extLst>
            <a:ext uri="{FF2B5EF4-FFF2-40B4-BE49-F238E27FC236}">
              <a16:creationId xmlns:a16="http://schemas.microsoft.com/office/drawing/2014/main" id="{D500A3F1-BE87-4844-B787-0D1B271924FE}"/>
            </a:ext>
            <a:ext uri="{147F2762-F138-4A5C-976F-8EAC2B608ADB}">
              <a16:predDERef xmlns:a16="http://schemas.microsoft.com/office/drawing/2014/main" pred="{61BD0187-6D4F-4CF1-B337-97DB71074D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32</xdr:col>
      <xdr:colOff>476250</xdr:colOff>
      <xdr:row>105</xdr:row>
      <xdr:rowOff>171450</xdr:rowOff>
    </xdr:from>
    <xdr:to>
      <xdr:col>41</xdr:col>
      <xdr:colOff>180975</xdr:colOff>
      <xdr:row>123</xdr:row>
      <xdr:rowOff>142875</xdr:rowOff>
    </xdr:to>
    <xdr:graphicFrame macro="">
      <xdr:nvGraphicFramePr>
        <xdr:cNvPr id="66" name="Chart 5">
          <a:extLst>
            <a:ext uri="{FF2B5EF4-FFF2-40B4-BE49-F238E27FC236}">
              <a16:creationId xmlns:a16="http://schemas.microsoft.com/office/drawing/2014/main" id="{307E2A44-E15C-4A3E-8DEE-630336DA4072}"/>
            </a:ext>
            <a:ext uri="{147F2762-F138-4A5C-976F-8EAC2B608ADB}">
              <a16:predDERef xmlns:a16="http://schemas.microsoft.com/office/drawing/2014/main" pred="{D500A3F1-BE87-4844-B787-0D1B271924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781050</xdr:colOff>
      <xdr:row>105</xdr:row>
      <xdr:rowOff>152400</xdr:rowOff>
    </xdr:from>
    <xdr:to>
      <xdr:col>31</xdr:col>
      <xdr:colOff>352425</xdr:colOff>
      <xdr:row>123</xdr:row>
      <xdr:rowOff>123825</xdr:rowOff>
    </xdr:to>
    <xdr:graphicFrame macro="">
      <xdr:nvGraphicFramePr>
        <xdr:cNvPr id="65" name="Chart 6">
          <a:extLst>
            <a:ext uri="{FF2B5EF4-FFF2-40B4-BE49-F238E27FC236}">
              <a16:creationId xmlns:a16="http://schemas.microsoft.com/office/drawing/2014/main" id="{23B78CD9-BE23-4E25-9937-997E01E9FC2E}"/>
            </a:ext>
            <a:ext uri="{147F2762-F138-4A5C-976F-8EAC2B608ADB}">
              <a16:predDERef xmlns:a16="http://schemas.microsoft.com/office/drawing/2014/main" pred="{307E2A44-E15C-4A3E-8DEE-630336DA40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32</xdr:col>
      <xdr:colOff>0</xdr:colOff>
      <xdr:row>151</xdr:row>
      <xdr:rowOff>0</xdr:rowOff>
    </xdr:from>
    <xdr:to>
      <xdr:col>40</xdr:col>
      <xdr:colOff>542925</xdr:colOff>
      <xdr:row>168</xdr:row>
      <xdr:rowOff>171450</xdr:rowOff>
    </xdr:to>
    <xdr:graphicFrame macro="">
      <xdr:nvGraphicFramePr>
        <xdr:cNvPr id="70" name="Chart 7">
          <a:extLst>
            <a:ext uri="{FF2B5EF4-FFF2-40B4-BE49-F238E27FC236}">
              <a16:creationId xmlns:a16="http://schemas.microsoft.com/office/drawing/2014/main" id="{FD49BB23-3A0D-493C-B815-B7A81FE39F34}"/>
            </a:ext>
            <a:ext uri="{147F2762-F138-4A5C-976F-8EAC2B608ADB}">
              <a16:predDERef xmlns:a16="http://schemas.microsoft.com/office/drawing/2014/main" pred="{23B78CD9-BE23-4E25-9937-997E01E9FC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0</xdr:colOff>
      <xdr:row>151</xdr:row>
      <xdr:rowOff>0</xdr:rowOff>
    </xdr:from>
    <xdr:to>
      <xdr:col>30</xdr:col>
      <xdr:colOff>409575</xdr:colOff>
      <xdr:row>168</xdr:row>
      <xdr:rowOff>171450</xdr:rowOff>
    </xdr:to>
    <xdr:graphicFrame macro="">
      <xdr:nvGraphicFramePr>
        <xdr:cNvPr id="74" name="Chart 8">
          <a:extLst>
            <a:ext uri="{FF2B5EF4-FFF2-40B4-BE49-F238E27FC236}">
              <a16:creationId xmlns:a16="http://schemas.microsoft.com/office/drawing/2014/main" id="{2A1268F3-5B65-4C6B-A3FB-FF51714DB8AD}"/>
            </a:ext>
            <a:ext uri="{147F2762-F138-4A5C-976F-8EAC2B608ADB}">
              <a16:predDERef xmlns:a16="http://schemas.microsoft.com/office/drawing/2014/main" pred="{FD49BB23-3A0D-493C-B815-B7A81FE39F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22</xdr:col>
      <xdr:colOff>0</xdr:colOff>
      <xdr:row>197</xdr:row>
      <xdr:rowOff>0</xdr:rowOff>
    </xdr:from>
    <xdr:to>
      <xdr:col>30</xdr:col>
      <xdr:colOff>409575</xdr:colOff>
      <xdr:row>214</xdr:row>
      <xdr:rowOff>171450</xdr:rowOff>
    </xdr:to>
    <xdr:graphicFrame macro="">
      <xdr:nvGraphicFramePr>
        <xdr:cNvPr id="78" name="Chart 9">
          <a:extLst>
            <a:ext uri="{FF2B5EF4-FFF2-40B4-BE49-F238E27FC236}">
              <a16:creationId xmlns:a16="http://schemas.microsoft.com/office/drawing/2014/main" id="{FA889197-A41C-4740-BC48-32CBAED465D7}"/>
            </a:ext>
            <a:ext uri="{147F2762-F138-4A5C-976F-8EAC2B608ADB}">
              <a16:predDERef xmlns:a16="http://schemas.microsoft.com/office/drawing/2014/main" pred="{2A1268F3-5B65-4C6B-A3FB-FF51714DB8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32</xdr:col>
      <xdr:colOff>0</xdr:colOff>
      <xdr:row>197</xdr:row>
      <xdr:rowOff>0</xdr:rowOff>
    </xdr:from>
    <xdr:to>
      <xdr:col>40</xdr:col>
      <xdr:colOff>542925</xdr:colOff>
      <xdr:row>214</xdr:row>
      <xdr:rowOff>171450</xdr:rowOff>
    </xdr:to>
    <xdr:graphicFrame macro="">
      <xdr:nvGraphicFramePr>
        <xdr:cNvPr id="82" name="Chart 10">
          <a:extLst>
            <a:ext uri="{FF2B5EF4-FFF2-40B4-BE49-F238E27FC236}">
              <a16:creationId xmlns:a16="http://schemas.microsoft.com/office/drawing/2014/main" id="{E942F254-BA89-47C1-8B18-610A7AD2510C}"/>
            </a:ext>
            <a:ext uri="{147F2762-F138-4A5C-976F-8EAC2B608ADB}">
              <a16:predDERef xmlns:a16="http://schemas.microsoft.com/office/drawing/2014/main" pred="{FA889197-A41C-4740-BC48-32CBAED465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41</xdr:col>
      <xdr:colOff>0</xdr:colOff>
      <xdr:row>13</xdr:row>
      <xdr:rowOff>0</xdr:rowOff>
    </xdr:from>
    <xdr:to>
      <xdr:col>49</xdr:col>
      <xdr:colOff>542925</xdr:colOff>
      <xdr:row>28</xdr:row>
      <xdr:rowOff>0</xdr:rowOff>
    </xdr:to>
    <xdr:graphicFrame macro="">
      <xdr:nvGraphicFramePr>
        <xdr:cNvPr id="88" name="Chart 11">
          <a:extLst>
            <a:ext uri="{FF2B5EF4-FFF2-40B4-BE49-F238E27FC236}">
              <a16:creationId xmlns:a16="http://schemas.microsoft.com/office/drawing/2014/main" id="{A0D23BAD-0839-442F-B4D2-CEE6AE949B6F}"/>
            </a:ext>
            <a:ext uri="{147F2762-F138-4A5C-976F-8EAC2B608ADB}">
              <a16:predDERef xmlns:a16="http://schemas.microsoft.com/office/drawing/2014/main" pred="{E942F254-BA89-47C1-8B18-610A7AD251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49</xdr:col>
      <xdr:colOff>314325</xdr:colOff>
      <xdr:row>2</xdr:row>
      <xdr:rowOff>133350</xdr:rowOff>
    </xdr:from>
    <xdr:to>
      <xdr:col>65</xdr:col>
      <xdr:colOff>76200</xdr:colOff>
      <xdr:row>30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639237C-D208-BF0F-A1E0-F9253ACC053F}"/>
            </a:ext>
            <a:ext uri="{147F2762-F138-4A5C-976F-8EAC2B608ADB}">
              <a16:predDERef xmlns:a16="http://schemas.microsoft.com/office/drawing/2014/main" pred="{A0D23BAD-0839-442F-B4D2-CEE6AE949B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</xdr:row>
      <xdr:rowOff>152400</xdr:rowOff>
    </xdr:from>
    <xdr:to>
      <xdr:col>19</xdr:col>
      <xdr:colOff>600075</xdr:colOff>
      <xdr:row>27</xdr:row>
      <xdr:rowOff>19050</xdr:rowOff>
    </xdr:to>
    <xdr:graphicFrame macro="">
      <xdr:nvGraphicFramePr>
        <xdr:cNvPr id="22" name="Chart 3">
          <a:extLst>
            <a:ext uri="{FF2B5EF4-FFF2-40B4-BE49-F238E27FC236}">
              <a16:creationId xmlns:a16="http://schemas.microsoft.com/office/drawing/2014/main" id="{E545A11F-1CF6-D5A6-5F58-4CC79E1378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32</xdr:row>
      <xdr:rowOff>142875</xdr:rowOff>
    </xdr:from>
    <xdr:to>
      <xdr:col>20</xdr:col>
      <xdr:colOff>19050</xdr:colOff>
      <xdr:row>54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B1051E4-399E-464F-B11B-51BBA85AFDF8}"/>
            </a:ext>
            <a:ext uri="{147F2762-F138-4A5C-976F-8EAC2B608ADB}">
              <a16:predDERef xmlns:a16="http://schemas.microsoft.com/office/drawing/2014/main" pred="{E545A11F-1CF6-D5A6-5F58-4CC79E1378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32</xdr:row>
      <xdr:rowOff>0</xdr:rowOff>
    </xdr:from>
    <xdr:to>
      <xdr:col>31</xdr:col>
      <xdr:colOff>19050</xdr:colOff>
      <xdr:row>54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72AD91-EE4C-499C-8F1A-1D974F0EBE88}"/>
            </a:ext>
            <a:ext uri="{147F2762-F138-4A5C-976F-8EAC2B608ADB}">
              <a16:predDERef xmlns:a16="http://schemas.microsoft.com/office/drawing/2014/main" pred="{FB1051E4-399E-464F-B11B-51BBA85AFD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0</xdr:colOff>
      <xdr:row>4</xdr:row>
      <xdr:rowOff>0</xdr:rowOff>
    </xdr:from>
    <xdr:to>
      <xdr:col>30</xdr:col>
      <xdr:colOff>600075</xdr:colOff>
      <xdr:row>27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0E9CC37-569E-4874-A019-CE42B657B3B0}"/>
            </a:ext>
            <a:ext uri="{147F2762-F138-4A5C-976F-8EAC2B608ADB}">
              <a16:predDERef xmlns:a16="http://schemas.microsoft.com/office/drawing/2014/main" pred="{1B72AD91-EE4C-499C-8F1A-1D974F0EBE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L102"/>
  <sheetViews>
    <sheetView workbookViewId="0">
      <selection activeCell="C23" sqref="C23"/>
    </sheetView>
  </sheetViews>
  <sheetFormatPr defaultColWidth="12.5703125" defaultRowHeight="15.75" customHeight="1"/>
  <cols>
    <col min="2" max="2" width="14.140625" customWidth="1"/>
  </cols>
  <sheetData>
    <row r="1" spans="1:12" ht="18.75" customHeight="1">
      <c r="A1" s="1"/>
      <c r="B1" s="1"/>
      <c r="C1" s="183" t="s">
        <v>0</v>
      </c>
      <c r="D1" s="225"/>
      <c r="E1" s="225"/>
      <c r="F1" s="225"/>
      <c r="G1" s="226"/>
      <c r="H1" s="2"/>
      <c r="I1" s="1"/>
    </row>
    <row r="2" spans="1:12" ht="18.75" customHeight="1">
      <c r="A2" s="1"/>
      <c r="B2" s="183" t="s">
        <v>1</v>
      </c>
      <c r="C2" s="225"/>
      <c r="D2" s="226"/>
      <c r="E2" s="1"/>
      <c r="F2" s="184" t="s">
        <v>2</v>
      </c>
      <c r="G2" s="225"/>
      <c r="H2" s="226"/>
      <c r="I2" s="1"/>
    </row>
    <row r="3" spans="1:12" ht="18.75" customHeight="1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</row>
    <row r="4" spans="1:12" ht="18.75" customHeight="1">
      <c r="A4" s="185" t="s">
        <v>12</v>
      </c>
      <c r="B4" s="4" t="s">
        <v>13</v>
      </c>
      <c r="C4" s="5"/>
      <c r="D4" s="5"/>
      <c r="E4" s="4"/>
      <c r="F4" s="4"/>
      <c r="G4" s="4"/>
      <c r="H4" s="4"/>
      <c r="I4" s="4"/>
    </row>
    <row r="5" spans="1:12" ht="18.75" customHeight="1">
      <c r="A5" s="227"/>
      <c r="B5" s="4" t="s">
        <v>14</v>
      </c>
      <c r="C5" s="5"/>
      <c r="D5" s="5"/>
      <c r="E5" s="4"/>
      <c r="F5" s="4"/>
      <c r="G5" s="4"/>
      <c r="H5" s="4"/>
      <c r="I5" s="4"/>
    </row>
    <row r="6" spans="1:12" ht="18.75" customHeight="1">
      <c r="A6" s="227"/>
      <c r="B6" s="4" t="s">
        <v>15</v>
      </c>
      <c r="C6" s="5"/>
      <c r="D6" s="5"/>
      <c r="E6" s="4"/>
      <c r="F6" s="4"/>
      <c r="G6" s="4"/>
      <c r="H6" s="4"/>
      <c r="I6" s="4"/>
    </row>
    <row r="7" spans="1:12" ht="18.75" customHeight="1">
      <c r="A7" s="227"/>
      <c r="B7" s="4" t="s">
        <v>16</v>
      </c>
      <c r="C7" s="5"/>
      <c r="D7" s="5"/>
      <c r="E7" s="4"/>
      <c r="F7" s="4"/>
      <c r="G7" s="4"/>
      <c r="H7" s="4"/>
      <c r="I7" s="4"/>
    </row>
    <row r="8" spans="1:12" ht="18.75" customHeight="1">
      <c r="A8" s="227"/>
      <c r="B8" s="4" t="s">
        <v>17</v>
      </c>
      <c r="C8" s="5"/>
      <c r="D8" s="5"/>
      <c r="E8" s="4"/>
      <c r="F8" s="4"/>
      <c r="G8" s="4"/>
      <c r="H8" s="4"/>
      <c r="I8" s="4"/>
    </row>
    <row r="9" spans="1:12" ht="18.75" customHeight="1">
      <c r="A9" s="228"/>
      <c r="B9" s="4" t="s">
        <v>18</v>
      </c>
      <c r="C9" s="5"/>
      <c r="D9" s="5"/>
      <c r="E9" s="4"/>
      <c r="F9" s="4"/>
      <c r="G9" s="4"/>
      <c r="H9" s="4"/>
      <c r="I9" s="4"/>
    </row>
    <row r="10" spans="1:12" ht="18.75" customHeight="1">
      <c r="A10" s="186" t="s">
        <v>19</v>
      </c>
      <c r="B10" s="6" t="s">
        <v>13</v>
      </c>
      <c r="C10" s="5"/>
      <c r="D10" s="5"/>
      <c r="E10" s="6"/>
      <c r="F10" s="6"/>
      <c r="G10" s="6"/>
      <c r="H10" s="6"/>
      <c r="I10" s="6"/>
    </row>
    <row r="11" spans="1:12" ht="18.75" customHeight="1">
      <c r="A11" s="227"/>
      <c r="B11" s="6" t="s">
        <v>14</v>
      </c>
      <c r="C11" s="5"/>
      <c r="D11" s="5"/>
      <c r="E11" s="6"/>
      <c r="F11" s="6"/>
      <c r="G11" s="6"/>
      <c r="H11" s="6"/>
      <c r="I11" s="6"/>
      <c r="L11" s="7"/>
    </row>
    <row r="12" spans="1:12" ht="18.75" customHeight="1">
      <c r="A12" s="227"/>
      <c r="B12" s="6" t="s">
        <v>15</v>
      </c>
      <c r="C12" s="5"/>
      <c r="D12" s="5"/>
      <c r="E12" s="6"/>
      <c r="F12" s="6"/>
      <c r="G12" s="6"/>
      <c r="H12" s="6"/>
      <c r="I12" s="6"/>
      <c r="L12" s="7"/>
    </row>
    <row r="13" spans="1:12" ht="18.75" customHeight="1">
      <c r="A13" s="227"/>
      <c r="B13" s="6" t="s">
        <v>16</v>
      </c>
      <c r="C13" s="5"/>
      <c r="D13" s="5"/>
      <c r="E13" s="6"/>
      <c r="F13" s="6"/>
      <c r="G13" s="6"/>
      <c r="H13" s="6"/>
      <c r="I13" s="6"/>
      <c r="L13" s="7"/>
    </row>
    <row r="14" spans="1:12" ht="18.75" customHeight="1">
      <c r="A14" s="227"/>
      <c r="B14" s="6" t="s">
        <v>17</v>
      </c>
      <c r="C14" s="5"/>
      <c r="D14" s="5"/>
      <c r="E14" s="6"/>
      <c r="F14" s="6"/>
      <c r="G14" s="6"/>
      <c r="H14" s="6"/>
      <c r="I14" s="6"/>
      <c r="L14" s="7"/>
    </row>
    <row r="15" spans="1:12" ht="18.75" customHeight="1">
      <c r="A15" s="228"/>
      <c r="B15" s="6" t="s">
        <v>18</v>
      </c>
      <c r="C15" s="5"/>
      <c r="D15" s="5"/>
      <c r="E15" s="6"/>
      <c r="F15" s="6"/>
      <c r="G15" s="6"/>
      <c r="H15" s="6"/>
      <c r="I15" s="6"/>
      <c r="L15" s="7"/>
    </row>
    <row r="16" spans="1:12" ht="18.75" customHeight="1">
      <c r="A16" s="185" t="s">
        <v>20</v>
      </c>
      <c r="B16" s="4" t="s">
        <v>13</v>
      </c>
      <c r="C16" s="4"/>
      <c r="D16" s="5"/>
      <c r="E16" s="4"/>
      <c r="F16" s="4"/>
      <c r="G16" s="4"/>
      <c r="H16" s="4"/>
      <c r="I16" s="4"/>
      <c r="L16" s="7"/>
    </row>
    <row r="17" spans="1:12" ht="18.75" customHeight="1">
      <c r="A17" s="227"/>
      <c r="B17" s="4" t="s">
        <v>14</v>
      </c>
      <c r="C17" s="4"/>
      <c r="D17" s="5"/>
      <c r="E17" s="4"/>
      <c r="F17" s="4"/>
      <c r="G17" s="4"/>
      <c r="H17" s="4"/>
      <c r="I17" s="4"/>
      <c r="L17" s="7"/>
    </row>
    <row r="18" spans="1:12" ht="18.75" customHeight="1">
      <c r="A18" s="227"/>
      <c r="B18" s="4" t="s">
        <v>15</v>
      </c>
      <c r="C18" s="4"/>
      <c r="D18" s="5"/>
      <c r="E18" s="4"/>
      <c r="F18" s="4"/>
      <c r="G18" s="4"/>
      <c r="H18" s="4"/>
      <c r="I18" s="4"/>
      <c r="L18" s="7"/>
    </row>
    <row r="19" spans="1:12" ht="18.75" customHeight="1">
      <c r="A19" s="227"/>
      <c r="B19" s="4" t="s">
        <v>16</v>
      </c>
      <c r="C19" s="4"/>
      <c r="D19" s="5"/>
      <c r="E19" s="4"/>
      <c r="F19" s="4"/>
      <c r="G19" s="4"/>
      <c r="H19" s="4"/>
      <c r="I19" s="4"/>
      <c r="L19" s="7"/>
    </row>
    <row r="20" spans="1:12" ht="18.75" customHeight="1">
      <c r="A20" s="227"/>
      <c r="B20" s="4" t="s">
        <v>17</v>
      </c>
      <c r="C20" s="4"/>
      <c r="D20" s="5"/>
      <c r="E20" s="4"/>
      <c r="F20" s="4"/>
      <c r="G20" s="4"/>
      <c r="H20" s="4"/>
      <c r="I20" s="4"/>
      <c r="L20" s="7"/>
    </row>
    <row r="21" spans="1:12" ht="18.75" customHeight="1">
      <c r="A21" s="228"/>
      <c r="B21" s="4" t="s">
        <v>18</v>
      </c>
      <c r="C21" s="4"/>
      <c r="D21" s="5"/>
      <c r="E21" s="4"/>
      <c r="F21" s="4"/>
      <c r="G21" s="4"/>
      <c r="H21" s="4"/>
      <c r="I21" s="4"/>
      <c r="L21" s="7"/>
    </row>
    <row r="22" spans="1:12" ht="18.75" customHeight="1">
      <c r="A22" s="186" t="s">
        <v>21</v>
      </c>
      <c r="B22" s="6" t="s">
        <v>13</v>
      </c>
      <c r="C22" s="6"/>
      <c r="D22" s="6"/>
      <c r="E22" s="6"/>
      <c r="F22" s="6"/>
      <c r="G22" s="6"/>
      <c r="H22" s="6"/>
      <c r="I22" s="6"/>
      <c r="L22" s="7"/>
    </row>
    <row r="23" spans="1:12" ht="18.75" customHeight="1">
      <c r="A23" s="227"/>
      <c r="B23" s="6" t="s">
        <v>14</v>
      </c>
      <c r="C23" s="6"/>
      <c r="D23" s="6"/>
      <c r="E23" s="6"/>
      <c r="F23" s="6"/>
      <c r="G23" s="6"/>
      <c r="H23" s="6"/>
      <c r="I23" s="6"/>
      <c r="L23" s="7"/>
    </row>
    <row r="24" spans="1:12" ht="18.75" customHeight="1">
      <c r="A24" s="227"/>
      <c r="B24" s="6" t="s">
        <v>15</v>
      </c>
      <c r="C24" s="6"/>
      <c r="D24" s="6"/>
      <c r="E24" s="6"/>
      <c r="F24" s="6"/>
      <c r="G24" s="6"/>
      <c r="H24" s="6"/>
      <c r="I24" s="6"/>
      <c r="L24" s="7"/>
    </row>
    <row r="25" spans="1:12" ht="18.75" customHeight="1">
      <c r="A25" s="227"/>
      <c r="B25" s="6" t="s">
        <v>16</v>
      </c>
      <c r="C25" s="6"/>
      <c r="D25" s="6"/>
      <c r="E25" s="6"/>
      <c r="F25" s="6"/>
      <c r="G25" s="6"/>
      <c r="H25" s="6"/>
      <c r="I25" s="6"/>
      <c r="L25" s="7"/>
    </row>
    <row r="26" spans="1:12" ht="18.75" customHeight="1">
      <c r="A26" s="227"/>
      <c r="B26" s="6" t="s">
        <v>17</v>
      </c>
      <c r="C26" s="6"/>
      <c r="D26" s="6"/>
      <c r="E26" s="6"/>
      <c r="F26" s="6"/>
      <c r="G26" s="6"/>
      <c r="H26" s="6"/>
      <c r="I26" s="6"/>
      <c r="L26" s="7"/>
    </row>
    <row r="27" spans="1:12" ht="18.75" customHeight="1">
      <c r="A27" s="228"/>
      <c r="B27" s="6" t="s">
        <v>18</v>
      </c>
      <c r="C27" s="6"/>
      <c r="D27" s="6"/>
      <c r="E27" s="6"/>
      <c r="F27" s="6"/>
      <c r="G27" s="6"/>
      <c r="H27" s="6"/>
      <c r="I27" s="6"/>
      <c r="L27" s="7"/>
    </row>
    <row r="28" spans="1:12" ht="18.75" customHeight="1">
      <c r="A28" s="185" t="s">
        <v>22</v>
      </c>
      <c r="B28" s="4" t="s">
        <v>13</v>
      </c>
      <c r="C28" s="4"/>
      <c r="D28" s="4"/>
      <c r="E28" s="4"/>
      <c r="F28" s="4"/>
      <c r="G28" s="4"/>
      <c r="H28" s="4"/>
      <c r="I28" s="4"/>
      <c r="L28" s="7"/>
    </row>
    <row r="29" spans="1:12" ht="18.75" customHeight="1">
      <c r="A29" s="227"/>
      <c r="B29" s="4" t="s">
        <v>14</v>
      </c>
      <c r="C29" s="4"/>
      <c r="D29" s="4"/>
      <c r="E29" s="4"/>
      <c r="F29" s="4"/>
      <c r="G29" s="4"/>
      <c r="H29" s="4"/>
      <c r="I29" s="4"/>
      <c r="L29" s="7"/>
    </row>
    <row r="30" spans="1:12" ht="18.75" customHeight="1">
      <c r="A30" s="227"/>
      <c r="B30" s="4" t="s">
        <v>15</v>
      </c>
      <c r="C30" s="4"/>
      <c r="D30" s="4"/>
      <c r="E30" s="4"/>
      <c r="F30" s="4"/>
      <c r="G30" s="4"/>
      <c r="H30" s="4"/>
      <c r="I30" s="4"/>
      <c r="L30" s="7"/>
    </row>
    <row r="31" spans="1:12" ht="18.75" customHeight="1">
      <c r="A31" s="227"/>
      <c r="B31" s="4" t="s">
        <v>16</v>
      </c>
      <c r="C31" s="4"/>
      <c r="D31" s="4"/>
      <c r="E31" s="4"/>
      <c r="F31" s="4"/>
      <c r="G31" s="4"/>
      <c r="H31" s="4"/>
      <c r="I31" s="4"/>
      <c r="L31" s="7"/>
    </row>
    <row r="32" spans="1:12" ht="18.75" customHeight="1">
      <c r="A32" s="227"/>
      <c r="B32" s="4" t="s">
        <v>17</v>
      </c>
      <c r="C32" s="4"/>
      <c r="D32" s="4"/>
      <c r="E32" s="4"/>
      <c r="F32" s="4"/>
      <c r="G32" s="4"/>
      <c r="H32" s="4"/>
      <c r="I32" s="4"/>
      <c r="L32" s="7"/>
    </row>
    <row r="33" spans="1:12" ht="18.75" customHeight="1">
      <c r="A33" s="228"/>
      <c r="B33" s="4" t="s">
        <v>18</v>
      </c>
      <c r="C33" s="4"/>
      <c r="D33" s="4"/>
      <c r="E33" s="4"/>
      <c r="F33" s="4"/>
      <c r="G33" s="4"/>
      <c r="H33" s="4"/>
      <c r="I33" s="4"/>
      <c r="L33" s="7"/>
    </row>
    <row r="34" spans="1:12" ht="18.75" customHeight="1">
      <c r="A34" s="186" t="s">
        <v>23</v>
      </c>
      <c r="B34" s="6" t="s">
        <v>13</v>
      </c>
      <c r="C34" s="8"/>
      <c r="D34" s="8"/>
      <c r="E34" s="8"/>
      <c r="F34" s="8"/>
      <c r="G34" s="8"/>
      <c r="H34" s="8"/>
      <c r="I34" s="8"/>
      <c r="L34" s="7"/>
    </row>
    <row r="35" spans="1:12" ht="18.75" customHeight="1">
      <c r="A35" s="227"/>
      <c r="B35" s="6" t="s">
        <v>14</v>
      </c>
      <c r="C35" s="8"/>
      <c r="D35" s="8"/>
      <c r="E35" s="8"/>
      <c r="F35" s="8"/>
      <c r="G35" s="8"/>
      <c r="H35" s="8"/>
      <c r="I35" s="8"/>
      <c r="L35" s="7"/>
    </row>
    <row r="36" spans="1:12" ht="18.75" customHeight="1">
      <c r="A36" s="227"/>
      <c r="B36" s="6" t="s">
        <v>15</v>
      </c>
      <c r="C36" s="8"/>
      <c r="D36" s="8"/>
      <c r="E36" s="8"/>
      <c r="F36" s="8"/>
      <c r="G36" s="8"/>
      <c r="H36" s="8"/>
      <c r="I36" s="8"/>
      <c r="L36" s="7"/>
    </row>
    <row r="37" spans="1:12" ht="18.75" customHeight="1">
      <c r="A37" s="227"/>
      <c r="B37" s="6" t="s">
        <v>16</v>
      </c>
      <c r="C37" s="8"/>
      <c r="D37" s="8"/>
      <c r="E37" s="8"/>
      <c r="F37" s="8"/>
      <c r="G37" s="8"/>
      <c r="H37" s="8"/>
      <c r="I37" s="8"/>
      <c r="L37" s="7"/>
    </row>
    <row r="38" spans="1:12" ht="18.75" customHeight="1">
      <c r="A38" s="227"/>
      <c r="B38" s="6" t="s">
        <v>17</v>
      </c>
      <c r="C38" s="8"/>
      <c r="D38" s="8"/>
      <c r="E38" s="8"/>
      <c r="F38" s="8"/>
      <c r="G38" s="8"/>
      <c r="H38" s="8"/>
      <c r="I38" s="8"/>
      <c r="L38" s="7"/>
    </row>
    <row r="39" spans="1:12" ht="18.75" customHeight="1">
      <c r="A39" s="228"/>
      <c r="B39" s="6" t="s">
        <v>18</v>
      </c>
      <c r="C39" s="8"/>
      <c r="D39" s="8"/>
      <c r="E39" s="8"/>
      <c r="F39" s="8"/>
      <c r="G39" s="8"/>
      <c r="H39" s="8"/>
      <c r="I39" s="8"/>
      <c r="L39" s="7"/>
    </row>
    <row r="40" spans="1:12" ht="18.75" customHeight="1">
      <c r="A40" s="185" t="s">
        <v>24</v>
      </c>
      <c r="B40" s="4" t="s">
        <v>13</v>
      </c>
      <c r="C40" s="9"/>
      <c r="D40" s="9"/>
      <c r="E40" s="9"/>
      <c r="F40" s="9"/>
      <c r="G40" s="9"/>
      <c r="H40" s="9"/>
      <c r="I40" s="9"/>
    </row>
    <row r="41" spans="1:12" ht="18.75" customHeight="1">
      <c r="A41" s="227"/>
      <c r="B41" s="4" t="s">
        <v>14</v>
      </c>
      <c r="C41" s="9"/>
      <c r="D41" s="9"/>
      <c r="E41" s="9"/>
      <c r="F41" s="9"/>
      <c r="G41" s="9"/>
      <c r="H41" s="9"/>
      <c r="I41" s="9"/>
    </row>
    <row r="42" spans="1:12" ht="18.75" customHeight="1">
      <c r="A42" s="227"/>
      <c r="B42" s="4" t="s">
        <v>15</v>
      </c>
      <c r="C42" s="9"/>
      <c r="D42" s="9"/>
      <c r="E42" s="9"/>
      <c r="F42" s="9"/>
      <c r="G42" s="9"/>
      <c r="H42" s="9"/>
      <c r="I42" s="9"/>
    </row>
    <row r="43" spans="1:12" ht="18.75" customHeight="1">
      <c r="A43" s="227"/>
      <c r="B43" s="4" t="s">
        <v>16</v>
      </c>
      <c r="C43" s="9"/>
      <c r="D43" s="9"/>
      <c r="E43" s="9"/>
      <c r="F43" s="9"/>
      <c r="G43" s="9"/>
      <c r="H43" s="9"/>
      <c r="I43" s="9"/>
    </row>
    <row r="44" spans="1:12" ht="18.75" customHeight="1">
      <c r="A44" s="227"/>
      <c r="B44" s="4" t="s">
        <v>17</v>
      </c>
      <c r="C44" s="9"/>
      <c r="D44" s="9"/>
      <c r="E44" s="9"/>
      <c r="F44" s="9"/>
      <c r="G44" s="9"/>
      <c r="H44" s="9"/>
      <c r="I44" s="9"/>
    </row>
    <row r="45" spans="1:12" ht="18.75" customHeight="1">
      <c r="A45" s="228"/>
      <c r="B45" s="4" t="s">
        <v>18</v>
      </c>
      <c r="C45" s="9"/>
      <c r="D45" s="9"/>
      <c r="E45" s="9"/>
      <c r="F45" s="9"/>
      <c r="G45" s="9"/>
      <c r="H45" s="9"/>
      <c r="I45" s="9"/>
    </row>
    <row r="46" spans="1:12" ht="18.75" customHeight="1">
      <c r="A46" s="186" t="s">
        <v>25</v>
      </c>
      <c r="B46" s="6" t="s">
        <v>13</v>
      </c>
      <c r="C46" s="8"/>
      <c r="D46" s="8"/>
      <c r="E46" s="8"/>
      <c r="F46" s="8"/>
      <c r="G46" s="8"/>
      <c r="H46" s="8"/>
      <c r="I46" s="8"/>
    </row>
    <row r="47" spans="1:12" ht="18.75" customHeight="1">
      <c r="A47" s="227"/>
      <c r="B47" s="6" t="s">
        <v>14</v>
      </c>
      <c r="C47" s="8"/>
      <c r="D47" s="8"/>
      <c r="E47" s="8"/>
      <c r="F47" s="8"/>
      <c r="G47" s="8"/>
      <c r="H47" s="8"/>
      <c r="I47" s="8"/>
    </row>
    <row r="48" spans="1:12" ht="18.75" customHeight="1">
      <c r="A48" s="227"/>
      <c r="B48" s="6" t="s">
        <v>15</v>
      </c>
      <c r="C48" s="8"/>
      <c r="D48" s="8"/>
      <c r="E48" s="8"/>
      <c r="F48" s="8"/>
      <c r="G48" s="8"/>
      <c r="H48" s="8"/>
      <c r="I48" s="8"/>
    </row>
    <row r="49" spans="1:9" ht="18.75" customHeight="1">
      <c r="A49" s="227"/>
      <c r="B49" s="6" t="s">
        <v>16</v>
      </c>
      <c r="C49" s="8"/>
      <c r="D49" s="8"/>
      <c r="E49" s="8"/>
      <c r="F49" s="8"/>
      <c r="G49" s="8"/>
      <c r="H49" s="8"/>
      <c r="I49" s="8"/>
    </row>
    <row r="50" spans="1:9" ht="18.75" customHeight="1">
      <c r="A50" s="227"/>
      <c r="B50" s="6" t="s">
        <v>17</v>
      </c>
      <c r="C50" s="8"/>
      <c r="D50" s="8"/>
      <c r="E50" s="8"/>
      <c r="F50" s="8"/>
      <c r="G50" s="8"/>
      <c r="H50" s="8"/>
      <c r="I50" s="8"/>
    </row>
    <row r="51" spans="1:9" ht="18.75" customHeight="1">
      <c r="A51" s="228"/>
      <c r="B51" s="6" t="s">
        <v>18</v>
      </c>
      <c r="C51" s="8"/>
      <c r="D51" s="8"/>
      <c r="E51" s="8"/>
      <c r="F51" s="8"/>
      <c r="G51" s="8"/>
      <c r="H51" s="8"/>
      <c r="I51" s="8"/>
    </row>
    <row r="52" spans="1:9" ht="18.75" customHeight="1">
      <c r="A52" s="1"/>
      <c r="B52" s="1"/>
      <c r="C52" s="1"/>
      <c r="D52" s="1"/>
      <c r="E52" s="1"/>
      <c r="F52" s="2"/>
      <c r="G52" s="2"/>
      <c r="H52" s="2"/>
      <c r="I52" s="1"/>
    </row>
    <row r="53" spans="1:9" ht="18.75" customHeight="1">
      <c r="A53" s="1"/>
      <c r="B53" s="183" t="s">
        <v>26</v>
      </c>
      <c r="C53" s="225"/>
      <c r="D53" s="226"/>
      <c r="E53" s="1"/>
      <c r="F53" s="184" t="s">
        <v>2</v>
      </c>
      <c r="G53" s="225"/>
      <c r="H53" s="226"/>
      <c r="I53" s="1"/>
    </row>
    <row r="54" spans="1:9" ht="18.75" customHeight="1">
      <c r="A54" s="3" t="s">
        <v>3</v>
      </c>
      <c r="B54" s="3" t="s">
        <v>4</v>
      </c>
      <c r="C54" s="3" t="s">
        <v>5</v>
      </c>
      <c r="D54" s="3" t="s">
        <v>6</v>
      </c>
      <c r="E54" s="3" t="s">
        <v>7</v>
      </c>
      <c r="F54" s="3" t="s">
        <v>8</v>
      </c>
      <c r="G54" s="3" t="s">
        <v>9</v>
      </c>
      <c r="H54" s="3" t="s">
        <v>10</v>
      </c>
      <c r="I54" s="3" t="s">
        <v>11</v>
      </c>
    </row>
    <row r="55" spans="1:9" ht="18.75" customHeight="1">
      <c r="A55" s="185" t="s">
        <v>27</v>
      </c>
      <c r="B55" s="4" t="s">
        <v>13</v>
      </c>
      <c r="C55" s="9"/>
      <c r="D55" s="9"/>
      <c r="E55" s="9"/>
      <c r="F55" s="9"/>
      <c r="G55" s="9"/>
      <c r="H55" s="9"/>
      <c r="I55" s="9"/>
    </row>
    <row r="56" spans="1:9" ht="18.75" customHeight="1">
      <c r="A56" s="227"/>
      <c r="B56" s="4" t="s">
        <v>14</v>
      </c>
      <c r="C56" s="9"/>
      <c r="D56" s="9"/>
      <c r="E56" s="9"/>
      <c r="F56" s="9"/>
      <c r="G56" s="9"/>
      <c r="H56" s="9"/>
      <c r="I56" s="9"/>
    </row>
    <row r="57" spans="1:9" ht="18.75" customHeight="1">
      <c r="A57" s="227"/>
      <c r="B57" s="4" t="s">
        <v>15</v>
      </c>
      <c r="C57" s="9"/>
      <c r="D57" s="9"/>
      <c r="E57" s="9"/>
      <c r="F57" s="9"/>
      <c r="G57" s="9"/>
      <c r="H57" s="9"/>
      <c r="I57" s="9"/>
    </row>
    <row r="58" spans="1:9" ht="18.75" customHeight="1">
      <c r="A58" s="227"/>
      <c r="B58" s="4" t="s">
        <v>16</v>
      </c>
      <c r="C58" s="9"/>
      <c r="D58" s="9"/>
      <c r="E58" s="9"/>
      <c r="F58" s="9"/>
      <c r="G58" s="9"/>
      <c r="H58" s="9"/>
      <c r="I58" s="9"/>
    </row>
    <row r="59" spans="1:9" ht="18.75" customHeight="1">
      <c r="A59" s="227"/>
      <c r="B59" s="4" t="s">
        <v>17</v>
      </c>
      <c r="C59" s="9"/>
      <c r="D59" s="9"/>
      <c r="E59" s="9"/>
      <c r="F59" s="9"/>
      <c r="G59" s="9"/>
      <c r="H59" s="9"/>
      <c r="I59" s="9"/>
    </row>
    <row r="60" spans="1:9" ht="18.75" customHeight="1">
      <c r="A60" s="228"/>
      <c r="B60" s="4" t="s">
        <v>18</v>
      </c>
      <c r="C60" s="9"/>
      <c r="D60" s="9"/>
      <c r="E60" s="9"/>
      <c r="F60" s="9"/>
      <c r="G60" s="9"/>
      <c r="H60" s="9"/>
      <c r="I60" s="9"/>
    </row>
    <row r="61" spans="1:9" ht="18.75" customHeight="1">
      <c r="A61" s="186" t="s">
        <v>28</v>
      </c>
      <c r="B61" s="6" t="s">
        <v>13</v>
      </c>
      <c r="C61" s="8"/>
      <c r="D61" s="8"/>
      <c r="E61" s="8"/>
      <c r="F61" s="8"/>
      <c r="G61" s="8"/>
      <c r="H61" s="8"/>
      <c r="I61" s="8"/>
    </row>
    <row r="62" spans="1:9" ht="18.75" customHeight="1">
      <c r="A62" s="227"/>
      <c r="B62" s="6" t="s">
        <v>14</v>
      </c>
      <c r="C62" s="8"/>
      <c r="D62" s="8"/>
      <c r="E62" s="8"/>
      <c r="F62" s="8"/>
      <c r="G62" s="8"/>
      <c r="H62" s="8"/>
      <c r="I62" s="8"/>
    </row>
    <row r="63" spans="1:9" ht="18.75" customHeight="1">
      <c r="A63" s="227"/>
      <c r="B63" s="6" t="s">
        <v>15</v>
      </c>
      <c r="C63" s="8"/>
      <c r="D63" s="8"/>
      <c r="E63" s="8"/>
      <c r="F63" s="8"/>
      <c r="G63" s="8"/>
      <c r="H63" s="8"/>
      <c r="I63" s="8"/>
    </row>
    <row r="64" spans="1:9" ht="18.75" customHeight="1">
      <c r="A64" s="227"/>
      <c r="B64" s="6" t="s">
        <v>16</v>
      </c>
      <c r="C64" s="8"/>
      <c r="D64" s="8"/>
      <c r="E64" s="8"/>
      <c r="F64" s="8"/>
      <c r="G64" s="8"/>
      <c r="H64" s="8"/>
      <c r="I64" s="8"/>
    </row>
    <row r="65" spans="1:9" ht="18.75" customHeight="1">
      <c r="A65" s="227"/>
      <c r="B65" s="6" t="s">
        <v>17</v>
      </c>
      <c r="C65" s="8"/>
      <c r="D65" s="8"/>
      <c r="E65" s="8"/>
      <c r="F65" s="8"/>
      <c r="G65" s="8"/>
      <c r="H65" s="8"/>
      <c r="I65" s="8"/>
    </row>
    <row r="66" spans="1:9" ht="18.75" customHeight="1">
      <c r="A66" s="228"/>
      <c r="B66" s="6" t="s">
        <v>18</v>
      </c>
      <c r="C66" s="8"/>
      <c r="D66" s="8"/>
      <c r="E66" s="8"/>
      <c r="F66" s="8"/>
      <c r="G66" s="8"/>
      <c r="H66" s="8"/>
      <c r="I66" s="8"/>
    </row>
    <row r="67" spans="1:9" ht="18.75" customHeight="1">
      <c r="A67" s="185" t="s">
        <v>29</v>
      </c>
      <c r="B67" s="4" t="s">
        <v>13</v>
      </c>
      <c r="C67" s="9"/>
      <c r="D67" s="9"/>
      <c r="E67" s="9"/>
      <c r="F67" s="9"/>
      <c r="G67" s="9"/>
      <c r="H67" s="9"/>
      <c r="I67" s="9"/>
    </row>
    <row r="68" spans="1:9" ht="18.75" customHeight="1">
      <c r="A68" s="227"/>
      <c r="B68" s="4" t="s">
        <v>14</v>
      </c>
      <c r="C68" s="9"/>
      <c r="D68" s="9"/>
      <c r="E68" s="9"/>
      <c r="F68" s="9"/>
      <c r="G68" s="9"/>
      <c r="H68" s="9"/>
      <c r="I68" s="9"/>
    </row>
    <row r="69" spans="1:9" ht="18.75" customHeight="1">
      <c r="A69" s="227"/>
      <c r="B69" s="4" t="s">
        <v>15</v>
      </c>
      <c r="C69" s="9"/>
      <c r="D69" s="9"/>
      <c r="E69" s="9"/>
      <c r="F69" s="9"/>
      <c r="G69" s="9"/>
      <c r="H69" s="9"/>
      <c r="I69" s="9"/>
    </row>
    <row r="70" spans="1:9" ht="18.75" customHeight="1">
      <c r="A70" s="227"/>
      <c r="B70" s="4" t="s">
        <v>16</v>
      </c>
      <c r="C70" s="9"/>
      <c r="D70" s="9"/>
      <c r="E70" s="9"/>
      <c r="F70" s="9"/>
      <c r="G70" s="9"/>
      <c r="H70" s="9"/>
      <c r="I70" s="9"/>
    </row>
    <row r="71" spans="1:9" ht="18.75" customHeight="1">
      <c r="A71" s="227"/>
      <c r="B71" s="4" t="s">
        <v>17</v>
      </c>
      <c r="C71" s="9"/>
      <c r="D71" s="9"/>
      <c r="E71" s="9"/>
      <c r="F71" s="9"/>
      <c r="G71" s="9"/>
      <c r="H71" s="9"/>
      <c r="I71" s="9"/>
    </row>
    <row r="72" spans="1:9" ht="18.75" customHeight="1">
      <c r="A72" s="228"/>
      <c r="B72" s="4" t="s">
        <v>18</v>
      </c>
      <c r="C72" s="9"/>
      <c r="D72" s="9"/>
      <c r="E72" s="9"/>
      <c r="F72" s="9"/>
      <c r="G72" s="9"/>
      <c r="H72" s="9"/>
      <c r="I72" s="9"/>
    </row>
    <row r="73" spans="1:9" ht="18.75" customHeight="1">
      <c r="A73" s="186" t="s">
        <v>30</v>
      </c>
      <c r="B73" s="6" t="s">
        <v>13</v>
      </c>
      <c r="C73" s="8"/>
      <c r="D73" s="8"/>
      <c r="E73" s="8"/>
      <c r="F73" s="8"/>
      <c r="G73" s="8"/>
      <c r="H73" s="8"/>
      <c r="I73" s="8"/>
    </row>
    <row r="74" spans="1:9" ht="18.75" customHeight="1">
      <c r="A74" s="227"/>
      <c r="B74" s="6" t="s">
        <v>14</v>
      </c>
      <c r="C74" s="8"/>
      <c r="D74" s="8"/>
      <c r="E74" s="8"/>
      <c r="F74" s="8"/>
      <c r="G74" s="8"/>
      <c r="H74" s="8"/>
      <c r="I74" s="8"/>
    </row>
    <row r="75" spans="1:9" ht="18.75" customHeight="1">
      <c r="A75" s="227"/>
      <c r="B75" s="6" t="s">
        <v>15</v>
      </c>
      <c r="C75" s="8"/>
      <c r="D75" s="8"/>
      <c r="E75" s="8"/>
      <c r="F75" s="8"/>
      <c r="G75" s="8"/>
      <c r="H75" s="8"/>
      <c r="I75" s="8"/>
    </row>
    <row r="76" spans="1:9" ht="18.75" customHeight="1">
      <c r="A76" s="227"/>
      <c r="B76" s="6" t="s">
        <v>16</v>
      </c>
      <c r="C76" s="8"/>
      <c r="D76" s="8"/>
      <c r="E76" s="8"/>
      <c r="F76" s="8"/>
      <c r="G76" s="8"/>
      <c r="H76" s="8"/>
      <c r="I76" s="8"/>
    </row>
    <row r="77" spans="1:9" ht="18.75" customHeight="1">
      <c r="A77" s="227"/>
      <c r="B77" s="6" t="s">
        <v>17</v>
      </c>
      <c r="C77" s="8"/>
      <c r="D77" s="8"/>
      <c r="E77" s="8"/>
      <c r="F77" s="8"/>
      <c r="G77" s="8"/>
      <c r="H77" s="8"/>
      <c r="I77" s="8"/>
    </row>
    <row r="78" spans="1:9" ht="18.75" customHeight="1">
      <c r="A78" s="228"/>
      <c r="B78" s="6" t="s">
        <v>18</v>
      </c>
      <c r="C78" s="8"/>
      <c r="D78" s="8"/>
      <c r="E78" s="8"/>
      <c r="F78" s="8"/>
      <c r="G78" s="8"/>
      <c r="H78" s="8"/>
      <c r="I78" s="8"/>
    </row>
    <row r="79" spans="1:9" ht="18.75" customHeight="1">
      <c r="A79" s="185" t="s">
        <v>31</v>
      </c>
      <c r="B79" s="4" t="s">
        <v>13</v>
      </c>
      <c r="C79" s="4"/>
      <c r="D79" s="5"/>
      <c r="E79" s="9"/>
      <c r="F79" s="9"/>
      <c r="G79" s="9"/>
      <c r="H79" s="9"/>
      <c r="I79" s="9"/>
    </row>
    <row r="80" spans="1:9" ht="18.75" customHeight="1">
      <c r="A80" s="227"/>
      <c r="B80" s="4" t="s">
        <v>14</v>
      </c>
      <c r="C80" s="4"/>
      <c r="D80" s="5"/>
      <c r="E80" s="9"/>
      <c r="F80" s="9"/>
      <c r="G80" s="9"/>
      <c r="H80" s="9"/>
      <c r="I80" s="9"/>
    </row>
    <row r="81" spans="1:9" ht="18.75" customHeight="1">
      <c r="A81" s="227"/>
      <c r="B81" s="4" t="s">
        <v>15</v>
      </c>
      <c r="C81" s="4"/>
      <c r="D81" s="5"/>
      <c r="E81" s="9"/>
      <c r="F81" s="9"/>
      <c r="G81" s="9"/>
      <c r="H81" s="9"/>
      <c r="I81" s="9"/>
    </row>
    <row r="82" spans="1:9" ht="18.75" customHeight="1">
      <c r="A82" s="227"/>
      <c r="B82" s="4" t="s">
        <v>16</v>
      </c>
      <c r="C82" s="4"/>
      <c r="D82" s="5"/>
      <c r="E82" s="9"/>
      <c r="F82" s="9"/>
      <c r="G82" s="9"/>
      <c r="H82" s="9"/>
      <c r="I82" s="9"/>
    </row>
    <row r="83" spans="1:9" ht="18.75" customHeight="1">
      <c r="A83" s="227"/>
      <c r="B83" s="4" t="s">
        <v>17</v>
      </c>
      <c r="C83" s="4"/>
      <c r="D83" s="5"/>
      <c r="E83" s="9"/>
      <c r="F83" s="9"/>
      <c r="G83" s="9"/>
      <c r="H83" s="9"/>
      <c r="I83" s="9"/>
    </row>
    <row r="84" spans="1:9" ht="18.75" customHeight="1">
      <c r="A84" s="228"/>
      <c r="B84" s="4" t="s">
        <v>18</v>
      </c>
      <c r="C84" s="4"/>
      <c r="D84" s="5"/>
      <c r="E84" s="9"/>
      <c r="F84" s="9"/>
      <c r="G84" s="9"/>
      <c r="H84" s="9"/>
      <c r="I84" s="9"/>
    </row>
    <row r="85" spans="1:9" ht="18.75" customHeight="1">
      <c r="A85" s="186" t="s">
        <v>32</v>
      </c>
      <c r="B85" s="6" t="s">
        <v>13</v>
      </c>
      <c r="C85" s="5"/>
      <c r="D85" s="5"/>
      <c r="E85" s="8"/>
      <c r="F85" s="8"/>
      <c r="G85" s="8"/>
      <c r="H85" s="8"/>
      <c r="I85" s="8"/>
    </row>
    <row r="86" spans="1:9" ht="18.75" customHeight="1">
      <c r="A86" s="227"/>
      <c r="B86" s="6" t="s">
        <v>14</v>
      </c>
      <c r="C86" s="5"/>
      <c r="D86" s="5"/>
      <c r="E86" s="8"/>
      <c r="F86" s="8"/>
      <c r="G86" s="8"/>
      <c r="H86" s="8"/>
      <c r="I86" s="8"/>
    </row>
    <row r="87" spans="1:9" ht="18.75" customHeight="1">
      <c r="A87" s="227"/>
      <c r="B87" s="6" t="s">
        <v>15</v>
      </c>
      <c r="C87" s="5"/>
      <c r="D87" s="5"/>
      <c r="E87" s="8"/>
      <c r="F87" s="8"/>
      <c r="G87" s="8"/>
      <c r="H87" s="8"/>
      <c r="I87" s="8"/>
    </row>
    <row r="88" spans="1:9" ht="18.75" customHeight="1">
      <c r="A88" s="227"/>
      <c r="B88" s="6" t="s">
        <v>16</v>
      </c>
      <c r="C88" s="5"/>
      <c r="D88" s="5"/>
      <c r="E88" s="8"/>
      <c r="F88" s="8"/>
      <c r="G88" s="8"/>
      <c r="H88" s="8"/>
      <c r="I88" s="8"/>
    </row>
    <row r="89" spans="1:9" ht="18.75" customHeight="1">
      <c r="A89" s="227"/>
      <c r="B89" s="6" t="s">
        <v>17</v>
      </c>
      <c r="C89" s="5"/>
      <c r="D89" s="5"/>
      <c r="E89" s="8"/>
      <c r="F89" s="8"/>
      <c r="G89" s="8"/>
      <c r="H89" s="8"/>
      <c r="I89" s="8"/>
    </row>
    <row r="90" spans="1:9" ht="18.75" customHeight="1">
      <c r="A90" s="228"/>
      <c r="B90" s="6" t="s">
        <v>18</v>
      </c>
      <c r="C90" s="5"/>
      <c r="D90" s="5"/>
      <c r="E90" s="8"/>
      <c r="F90" s="8"/>
      <c r="G90" s="8"/>
      <c r="H90" s="8"/>
      <c r="I90" s="8"/>
    </row>
    <row r="91" spans="1:9" ht="18.75" customHeight="1">
      <c r="A91" s="185" t="s">
        <v>33</v>
      </c>
      <c r="B91" s="4" t="s">
        <v>13</v>
      </c>
      <c r="C91" s="5"/>
      <c r="D91" s="5"/>
      <c r="E91" s="9"/>
      <c r="F91" s="9"/>
      <c r="G91" s="9"/>
      <c r="H91" s="9"/>
      <c r="I91" s="9"/>
    </row>
    <row r="92" spans="1:9" ht="18.75" customHeight="1">
      <c r="A92" s="227"/>
      <c r="B92" s="4" t="s">
        <v>14</v>
      </c>
      <c r="C92" s="5"/>
      <c r="D92" s="5"/>
      <c r="E92" s="9"/>
      <c r="F92" s="9"/>
      <c r="G92" s="9"/>
      <c r="H92" s="9"/>
      <c r="I92" s="9"/>
    </row>
    <row r="93" spans="1:9" ht="18.75" customHeight="1">
      <c r="A93" s="227"/>
      <c r="B93" s="4" t="s">
        <v>15</v>
      </c>
      <c r="C93" s="5"/>
      <c r="D93" s="5"/>
      <c r="E93" s="9"/>
      <c r="F93" s="9"/>
      <c r="G93" s="9"/>
      <c r="H93" s="9"/>
      <c r="I93" s="9"/>
    </row>
    <row r="94" spans="1:9" ht="18.75" customHeight="1">
      <c r="A94" s="227"/>
      <c r="B94" s="4" t="s">
        <v>16</v>
      </c>
      <c r="C94" s="5"/>
      <c r="D94" s="5"/>
      <c r="E94" s="9"/>
      <c r="F94" s="9"/>
      <c r="G94" s="9"/>
      <c r="H94" s="9"/>
      <c r="I94" s="9"/>
    </row>
    <row r="95" spans="1:9" ht="18.75" customHeight="1">
      <c r="A95" s="227"/>
      <c r="B95" s="4" t="s">
        <v>17</v>
      </c>
      <c r="C95" s="5"/>
      <c r="D95" s="5"/>
      <c r="E95" s="9"/>
      <c r="F95" s="9"/>
      <c r="G95" s="9"/>
      <c r="H95" s="9"/>
      <c r="I95" s="9"/>
    </row>
    <row r="96" spans="1:9" ht="18.75" customHeight="1">
      <c r="A96" s="228"/>
      <c r="B96" s="4" t="s">
        <v>18</v>
      </c>
      <c r="C96" s="5"/>
      <c r="D96" s="5"/>
      <c r="E96" s="9"/>
      <c r="F96" s="9"/>
      <c r="G96" s="9"/>
      <c r="H96" s="9"/>
      <c r="I96" s="9"/>
    </row>
    <row r="97" spans="1:9" ht="18.75" customHeight="1">
      <c r="A97" s="186" t="s">
        <v>34</v>
      </c>
      <c r="B97" s="6" t="s">
        <v>13</v>
      </c>
      <c r="C97" s="5"/>
      <c r="D97" s="5"/>
      <c r="E97" s="8"/>
      <c r="F97" s="8"/>
      <c r="G97" s="8"/>
      <c r="H97" s="8"/>
      <c r="I97" s="8"/>
    </row>
    <row r="98" spans="1:9" ht="18.75" customHeight="1">
      <c r="A98" s="227"/>
      <c r="B98" s="6" t="s">
        <v>14</v>
      </c>
      <c r="C98" s="5"/>
      <c r="D98" s="5"/>
      <c r="E98" s="8"/>
      <c r="F98" s="8"/>
      <c r="G98" s="8"/>
      <c r="H98" s="8"/>
      <c r="I98" s="8"/>
    </row>
    <row r="99" spans="1:9" ht="18.75" customHeight="1">
      <c r="A99" s="227"/>
      <c r="B99" s="6" t="s">
        <v>15</v>
      </c>
      <c r="C99" s="5"/>
      <c r="D99" s="5"/>
      <c r="E99" s="8"/>
      <c r="F99" s="8"/>
      <c r="G99" s="8"/>
      <c r="H99" s="8"/>
      <c r="I99" s="8"/>
    </row>
    <row r="100" spans="1:9" ht="18.75" customHeight="1">
      <c r="A100" s="227"/>
      <c r="B100" s="6" t="s">
        <v>16</v>
      </c>
      <c r="C100" s="5"/>
      <c r="D100" s="5"/>
      <c r="E100" s="8"/>
      <c r="F100" s="8"/>
      <c r="G100" s="8"/>
      <c r="H100" s="8"/>
      <c r="I100" s="8"/>
    </row>
    <row r="101" spans="1:9" ht="18.75" customHeight="1">
      <c r="A101" s="227"/>
      <c r="B101" s="6" t="s">
        <v>17</v>
      </c>
      <c r="C101" s="5"/>
      <c r="D101" s="5"/>
      <c r="E101" s="8"/>
      <c r="F101" s="8"/>
      <c r="G101" s="8"/>
      <c r="H101" s="8"/>
      <c r="I101" s="8"/>
    </row>
    <row r="102" spans="1:9" ht="18.75" customHeight="1">
      <c r="A102" s="228"/>
      <c r="B102" s="6" t="s">
        <v>18</v>
      </c>
      <c r="C102" s="5"/>
      <c r="D102" s="5"/>
      <c r="E102" s="8"/>
      <c r="F102" s="8"/>
      <c r="G102" s="8"/>
      <c r="H102" s="8"/>
      <c r="I102" s="8"/>
    </row>
  </sheetData>
  <mergeCells count="21">
    <mergeCell ref="B53:D53"/>
    <mergeCell ref="F53:H53"/>
    <mergeCell ref="A55:A60"/>
    <mergeCell ref="A79:A84"/>
    <mergeCell ref="A85:A90"/>
    <mergeCell ref="A91:A96"/>
    <mergeCell ref="A97:A102"/>
    <mergeCell ref="A28:A33"/>
    <mergeCell ref="A34:A39"/>
    <mergeCell ref="A40:A45"/>
    <mergeCell ref="A46:A51"/>
    <mergeCell ref="A16:A21"/>
    <mergeCell ref="A22:A27"/>
    <mergeCell ref="A61:A66"/>
    <mergeCell ref="A67:A72"/>
    <mergeCell ref="A73:A78"/>
    <mergeCell ref="C1:G1"/>
    <mergeCell ref="B2:D2"/>
    <mergeCell ref="F2:H2"/>
    <mergeCell ref="A4:A9"/>
    <mergeCell ref="A10:A15"/>
  </mergeCells>
  <printOptions horizontalCentered="1" verticalCentered="1"/>
  <pageMargins left="0.25" right="0.25" top="0.25" bottom="0.25" header="0" footer="0"/>
  <pageSetup pageOrder="overThenDown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T89"/>
  <sheetViews>
    <sheetView workbookViewId="0">
      <pane ySplit="4" topLeftCell="A5" activePane="bottomLeft" state="frozen"/>
      <selection pane="bottomLeft" activeCell="M10" sqref="M10:P15"/>
    </sheetView>
  </sheetViews>
  <sheetFormatPr defaultColWidth="12.5703125" defaultRowHeight="15.75" customHeight="1"/>
  <cols>
    <col min="1" max="1" width="13.140625" bestFit="1" customWidth="1"/>
    <col min="2" max="2" width="16.140625" bestFit="1" customWidth="1"/>
    <col min="3" max="10" width="10.42578125" customWidth="1"/>
    <col min="11" max="11" width="13.140625" bestFit="1" customWidth="1"/>
    <col min="12" max="12" width="16.140625" bestFit="1" customWidth="1"/>
    <col min="13" max="20" width="10.42578125" customWidth="1"/>
  </cols>
  <sheetData>
    <row r="1" spans="1:20" ht="18.75" customHeight="1">
      <c r="A1" s="1"/>
      <c r="B1" s="1"/>
      <c r="C1" s="183" t="s">
        <v>0</v>
      </c>
      <c r="D1" s="225"/>
      <c r="E1" s="225"/>
      <c r="F1" s="225"/>
      <c r="G1" s="226"/>
      <c r="H1" s="2"/>
      <c r="I1" s="1"/>
    </row>
    <row r="2" spans="1:20" ht="18.75" customHeight="1">
      <c r="A2" s="1"/>
      <c r="B2" s="183" t="s">
        <v>1</v>
      </c>
      <c r="C2" s="225"/>
      <c r="D2" s="226"/>
      <c r="E2" s="1"/>
      <c r="F2" s="184" t="s">
        <v>2</v>
      </c>
      <c r="G2" s="225"/>
      <c r="H2" s="226"/>
      <c r="I2" s="1"/>
      <c r="K2" s="1"/>
      <c r="L2" s="183" t="s">
        <v>26</v>
      </c>
      <c r="M2" s="225"/>
      <c r="N2" s="226"/>
      <c r="O2" s="1"/>
      <c r="P2" s="184" t="s">
        <v>2</v>
      </c>
      <c r="Q2" s="225"/>
      <c r="R2" s="226"/>
      <c r="S2" s="1"/>
    </row>
    <row r="3" spans="1:20" ht="18.75" customHeight="1">
      <c r="A3" s="3" t="s">
        <v>35</v>
      </c>
      <c r="B3" s="3" t="s">
        <v>4</v>
      </c>
      <c r="C3" s="3" t="s">
        <v>12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24</v>
      </c>
      <c r="J3" s="3" t="s">
        <v>25</v>
      </c>
      <c r="K3" s="3" t="s">
        <v>35</v>
      </c>
      <c r="L3" s="3" t="s">
        <v>4</v>
      </c>
      <c r="M3" s="3" t="s">
        <v>27</v>
      </c>
      <c r="N3" s="3" t="s">
        <v>28</v>
      </c>
      <c r="O3" s="3" t="s">
        <v>29</v>
      </c>
      <c r="P3" s="3" t="s">
        <v>30</v>
      </c>
      <c r="Q3" s="3" t="s">
        <v>31</v>
      </c>
      <c r="R3" s="3" t="s">
        <v>32</v>
      </c>
      <c r="S3" s="3" t="s">
        <v>33</v>
      </c>
      <c r="T3" s="3" t="s">
        <v>34</v>
      </c>
    </row>
    <row r="4" spans="1:20" ht="18.75" customHeight="1">
      <c r="A4" s="185" t="s">
        <v>5</v>
      </c>
      <c r="B4" s="4" t="s">
        <v>13</v>
      </c>
      <c r="C4" s="5"/>
      <c r="D4" s="5"/>
      <c r="E4" s="4"/>
      <c r="F4" s="4"/>
      <c r="G4" s="4"/>
      <c r="H4" s="4"/>
      <c r="I4" s="4"/>
      <c r="J4" s="4"/>
      <c r="K4" s="185" t="s">
        <v>5</v>
      </c>
      <c r="L4" s="4" t="s">
        <v>13</v>
      </c>
      <c r="M4" s="4"/>
      <c r="N4" s="4"/>
      <c r="O4" s="4"/>
      <c r="P4" s="4"/>
      <c r="Q4" s="4"/>
      <c r="R4" s="5"/>
      <c r="S4" s="5"/>
      <c r="T4" s="5"/>
    </row>
    <row r="5" spans="1:20" ht="18.75" customHeight="1">
      <c r="A5" s="227"/>
      <c r="B5" s="4" t="s">
        <v>14</v>
      </c>
      <c r="C5" s="5"/>
      <c r="D5" s="5"/>
      <c r="E5" s="4"/>
      <c r="F5" s="4"/>
      <c r="G5" s="4"/>
      <c r="H5" s="4"/>
      <c r="I5" s="4"/>
      <c r="J5" s="4"/>
      <c r="K5" s="227"/>
      <c r="L5" s="4" t="s">
        <v>14</v>
      </c>
      <c r="M5" s="4"/>
      <c r="N5" s="4"/>
      <c r="O5" s="4"/>
      <c r="P5" s="4"/>
      <c r="Q5" s="4"/>
      <c r="R5" s="5"/>
      <c r="S5" s="5"/>
      <c r="T5" s="5"/>
    </row>
    <row r="6" spans="1:20" ht="18.75" customHeight="1">
      <c r="A6" s="227"/>
      <c r="B6" s="4" t="s">
        <v>15</v>
      </c>
      <c r="C6" s="5"/>
      <c r="D6" s="5"/>
      <c r="E6" s="4"/>
      <c r="F6" s="4"/>
      <c r="G6" s="4"/>
      <c r="H6" s="4"/>
      <c r="I6" s="4"/>
      <c r="J6" s="4"/>
      <c r="K6" s="227"/>
      <c r="L6" s="4" t="s">
        <v>15</v>
      </c>
      <c r="M6" s="4"/>
      <c r="N6" s="4"/>
      <c r="O6" s="4"/>
      <c r="P6" s="4"/>
      <c r="Q6" s="4"/>
      <c r="R6" s="5"/>
      <c r="S6" s="5"/>
      <c r="T6" s="5"/>
    </row>
    <row r="7" spans="1:20" ht="18.75" customHeight="1">
      <c r="A7" s="227"/>
      <c r="B7" s="4" t="s">
        <v>16</v>
      </c>
      <c r="C7" s="5"/>
      <c r="D7" s="5"/>
      <c r="E7" s="4"/>
      <c r="F7" s="4"/>
      <c r="G7" s="4"/>
      <c r="H7" s="4"/>
      <c r="I7" s="4"/>
      <c r="J7" s="4"/>
      <c r="K7" s="227"/>
      <c r="L7" s="4" t="s">
        <v>16</v>
      </c>
      <c r="M7" s="4"/>
      <c r="N7" s="4"/>
      <c r="O7" s="4"/>
      <c r="P7" s="4"/>
      <c r="Q7" s="4"/>
      <c r="R7" s="5"/>
      <c r="S7" s="5"/>
      <c r="T7" s="5"/>
    </row>
    <row r="8" spans="1:20" ht="18.75" customHeight="1">
      <c r="A8" s="227"/>
      <c r="B8" s="4" t="s">
        <v>17</v>
      </c>
      <c r="C8" s="5"/>
      <c r="D8" s="5"/>
      <c r="E8" s="4"/>
      <c r="F8" s="4"/>
      <c r="G8" s="4"/>
      <c r="H8" s="4"/>
      <c r="I8" s="4"/>
      <c r="J8" s="4"/>
      <c r="K8" s="227"/>
      <c r="L8" s="4" t="s">
        <v>17</v>
      </c>
      <c r="M8" s="4"/>
      <c r="N8" s="4"/>
      <c r="O8" s="4"/>
      <c r="P8" s="4"/>
      <c r="Q8" s="4"/>
      <c r="R8" s="5"/>
      <c r="S8" s="5"/>
      <c r="T8" s="5"/>
    </row>
    <row r="9" spans="1:20" ht="18.75" customHeight="1">
      <c r="A9" s="228"/>
      <c r="B9" s="4" t="s">
        <v>18</v>
      </c>
      <c r="C9" s="5"/>
      <c r="D9" s="5"/>
      <c r="E9" s="4"/>
      <c r="F9" s="4"/>
      <c r="G9" s="4"/>
      <c r="H9" s="4"/>
      <c r="I9" s="4"/>
      <c r="J9" s="4"/>
      <c r="K9" s="228"/>
      <c r="L9" s="4" t="s">
        <v>18</v>
      </c>
      <c r="M9" s="4"/>
      <c r="N9" s="4"/>
      <c r="O9" s="4"/>
      <c r="P9" s="4"/>
      <c r="Q9" s="4"/>
      <c r="R9" s="5"/>
      <c r="S9" s="5"/>
      <c r="T9" s="5"/>
    </row>
    <row r="10" spans="1:20" ht="18.75" customHeight="1">
      <c r="A10" s="186" t="s">
        <v>6</v>
      </c>
      <c r="B10" s="6" t="s">
        <v>13</v>
      </c>
      <c r="C10" s="5"/>
      <c r="D10" s="5"/>
      <c r="E10" s="5"/>
      <c r="F10" s="6"/>
      <c r="G10" s="6"/>
      <c r="H10" s="6"/>
      <c r="I10" s="6"/>
      <c r="J10" s="6"/>
      <c r="K10" s="186" t="s">
        <v>6</v>
      </c>
      <c r="L10" s="6" t="s">
        <v>13</v>
      </c>
      <c r="M10" s="6"/>
      <c r="N10" s="6"/>
      <c r="O10" s="6"/>
      <c r="P10" s="6"/>
      <c r="Q10" s="5"/>
      <c r="R10" s="5"/>
      <c r="S10" s="5"/>
      <c r="T10" s="5"/>
    </row>
    <row r="11" spans="1:20" ht="18.75" customHeight="1">
      <c r="A11" s="227"/>
      <c r="B11" s="6" t="s">
        <v>14</v>
      </c>
      <c r="C11" s="5"/>
      <c r="D11" s="5"/>
      <c r="E11" s="5"/>
      <c r="F11" s="6"/>
      <c r="G11" s="6"/>
      <c r="H11" s="6"/>
      <c r="I11" s="6"/>
      <c r="J11" s="6"/>
      <c r="K11" s="227"/>
      <c r="L11" s="6" t="s">
        <v>14</v>
      </c>
      <c r="M11" s="6"/>
      <c r="N11" s="6"/>
      <c r="O11" s="6"/>
      <c r="P11" s="6"/>
      <c r="Q11" s="5"/>
      <c r="R11" s="5"/>
      <c r="S11" s="5"/>
      <c r="T11" s="5"/>
    </row>
    <row r="12" spans="1:20" ht="18.75" customHeight="1">
      <c r="A12" s="227"/>
      <c r="B12" s="6" t="s">
        <v>15</v>
      </c>
      <c r="C12" s="5"/>
      <c r="D12" s="5"/>
      <c r="E12" s="5"/>
      <c r="F12" s="6"/>
      <c r="G12" s="6"/>
      <c r="H12" s="6"/>
      <c r="I12" s="6"/>
      <c r="J12" s="6"/>
      <c r="K12" s="227"/>
      <c r="L12" s="6" t="s">
        <v>15</v>
      </c>
      <c r="M12" s="6"/>
      <c r="N12" s="6"/>
      <c r="O12" s="6"/>
      <c r="P12" s="6"/>
      <c r="Q12" s="5"/>
      <c r="R12" s="5"/>
      <c r="S12" s="5"/>
      <c r="T12" s="5"/>
    </row>
    <row r="13" spans="1:20" ht="18.75" customHeight="1">
      <c r="A13" s="227"/>
      <c r="B13" s="6" t="s">
        <v>16</v>
      </c>
      <c r="C13" s="5"/>
      <c r="D13" s="5"/>
      <c r="E13" s="5"/>
      <c r="F13" s="6"/>
      <c r="G13" s="6"/>
      <c r="H13" s="6"/>
      <c r="I13" s="6"/>
      <c r="J13" s="6"/>
      <c r="K13" s="227"/>
      <c r="L13" s="6" t="s">
        <v>16</v>
      </c>
      <c r="M13" s="6"/>
      <c r="N13" s="6"/>
      <c r="O13" s="6"/>
      <c r="P13" s="6"/>
      <c r="Q13" s="5"/>
      <c r="R13" s="5"/>
      <c r="S13" s="5"/>
      <c r="T13" s="5"/>
    </row>
    <row r="14" spans="1:20" ht="18.75" customHeight="1">
      <c r="A14" s="227"/>
      <c r="B14" s="6" t="s">
        <v>17</v>
      </c>
      <c r="C14" s="5"/>
      <c r="D14" s="5"/>
      <c r="E14" s="5"/>
      <c r="F14" s="6"/>
      <c r="G14" s="6"/>
      <c r="H14" s="6"/>
      <c r="I14" s="6"/>
      <c r="J14" s="6"/>
      <c r="K14" s="227"/>
      <c r="L14" s="6" t="s">
        <v>17</v>
      </c>
      <c r="M14" s="6"/>
      <c r="N14" s="6"/>
      <c r="O14" s="6"/>
      <c r="P14" s="6"/>
      <c r="Q14" s="5"/>
      <c r="R14" s="5"/>
      <c r="S14" s="5"/>
      <c r="T14" s="5"/>
    </row>
    <row r="15" spans="1:20" ht="18.75" customHeight="1">
      <c r="A15" s="228"/>
      <c r="B15" s="6" t="s">
        <v>18</v>
      </c>
      <c r="C15" s="5"/>
      <c r="D15" s="5"/>
      <c r="E15" s="5"/>
      <c r="F15" s="6"/>
      <c r="G15" s="6"/>
      <c r="H15" s="6"/>
      <c r="I15" s="6"/>
      <c r="J15" s="6"/>
      <c r="K15" s="228"/>
      <c r="L15" s="6" t="s">
        <v>18</v>
      </c>
      <c r="M15" s="6"/>
      <c r="N15" s="6"/>
      <c r="O15" s="6"/>
      <c r="P15" s="6"/>
      <c r="Q15" s="5"/>
      <c r="R15" s="5"/>
      <c r="S15" s="5"/>
      <c r="T15" s="5"/>
    </row>
    <row r="16" spans="1:20" ht="18.75" customHeight="1">
      <c r="A16" s="185" t="s">
        <v>7</v>
      </c>
      <c r="B16" s="4" t="s">
        <v>13</v>
      </c>
      <c r="C16" s="4"/>
      <c r="D16" s="4"/>
      <c r="E16" s="4"/>
      <c r="F16" s="4"/>
      <c r="G16" s="4"/>
      <c r="H16" s="4"/>
      <c r="I16" s="4"/>
      <c r="J16" s="4"/>
      <c r="K16" s="185" t="s">
        <v>7</v>
      </c>
      <c r="L16" s="4" t="s">
        <v>13</v>
      </c>
      <c r="M16" s="4"/>
      <c r="N16" s="4"/>
      <c r="O16" s="4"/>
      <c r="P16" s="4"/>
      <c r="Q16" s="4"/>
      <c r="R16" s="4"/>
      <c r="S16" s="4"/>
      <c r="T16" s="4"/>
    </row>
    <row r="17" spans="1:20" ht="18.75" customHeight="1">
      <c r="A17" s="227"/>
      <c r="B17" s="4" t="s">
        <v>14</v>
      </c>
      <c r="C17" s="4"/>
      <c r="D17" s="4"/>
      <c r="E17" s="4"/>
      <c r="F17" s="4"/>
      <c r="G17" s="4"/>
      <c r="H17" s="4"/>
      <c r="I17" s="4"/>
      <c r="J17" s="4"/>
      <c r="K17" s="227"/>
      <c r="L17" s="4" t="s">
        <v>14</v>
      </c>
      <c r="M17" s="4"/>
      <c r="N17" s="4"/>
      <c r="O17" s="4"/>
      <c r="P17" s="4"/>
      <c r="Q17" s="4"/>
      <c r="R17" s="4"/>
      <c r="S17" s="4"/>
      <c r="T17" s="4"/>
    </row>
    <row r="18" spans="1:20" ht="18.75" customHeight="1">
      <c r="A18" s="227"/>
      <c r="B18" s="4" t="s">
        <v>15</v>
      </c>
      <c r="C18" s="4"/>
      <c r="D18" s="4"/>
      <c r="E18" s="4"/>
      <c r="F18" s="4"/>
      <c r="G18" s="4"/>
      <c r="H18" s="4"/>
      <c r="I18" s="4"/>
      <c r="J18" s="4"/>
      <c r="K18" s="227"/>
      <c r="L18" s="4" t="s">
        <v>15</v>
      </c>
      <c r="M18" s="4"/>
      <c r="N18" s="4"/>
      <c r="O18" s="4"/>
      <c r="P18" s="4"/>
      <c r="Q18" s="4"/>
      <c r="R18" s="4"/>
      <c r="S18" s="4"/>
      <c r="T18" s="4"/>
    </row>
    <row r="19" spans="1:20" ht="18.75" customHeight="1">
      <c r="A19" s="227"/>
      <c r="B19" s="4" t="s">
        <v>16</v>
      </c>
      <c r="C19" s="4"/>
      <c r="D19" s="4"/>
      <c r="E19" s="4"/>
      <c r="F19" s="4"/>
      <c r="G19" s="4"/>
      <c r="H19" s="4"/>
      <c r="I19" s="4"/>
      <c r="J19" s="4"/>
      <c r="K19" s="227"/>
      <c r="L19" s="4" t="s">
        <v>16</v>
      </c>
      <c r="M19" s="4"/>
      <c r="N19" s="4"/>
      <c r="O19" s="4"/>
      <c r="P19" s="4"/>
      <c r="Q19" s="4"/>
      <c r="R19" s="4"/>
      <c r="S19" s="4"/>
      <c r="T19" s="4"/>
    </row>
    <row r="20" spans="1:20" ht="18.75" customHeight="1">
      <c r="A20" s="227"/>
      <c r="B20" s="4" t="s">
        <v>17</v>
      </c>
      <c r="C20" s="4"/>
      <c r="D20" s="4"/>
      <c r="E20" s="4"/>
      <c r="F20" s="4"/>
      <c r="G20" s="4"/>
      <c r="H20" s="4"/>
      <c r="I20" s="4"/>
      <c r="J20" s="4"/>
      <c r="K20" s="227"/>
      <c r="L20" s="4" t="s">
        <v>17</v>
      </c>
      <c r="M20" s="4"/>
      <c r="N20" s="4"/>
      <c r="O20" s="4"/>
      <c r="P20" s="4"/>
      <c r="Q20" s="4"/>
      <c r="R20" s="4"/>
      <c r="S20" s="4"/>
      <c r="T20" s="4"/>
    </row>
    <row r="21" spans="1:20" ht="18.75" customHeight="1">
      <c r="A21" s="228"/>
      <c r="B21" s="4" t="s">
        <v>18</v>
      </c>
      <c r="C21" s="4"/>
      <c r="D21" s="4"/>
      <c r="E21" s="4"/>
      <c r="F21" s="4"/>
      <c r="G21" s="4"/>
      <c r="H21" s="4"/>
      <c r="I21" s="4"/>
      <c r="J21" s="4"/>
      <c r="K21" s="228"/>
      <c r="L21" s="4" t="s">
        <v>18</v>
      </c>
      <c r="M21" s="4"/>
      <c r="N21" s="4"/>
      <c r="O21" s="4"/>
      <c r="P21" s="4"/>
      <c r="Q21" s="4"/>
      <c r="R21" s="4"/>
      <c r="S21" s="4"/>
      <c r="T21" s="4"/>
    </row>
    <row r="22" spans="1:20" ht="18.75" customHeight="1">
      <c r="A22" s="186" t="s">
        <v>8</v>
      </c>
      <c r="B22" s="6" t="s">
        <v>13</v>
      </c>
      <c r="C22" s="6"/>
      <c r="D22" s="6"/>
      <c r="E22" s="6"/>
      <c r="F22" s="6"/>
      <c r="G22" s="6"/>
      <c r="H22" s="6"/>
      <c r="I22" s="6"/>
      <c r="J22" s="6"/>
      <c r="K22" s="186" t="s">
        <v>8</v>
      </c>
      <c r="L22" s="6" t="s">
        <v>13</v>
      </c>
      <c r="M22" s="6"/>
      <c r="N22" s="6"/>
      <c r="O22" s="6"/>
      <c r="P22" s="6"/>
      <c r="Q22" s="6"/>
      <c r="R22" s="6"/>
      <c r="S22" s="6"/>
      <c r="T22" s="6"/>
    </row>
    <row r="23" spans="1:20" ht="18.75" customHeight="1">
      <c r="A23" s="227"/>
      <c r="B23" s="6" t="s">
        <v>14</v>
      </c>
      <c r="C23" s="6"/>
      <c r="D23" s="6"/>
      <c r="E23" s="6"/>
      <c r="F23" s="6"/>
      <c r="G23" s="6"/>
      <c r="H23" s="6"/>
      <c r="I23" s="6"/>
      <c r="J23" s="6"/>
      <c r="K23" s="227"/>
      <c r="L23" s="6" t="s">
        <v>14</v>
      </c>
      <c r="M23" s="6"/>
      <c r="N23" s="6"/>
      <c r="O23" s="6"/>
      <c r="P23" s="6"/>
      <c r="Q23" s="6"/>
      <c r="R23" s="6"/>
      <c r="S23" s="6"/>
      <c r="T23" s="6"/>
    </row>
    <row r="24" spans="1:20" ht="18.75" customHeight="1">
      <c r="A24" s="227"/>
      <c r="B24" s="6" t="s">
        <v>15</v>
      </c>
      <c r="C24" s="6"/>
      <c r="D24" s="6"/>
      <c r="E24" s="6"/>
      <c r="F24" s="6"/>
      <c r="G24" s="6"/>
      <c r="H24" s="6"/>
      <c r="I24" s="6"/>
      <c r="J24" s="6"/>
      <c r="K24" s="227"/>
      <c r="L24" s="6" t="s">
        <v>15</v>
      </c>
      <c r="M24" s="6"/>
      <c r="N24" s="6"/>
      <c r="O24" s="6"/>
      <c r="P24" s="6"/>
      <c r="Q24" s="6"/>
      <c r="R24" s="6"/>
      <c r="S24" s="6"/>
      <c r="T24" s="6"/>
    </row>
    <row r="25" spans="1:20" ht="18.75" customHeight="1">
      <c r="A25" s="227"/>
      <c r="B25" s="6" t="s">
        <v>16</v>
      </c>
      <c r="C25" s="6"/>
      <c r="D25" s="6"/>
      <c r="E25" s="6"/>
      <c r="F25" s="6"/>
      <c r="G25" s="6"/>
      <c r="H25" s="6"/>
      <c r="I25" s="6"/>
      <c r="J25" s="6"/>
      <c r="K25" s="227"/>
      <c r="L25" s="6" t="s">
        <v>16</v>
      </c>
      <c r="M25" s="6"/>
      <c r="N25" s="6"/>
      <c r="O25" s="6"/>
      <c r="P25" s="6"/>
      <c r="Q25" s="6"/>
      <c r="R25" s="6"/>
      <c r="S25" s="6"/>
      <c r="T25" s="6"/>
    </row>
    <row r="26" spans="1:20" ht="18.75" customHeight="1">
      <c r="A26" s="227"/>
      <c r="B26" s="6" t="s">
        <v>17</v>
      </c>
      <c r="C26" s="6"/>
      <c r="D26" s="6"/>
      <c r="E26" s="6"/>
      <c r="F26" s="6"/>
      <c r="G26" s="6"/>
      <c r="H26" s="6"/>
      <c r="I26" s="6"/>
      <c r="J26" s="6"/>
      <c r="K26" s="227"/>
      <c r="L26" s="6" t="s">
        <v>17</v>
      </c>
      <c r="M26" s="6"/>
      <c r="N26" s="6"/>
      <c r="O26" s="6"/>
      <c r="P26" s="6"/>
      <c r="Q26" s="6"/>
      <c r="R26" s="6"/>
      <c r="S26" s="6"/>
      <c r="T26" s="6"/>
    </row>
    <row r="27" spans="1:20" ht="18.75" customHeight="1">
      <c r="A27" s="228"/>
      <c r="B27" s="6" t="s">
        <v>18</v>
      </c>
      <c r="C27" s="6"/>
      <c r="D27" s="6"/>
      <c r="E27" s="6"/>
      <c r="F27" s="6"/>
      <c r="G27" s="6"/>
      <c r="H27" s="6"/>
      <c r="I27" s="6"/>
      <c r="J27" s="6"/>
      <c r="K27" s="228"/>
      <c r="L27" s="6" t="s">
        <v>18</v>
      </c>
      <c r="M27" s="6"/>
      <c r="N27" s="6"/>
      <c r="O27" s="6"/>
      <c r="P27" s="6"/>
      <c r="Q27" s="6"/>
      <c r="R27" s="6"/>
      <c r="S27" s="6"/>
      <c r="T27" s="6"/>
    </row>
    <row r="28" spans="1:20" ht="18.75" customHeight="1">
      <c r="A28" s="185" t="s">
        <v>9</v>
      </c>
      <c r="B28" s="4" t="s">
        <v>13</v>
      </c>
      <c r="C28" s="4"/>
      <c r="D28" s="4"/>
      <c r="E28" s="4"/>
      <c r="F28" s="4"/>
      <c r="G28" s="4"/>
      <c r="H28" s="4"/>
      <c r="I28" s="4"/>
      <c r="J28" s="4"/>
      <c r="K28" s="185" t="s">
        <v>9</v>
      </c>
      <c r="L28" s="4" t="s">
        <v>13</v>
      </c>
      <c r="M28" s="4"/>
      <c r="N28" s="4"/>
      <c r="O28" s="4"/>
      <c r="P28" s="4"/>
      <c r="Q28" s="4"/>
      <c r="R28" s="4"/>
      <c r="S28" s="4"/>
      <c r="T28" s="4"/>
    </row>
    <row r="29" spans="1:20" ht="18.75" customHeight="1">
      <c r="A29" s="227"/>
      <c r="B29" s="4" t="s">
        <v>14</v>
      </c>
      <c r="C29" s="4"/>
      <c r="D29" s="4"/>
      <c r="E29" s="4"/>
      <c r="F29" s="4"/>
      <c r="G29" s="4"/>
      <c r="H29" s="4"/>
      <c r="I29" s="4"/>
      <c r="J29" s="4"/>
      <c r="K29" s="227"/>
      <c r="L29" s="4" t="s">
        <v>14</v>
      </c>
      <c r="M29" s="4"/>
      <c r="N29" s="4"/>
      <c r="O29" s="4"/>
      <c r="P29" s="4"/>
      <c r="Q29" s="4"/>
      <c r="R29" s="4"/>
      <c r="S29" s="4"/>
      <c r="T29" s="4"/>
    </row>
    <row r="30" spans="1:20" ht="18.75" customHeight="1">
      <c r="A30" s="227"/>
      <c r="B30" s="4" t="s">
        <v>15</v>
      </c>
      <c r="C30" s="4"/>
      <c r="D30" s="4"/>
      <c r="E30" s="4"/>
      <c r="F30" s="4"/>
      <c r="G30" s="4"/>
      <c r="H30" s="4"/>
      <c r="I30" s="4"/>
      <c r="J30" s="4"/>
      <c r="K30" s="227"/>
      <c r="L30" s="4" t="s">
        <v>15</v>
      </c>
      <c r="M30" s="4"/>
      <c r="N30" s="4"/>
      <c r="O30" s="4"/>
      <c r="P30" s="4"/>
      <c r="Q30" s="4"/>
      <c r="R30" s="4"/>
      <c r="S30" s="4"/>
      <c r="T30" s="4"/>
    </row>
    <row r="31" spans="1:20" ht="18.75" customHeight="1">
      <c r="A31" s="227"/>
      <c r="B31" s="4" t="s">
        <v>16</v>
      </c>
      <c r="C31" s="4"/>
      <c r="D31" s="4"/>
      <c r="E31" s="4"/>
      <c r="F31" s="4"/>
      <c r="G31" s="4"/>
      <c r="H31" s="4"/>
      <c r="I31" s="4"/>
      <c r="J31" s="4"/>
      <c r="K31" s="227"/>
      <c r="L31" s="4" t="s">
        <v>16</v>
      </c>
      <c r="M31" s="4"/>
      <c r="N31" s="4"/>
      <c r="O31" s="4"/>
      <c r="P31" s="4"/>
      <c r="Q31" s="4"/>
      <c r="R31" s="4"/>
      <c r="S31" s="4"/>
      <c r="T31" s="4"/>
    </row>
    <row r="32" spans="1:20" ht="18.75" customHeight="1">
      <c r="A32" s="227"/>
      <c r="B32" s="4" t="s">
        <v>17</v>
      </c>
      <c r="C32" s="4"/>
      <c r="D32" s="4"/>
      <c r="E32" s="4"/>
      <c r="F32" s="4"/>
      <c r="G32" s="4"/>
      <c r="H32" s="4"/>
      <c r="I32" s="4"/>
      <c r="J32" s="4"/>
      <c r="K32" s="227"/>
      <c r="L32" s="4" t="s">
        <v>17</v>
      </c>
      <c r="M32" s="4"/>
      <c r="N32" s="4"/>
      <c r="O32" s="4"/>
      <c r="P32" s="4"/>
      <c r="Q32" s="4"/>
      <c r="R32" s="4"/>
      <c r="S32" s="4"/>
      <c r="T32" s="4"/>
    </row>
    <row r="33" spans="1:20" ht="18.75" customHeight="1">
      <c r="A33" s="228"/>
      <c r="B33" s="4" t="s">
        <v>18</v>
      </c>
      <c r="C33" s="4"/>
      <c r="D33" s="4"/>
      <c r="E33" s="4"/>
      <c r="F33" s="4"/>
      <c r="G33" s="4"/>
      <c r="H33" s="4"/>
      <c r="I33" s="4"/>
      <c r="J33" s="4"/>
      <c r="K33" s="228"/>
      <c r="L33" s="4" t="s">
        <v>18</v>
      </c>
      <c r="M33" s="4"/>
      <c r="N33" s="4"/>
      <c r="O33" s="4"/>
      <c r="P33" s="4"/>
      <c r="Q33" s="4"/>
      <c r="R33" s="4"/>
      <c r="S33" s="4"/>
      <c r="T33" s="4"/>
    </row>
    <row r="34" spans="1:20" ht="18.75" customHeight="1">
      <c r="A34" s="186" t="s">
        <v>10</v>
      </c>
      <c r="B34" s="6" t="s">
        <v>13</v>
      </c>
      <c r="C34" s="8"/>
      <c r="D34" s="8"/>
      <c r="E34" s="8"/>
      <c r="F34" s="8"/>
      <c r="G34" s="8"/>
      <c r="H34" s="8"/>
      <c r="I34" s="8"/>
      <c r="J34" s="8"/>
      <c r="K34" s="186" t="s">
        <v>10</v>
      </c>
      <c r="L34" s="6" t="s">
        <v>13</v>
      </c>
      <c r="M34" s="8"/>
      <c r="N34" s="8"/>
      <c r="O34" s="8"/>
      <c r="P34" s="8"/>
      <c r="Q34" s="8"/>
      <c r="R34" s="8"/>
      <c r="S34" s="8"/>
      <c r="T34" s="8"/>
    </row>
    <row r="35" spans="1:20" ht="18.75" customHeight="1">
      <c r="A35" s="227"/>
      <c r="B35" s="6" t="s">
        <v>14</v>
      </c>
      <c r="C35" s="8"/>
      <c r="D35" s="8"/>
      <c r="E35" s="8"/>
      <c r="F35" s="8"/>
      <c r="G35" s="8"/>
      <c r="H35" s="8"/>
      <c r="I35" s="8"/>
      <c r="J35" s="8"/>
      <c r="K35" s="227"/>
      <c r="L35" s="6" t="s">
        <v>14</v>
      </c>
      <c r="M35" s="8"/>
      <c r="N35" s="8"/>
      <c r="O35" s="8"/>
      <c r="P35" s="8"/>
      <c r="Q35" s="8"/>
      <c r="R35" s="8"/>
      <c r="S35" s="8"/>
      <c r="T35" s="8"/>
    </row>
    <row r="36" spans="1:20" ht="18.75" customHeight="1">
      <c r="A36" s="227"/>
      <c r="B36" s="6" t="s">
        <v>15</v>
      </c>
      <c r="C36" s="8"/>
      <c r="D36" s="8"/>
      <c r="E36" s="8"/>
      <c r="F36" s="8"/>
      <c r="G36" s="8"/>
      <c r="H36" s="8"/>
      <c r="I36" s="8"/>
      <c r="J36" s="8"/>
      <c r="K36" s="227"/>
      <c r="L36" s="6" t="s">
        <v>15</v>
      </c>
      <c r="M36" s="8"/>
      <c r="N36" s="8"/>
      <c r="O36" s="8"/>
      <c r="P36" s="8"/>
      <c r="Q36" s="8"/>
      <c r="R36" s="8"/>
      <c r="S36" s="8"/>
      <c r="T36" s="8"/>
    </row>
    <row r="37" spans="1:20" ht="18.75" customHeight="1">
      <c r="A37" s="227"/>
      <c r="B37" s="6" t="s">
        <v>16</v>
      </c>
      <c r="C37" s="8"/>
      <c r="D37" s="8"/>
      <c r="E37" s="8"/>
      <c r="F37" s="8"/>
      <c r="G37" s="8"/>
      <c r="H37" s="8"/>
      <c r="I37" s="8"/>
      <c r="J37" s="8"/>
      <c r="K37" s="227"/>
      <c r="L37" s="6" t="s">
        <v>16</v>
      </c>
      <c r="M37" s="8"/>
      <c r="N37" s="8"/>
      <c r="O37" s="8"/>
      <c r="P37" s="8"/>
      <c r="Q37" s="8"/>
      <c r="R37" s="8"/>
      <c r="S37" s="8"/>
      <c r="T37" s="8"/>
    </row>
    <row r="38" spans="1:20" ht="18.75" customHeight="1">
      <c r="A38" s="227"/>
      <c r="B38" s="6" t="s">
        <v>17</v>
      </c>
      <c r="C38" s="8"/>
      <c r="D38" s="8"/>
      <c r="E38" s="8"/>
      <c r="F38" s="8"/>
      <c r="G38" s="8"/>
      <c r="H38" s="8"/>
      <c r="I38" s="8"/>
      <c r="J38" s="8"/>
      <c r="K38" s="227"/>
      <c r="L38" s="6" t="s">
        <v>17</v>
      </c>
      <c r="M38" s="8"/>
      <c r="N38" s="8"/>
      <c r="O38" s="8"/>
      <c r="P38" s="8"/>
      <c r="Q38" s="8"/>
      <c r="R38" s="8"/>
      <c r="S38" s="8"/>
      <c r="T38" s="8"/>
    </row>
    <row r="39" spans="1:20" ht="18.75" customHeight="1">
      <c r="A39" s="228"/>
      <c r="B39" s="6" t="s">
        <v>18</v>
      </c>
      <c r="C39" s="8"/>
      <c r="D39" s="8"/>
      <c r="E39" s="8"/>
      <c r="F39" s="8"/>
      <c r="G39" s="8"/>
      <c r="H39" s="8"/>
      <c r="I39" s="8"/>
      <c r="J39" s="8"/>
      <c r="K39" s="228"/>
      <c r="L39" s="6" t="s">
        <v>18</v>
      </c>
      <c r="M39" s="8"/>
      <c r="N39" s="8"/>
      <c r="O39" s="8"/>
      <c r="P39" s="8"/>
      <c r="Q39" s="8"/>
      <c r="R39" s="8"/>
      <c r="S39" s="8"/>
      <c r="T39" s="8"/>
    </row>
    <row r="40" spans="1:20" ht="18.75" customHeight="1">
      <c r="A40" s="185" t="s">
        <v>11</v>
      </c>
      <c r="B40" s="4" t="s">
        <v>13</v>
      </c>
      <c r="C40" s="9"/>
      <c r="D40" s="9"/>
      <c r="E40" s="9"/>
      <c r="F40" s="9"/>
      <c r="G40" s="9"/>
      <c r="H40" s="9"/>
      <c r="I40" s="9"/>
      <c r="J40" s="9"/>
      <c r="K40" s="185" t="s">
        <v>11</v>
      </c>
      <c r="L40" s="4" t="s">
        <v>13</v>
      </c>
      <c r="M40" s="9"/>
      <c r="N40" s="9"/>
      <c r="O40" s="9"/>
      <c r="P40" s="9"/>
      <c r="Q40" s="9"/>
      <c r="R40" s="9"/>
      <c r="S40" s="9"/>
      <c r="T40" s="9"/>
    </row>
    <row r="41" spans="1:20" ht="18.75" customHeight="1">
      <c r="A41" s="227"/>
      <c r="B41" s="4" t="s">
        <v>14</v>
      </c>
      <c r="C41" s="9"/>
      <c r="D41" s="9"/>
      <c r="E41" s="9"/>
      <c r="F41" s="9"/>
      <c r="G41" s="9"/>
      <c r="H41" s="9"/>
      <c r="I41" s="9"/>
      <c r="J41" s="9"/>
      <c r="K41" s="227"/>
      <c r="L41" s="4" t="s">
        <v>14</v>
      </c>
      <c r="M41" s="9"/>
      <c r="N41" s="9"/>
      <c r="O41" s="9"/>
      <c r="P41" s="9"/>
      <c r="Q41" s="9"/>
      <c r="R41" s="9"/>
      <c r="S41" s="9"/>
      <c r="T41" s="9"/>
    </row>
    <row r="42" spans="1:20" ht="18.75" customHeight="1">
      <c r="A42" s="227"/>
      <c r="B42" s="4" t="s">
        <v>15</v>
      </c>
      <c r="C42" s="9"/>
      <c r="D42" s="9"/>
      <c r="E42" s="9"/>
      <c r="F42" s="9"/>
      <c r="G42" s="9"/>
      <c r="H42" s="9"/>
      <c r="I42" s="9"/>
      <c r="J42" s="9"/>
      <c r="K42" s="227"/>
      <c r="L42" s="4" t="s">
        <v>15</v>
      </c>
      <c r="M42" s="9"/>
      <c r="N42" s="9"/>
      <c r="O42" s="9"/>
      <c r="P42" s="9"/>
      <c r="Q42" s="9"/>
      <c r="R42" s="9"/>
      <c r="S42" s="9"/>
      <c r="T42" s="9"/>
    </row>
    <row r="43" spans="1:20" ht="18.75" customHeight="1">
      <c r="A43" s="227"/>
      <c r="B43" s="4" t="s">
        <v>16</v>
      </c>
      <c r="C43" s="9"/>
      <c r="D43" s="9"/>
      <c r="E43" s="9"/>
      <c r="F43" s="9"/>
      <c r="G43" s="9"/>
      <c r="H43" s="9"/>
      <c r="I43" s="9"/>
      <c r="J43" s="9"/>
      <c r="K43" s="227"/>
      <c r="L43" s="4" t="s">
        <v>16</v>
      </c>
      <c r="M43" s="9"/>
      <c r="N43" s="9"/>
      <c r="O43" s="9"/>
      <c r="P43" s="9"/>
      <c r="Q43" s="9"/>
      <c r="R43" s="9"/>
      <c r="S43" s="9"/>
      <c r="T43" s="9"/>
    </row>
    <row r="44" spans="1:20" ht="18.75" customHeight="1">
      <c r="A44" s="227"/>
      <c r="B44" s="4" t="s">
        <v>17</v>
      </c>
      <c r="C44" s="9"/>
      <c r="D44" s="9"/>
      <c r="E44" s="9"/>
      <c r="F44" s="9"/>
      <c r="G44" s="9"/>
      <c r="H44" s="9"/>
      <c r="I44" s="9"/>
      <c r="J44" s="9"/>
      <c r="K44" s="227"/>
      <c r="L44" s="4" t="s">
        <v>17</v>
      </c>
      <c r="M44" s="9"/>
      <c r="N44" s="9"/>
      <c r="O44" s="9"/>
      <c r="P44" s="9"/>
      <c r="Q44" s="9"/>
      <c r="R44" s="9"/>
      <c r="S44" s="9"/>
      <c r="T44" s="9"/>
    </row>
    <row r="45" spans="1:20" ht="18.75" customHeight="1">
      <c r="A45" s="228"/>
      <c r="B45" s="4" t="s">
        <v>18</v>
      </c>
      <c r="C45" s="9"/>
      <c r="D45" s="9"/>
      <c r="E45" s="9"/>
      <c r="F45" s="9"/>
      <c r="G45" s="9"/>
      <c r="H45" s="9"/>
      <c r="I45" s="9"/>
      <c r="J45" s="9"/>
      <c r="K45" s="228"/>
      <c r="L45" s="4" t="s">
        <v>18</v>
      </c>
      <c r="M45" s="9"/>
      <c r="N45" s="9"/>
      <c r="O45" s="9"/>
      <c r="P45" s="9"/>
      <c r="Q45" s="9"/>
      <c r="R45" s="9"/>
      <c r="S45" s="9"/>
      <c r="T45" s="9"/>
    </row>
    <row r="46" spans="1:20" ht="18.75" customHeight="1"/>
    <row r="47" spans="1:20" ht="18.75" customHeight="1"/>
    <row r="48" spans="1:20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</sheetData>
  <mergeCells count="19">
    <mergeCell ref="L2:N2"/>
    <mergeCell ref="P2:R2"/>
    <mergeCell ref="K4:K9"/>
    <mergeCell ref="K10:K15"/>
    <mergeCell ref="K34:K39"/>
    <mergeCell ref="K40:K45"/>
    <mergeCell ref="A28:A33"/>
    <mergeCell ref="A34:A39"/>
    <mergeCell ref="A40:A45"/>
    <mergeCell ref="A16:A21"/>
    <mergeCell ref="A22:A27"/>
    <mergeCell ref="K16:K21"/>
    <mergeCell ref="K22:K27"/>
    <mergeCell ref="K28:K33"/>
    <mergeCell ref="C1:G1"/>
    <mergeCell ref="B2:D2"/>
    <mergeCell ref="F2:H2"/>
    <mergeCell ref="A4:A9"/>
    <mergeCell ref="A10:A15"/>
  </mergeCells>
  <pageMargins left="0.25" right="0.25" top="0.25" bottom="0.25" header="0" footer="0"/>
  <pageSetup scale="90" fitToWidth="0" fitToHeight="0" pageOrder="overThenDown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S994"/>
  <sheetViews>
    <sheetView workbookViewId="0">
      <pane ySplit="2" topLeftCell="A3" activePane="bottomLeft" state="frozen"/>
      <selection pane="bottomLeft" activeCell="AL140" sqref="AL140"/>
    </sheetView>
  </sheetViews>
  <sheetFormatPr defaultColWidth="12.5703125" defaultRowHeight="15.75" customHeight="1"/>
  <sheetData>
    <row r="1" spans="1:45" ht="30" customHeight="1">
      <c r="A1" s="187" t="s">
        <v>36</v>
      </c>
      <c r="B1" s="225"/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/>
      <c r="U1" s="225"/>
      <c r="V1" s="225"/>
      <c r="W1" s="225"/>
      <c r="X1" s="225"/>
      <c r="Y1" s="225"/>
      <c r="Z1" s="225"/>
      <c r="AA1" s="225"/>
      <c r="AB1" s="225"/>
      <c r="AC1" s="225"/>
      <c r="AD1" s="225"/>
      <c r="AE1" s="225"/>
      <c r="AF1" s="225"/>
      <c r="AG1" s="225"/>
      <c r="AH1" s="225"/>
      <c r="AI1" s="225"/>
      <c r="AJ1" s="225"/>
      <c r="AK1" s="225"/>
      <c r="AL1" s="225"/>
      <c r="AM1" s="225"/>
      <c r="AN1" s="225"/>
      <c r="AO1" s="225"/>
      <c r="AP1" s="225"/>
      <c r="AQ1" s="225"/>
      <c r="AR1" s="225"/>
      <c r="AS1" s="226"/>
    </row>
    <row r="2" spans="1:45" ht="12.75">
      <c r="A2" s="188" t="s">
        <v>37</v>
      </c>
      <c r="B2" s="229"/>
      <c r="C2" s="10">
        <f>SUM(I2,R2,AA2,AJ2,AS2)</f>
        <v>13133</v>
      </c>
      <c r="D2" s="11"/>
      <c r="E2" s="11"/>
      <c r="F2" s="11"/>
      <c r="G2" s="189" t="s">
        <v>38</v>
      </c>
      <c r="H2" s="226"/>
      <c r="I2" s="12">
        <f>SUM(B22,B42,B61,B80,B99,B118)</f>
        <v>0</v>
      </c>
      <c r="J2" s="13"/>
      <c r="K2" s="14"/>
      <c r="L2" s="15"/>
      <c r="M2" s="11"/>
      <c r="N2" s="11"/>
      <c r="O2" s="11"/>
      <c r="P2" s="189" t="s">
        <v>38</v>
      </c>
      <c r="Q2" s="226"/>
      <c r="R2" s="16">
        <f>SUM(K22,K42,K61,K80,K99,K118)</f>
        <v>0</v>
      </c>
      <c r="S2" s="13"/>
      <c r="T2" s="14"/>
      <c r="U2" s="15"/>
      <c r="V2" s="11"/>
      <c r="W2" s="11"/>
      <c r="X2" s="11"/>
      <c r="Y2" s="189" t="s">
        <v>38</v>
      </c>
      <c r="Z2" s="226"/>
      <c r="AA2" s="16">
        <f>SUM(T22,T42,T61,T80,T99,T118)</f>
        <v>0</v>
      </c>
      <c r="AB2" s="13"/>
      <c r="AC2" s="14"/>
      <c r="AD2" s="15"/>
      <c r="AE2" s="11"/>
      <c r="AF2" s="11"/>
      <c r="AG2" s="11"/>
      <c r="AH2" s="189" t="s">
        <v>38</v>
      </c>
      <c r="AI2" s="226"/>
      <c r="AJ2" s="16">
        <f>SUM(AC22,AC42,AC61,AC80,AC99,AC118)</f>
        <v>4455</v>
      </c>
      <c r="AK2" s="17"/>
      <c r="AL2" s="14"/>
      <c r="AM2" s="15"/>
      <c r="AN2" s="11"/>
      <c r="AO2" s="11"/>
      <c r="AP2" s="11"/>
      <c r="AQ2" s="189" t="s">
        <v>38</v>
      </c>
      <c r="AR2" s="226"/>
      <c r="AS2" s="16">
        <f>SUM(AL22,AL42,AL61,AL80,AL99,AL118)</f>
        <v>8678</v>
      </c>
    </row>
    <row r="3" spans="1:45" ht="12.75">
      <c r="A3" s="18" t="s">
        <v>39</v>
      </c>
      <c r="B3" s="19">
        <v>45717</v>
      </c>
      <c r="C3" s="11"/>
      <c r="D3" s="11"/>
      <c r="E3" s="11"/>
      <c r="F3" s="11"/>
      <c r="G3" s="11"/>
      <c r="H3" s="11"/>
      <c r="I3" s="20"/>
      <c r="J3" s="18" t="s">
        <v>39</v>
      </c>
      <c r="K3" s="19">
        <v>45724</v>
      </c>
      <c r="L3" s="11"/>
      <c r="M3" s="11"/>
      <c r="N3" s="11"/>
      <c r="O3" s="11"/>
      <c r="P3" s="11"/>
      <c r="Q3" s="11"/>
      <c r="R3" s="20"/>
      <c r="S3" s="18" t="s">
        <v>39</v>
      </c>
      <c r="T3" s="19">
        <v>45731</v>
      </c>
      <c r="U3" s="11"/>
      <c r="V3" s="11"/>
      <c r="W3" s="11"/>
      <c r="X3" s="11"/>
      <c r="Y3" s="11"/>
      <c r="Z3" s="11"/>
      <c r="AA3" s="20"/>
      <c r="AB3" s="18" t="s">
        <v>39</v>
      </c>
      <c r="AC3" s="19">
        <v>45738</v>
      </c>
      <c r="AD3" s="11"/>
      <c r="AE3" s="11"/>
      <c r="AF3" s="11"/>
      <c r="AG3" s="11"/>
      <c r="AH3" s="11"/>
      <c r="AI3" s="11"/>
      <c r="AJ3" s="20"/>
      <c r="AK3" s="21" t="s">
        <v>39</v>
      </c>
      <c r="AL3" s="19">
        <v>45745</v>
      </c>
      <c r="AM3" s="11"/>
      <c r="AN3" s="11"/>
      <c r="AO3" s="11"/>
      <c r="AP3" s="11"/>
      <c r="AQ3" s="11"/>
      <c r="AR3" s="11"/>
      <c r="AS3" s="20"/>
    </row>
    <row r="4" spans="1:45" ht="12.75">
      <c r="A4" s="22" t="s">
        <v>13</v>
      </c>
      <c r="B4" s="22" t="s">
        <v>5</v>
      </c>
      <c r="C4" s="23" t="s">
        <v>6</v>
      </c>
      <c r="D4" s="23" t="s">
        <v>7</v>
      </c>
      <c r="E4" s="23" t="s">
        <v>8</v>
      </c>
      <c r="F4" s="23" t="s">
        <v>9</v>
      </c>
      <c r="G4" s="23" t="s">
        <v>10</v>
      </c>
      <c r="H4" s="23" t="s">
        <v>11</v>
      </c>
      <c r="I4" s="24" t="s">
        <v>40</v>
      </c>
      <c r="J4" s="22" t="s">
        <v>13</v>
      </c>
      <c r="K4" s="22" t="s">
        <v>5</v>
      </c>
      <c r="L4" s="23" t="s">
        <v>6</v>
      </c>
      <c r="M4" s="23" t="s">
        <v>7</v>
      </c>
      <c r="N4" s="23" t="s">
        <v>8</v>
      </c>
      <c r="O4" s="23" t="s">
        <v>9</v>
      </c>
      <c r="P4" s="23" t="s">
        <v>10</v>
      </c>
      <c r="Q4" s="23" t="s">
        <v>11</v>
      </c>
      <c r="R4" s="24" t="s">
        <v>40</v>
      </c>
      <c r="S4" s="22" t="s">
        <v>13</v>
      </c>
      <c r="T4" s="22" t="s">
        <v>5</v>
      </c>
      <c r="U4" s="23" t="s">
        <v>6</v>
      </c>
      <c r="V4" s="23" t="s">
        <v>7</v>
      </c>
      <c r="W4" s="23" t="s">
        <v>8</v>
      </c>
      <c r="X4" s="23" t="s">
        <v>9</v>
      </c>
      <c r="Y4" s="23" t="s">
        <v>10</v>
      </c>
      <c r="Z4" s="23" t="s">
        <v>11</v>
      </c>
      <c r="AA4" s="24" t="s">
        <v>40</v>
      </c>
      <c r="AB4" s="22" t="s">
        <v>13</v>
      </c>
      <c r="AC4" s="22" t="s">
        <v>5</v>
      </c>
      <c r="AD4" s="23" t="s">
        <v>6</v>
      </c>
      <c r="AE4" s="23" t="s">
        <v>7</v>
      </c>
      <c r="AF4" s="23" t="s">
        <v>8</v>
      </c>
      <c r="AG4" s="23" t="s">
        <v>9</v>
      </c>
      <c r="AH4" s="23" t="s">
        <v>10</v>
      </c>
      <c r="AI4" s="23" t="s">
        <v>11</v>
      </c>
      <c r="AJ4" s="24" t="s">
        <v>41</v>
      </c>
      <c r="AK4" s="25" t="s">
        <v>13</v>
      </c>
      <c r="AL4" s="22" t="s">
        <v>5</v>
      </c>
      <c r="AM4" s="23" t="s">
        <v>6</v>
      </c>
      <c r="AN4" s="23" t="s">
        <v>7</v>
      </c>
      <c r="AO4" s="23" t="s">
        <v>8</v>
      </c>
      <c r="AP4" s="23" t="s">
        <v>9</v>
      </c>
      <c r="AQ4" s="23" t="s">
        <v>10</v>
      </c>
      <c r="AR4" s="23" t="s">
        <v>11</v>
      </c>
      <c r="AS4" s="24" t="s">
        <v>40</v>
      </c>
    </row>
    <row r="5" spans="1:45" ht="12.75">
      <c r="A5" s="26" t="s">
        <v>12</v>
      </c>
      <c r="B5" s="27"/>
      <c r="C5" s="27"/>
      <c r="D5" s="26"/>
      <c r="E5" s="26"/>
      <c r="F5" s="26"/>
      <c r="G5" s="26"/>
      <c r="H5" s="26"/>
      <c r="I5" s="28" t="e">
        <f t="shared" ref="I5:I6" si="0">AVERAGE(D5:H5)</f>
        <v>#DIV/0!</v>
      </c>
      <c r="J5" s="26" t="s">
        <v>12</v>
      </c>
      <c r="K5" s="27"/>
      <c r="L5" s="27"/>
      <c r="M5" s="26"/>
      <c r="N5" s="26"/>
      <c r="O5" s="26"/>
      <c r="P5" s="26"/>
      <c r="Q5" s="26"/>
      <c r="R5" s="28" t="e">
        <f t="shared" ref="R5:R6" si="1">AVERAGE(M5:Q5)</f>
        <v>#DIV/0!</v>
      </c>
      <c r="S5" s="26" t="s">
        <v>12</v>
      </c>
      <c r="T5" s="27"/>
      <c r="U5" s="27"/>
      <c r="V5" s="26"/>
      <c r="W5" s="26"/>
      <c r="X5" s="26"/>
      <c r="Y5" s="26"/>
      <c r="Z5" s="26"/>
      <c r="AA5" s="28" t="e">
        <f t="shared" ref="AA5:AA6" si="2">AVERAGE(V5:Z5)</f>
        <v>#DIV/0!</v>
      </c>
      <c r="AB5" s="26" t="s">
        <v>12</v>
      </c>
      <c r="AC5" s="27"/>
      <c r="AD5" s="27"/>
      <c r="AE5" s="26"/>
      <c r="AF5" s="26"/>
      <c r="AG5" s="26">
        <v>16</v>
      </c>
      <c r="AH5" s="26">
        <v>14</v>
      </c>
      <c r="AI5" s="26">
        <v>11</v>
      </c>
      <c r="AJ5" s="28">
        <f t="shared" ref="AJ5:AJ6" si="3">AVERAGE(AE5:AI5)</f>
        <v>13.666666666666666</v>
      </c>
      <c r="AK5" s="29" t="s">
        <v>12</v>
      </c>
      <c r="AL5" s="27"/>
      <c r="AM5" s="27"/>
      <c r="AN5" s="26">
        <v>26</v>
      </c>
      <c r="AO5" s="26">
        <v>21</v>
      </c>
      <c r="AP5" s="26"/>
      <c r="AQ5" s="26">
        <v>19</v>
      </c>
      <c r="AR5" s="26">
        <v>12</v>
      </c>
      <c r="AS5" s="28">
        <f t="shared" ref="AS5:AS6" si="4">AVERAGE(AN5:AR5)</f>
        <v>19.5</v>
      </c>
    </row>
    <row r="6" spans="1:45" ht="12.75">
      <c r="A6" s="26" t="s">
        <v>19</v>
      </c>
      <c r="B6" s="27"/>
      <c r="C6" s="27"/>
      <c r="D6" s="26"/>
      <c r="E6" s="26"/>
      <c r="F6" s="26"/>
      <c r="G6" s="26"/>
      <c r="H6" s="26"/>
      <c r="I6" s="28" t="e">
        <f t="shared" si="0"/>
        <v>#DIV/0!</v>
      </c>
      <c r="J6" s="26" t="s">
        <v>19</v>
      </c>
      <c r="K6" s="27"/>
      <c r="L6" s="27"/>
      <c r="M6" s="26"/>
      <c r="N6" s="26"/>
      <c r="O6" s="26"/>
      <c r="P6" s="26"/>
      <c r="Q6" s="26"/>
      <c r="R6" s="28" t="e">
        <f t="shared" si="1"/>
        <v>#DIV/0!</v>
      </c>
      <c r="S6" s="26" t="s">
        <v>19</v>
      </c>
      <c r="T6" s="27"/>
      <c r="U6" s="27"/>
      <c r="V6" s="26"/>
      <c r="W6" s="26"/>
      <c r="X6" s="26"/>
      <c r="Y6" s="26"/>
      <c r="Z6" s="26"/>
      <c r="AA6" s="28" t="e">
        <f t="shared" si="2"/>
        <v>#DIV/0!</v>
      </c>
      <c r="AB6" s="26" t="s">
        <v>19</v>
      </c>
      <c r="AC6" s="27"/>
      <c r="AD6" s="27"/>
      <c r="AE6" s="26"/>
      <c r="AF6" s="26"/>
      <c r="AG6" s="26">
        <v>22</v>
      </c>
      <c r="AH6" s="26"/>
      <c r="AI6" s="26">
        <v>23</v>
      </c>
      <c r="AJ6" s="28">
        <f t="shared" si="3"/>
        <v>22.5</v>
      </c>
      <c r="AK6" s="29" t="s">
        <v>19</v>
      </c>
      <c r="AL6" s="27"/>
      <c r="AM6" s="27"/>
      <c r="AN6" s="26">
        <v>23</v>
      </c>
      <c r="AO6" s="26">
        <v>20</v>
      </c>
      <c r="AP6" s="26">
        <v>22</v>
      </c>
      <c r="AQ6" s="26">
        <v>20</v>
      </c>
      <c r="AR6" s="26">
        <v>16</v>
      </c>
      <c r="AS6" s="28">
        <f t="shared" si="4"/>
        <v>20.2</v>
      </c>
    </row>
    <row r="7" spans="1:45" ht="12.75">
      <c r="A7" s="26" t="s">
        <v>20</v>
      </c>
      <c r="B7" s="26"/>
      <c r="C7" s="27"/>
      <c r="D7" s="26"/>
      <c r="E7" s="26"/>
      <c r="F7" s="26"/>
      <c r="G7" s="26"/>
      <c r="H7" s="26"/>
      <c r="I7" s="28" t="e">
        <f>AVERAGE(B7,D7:H7)</f>
        <v>#DIV/0!</v>
      </c>
      <c r="J7" s="26" t="s">
        <v>20</v>
      </c>
      <c r="K7" s="26"/>
      <c r="L7" s="27"/>
      <c r="M7" s="26"/>
      <c r="N7" s="26"/>
      <c r="O7" s="26"/>
      <c r="P7" s="26"/>
      <c r="Q7" s="26"/>
      <c r="R7" s="28" t="e">
        <f>AVERAGE(K7,M7:Q7)</f>
        <v>#DIV/0!</v>
      </c>
      <c r="S7" s="26" t="s">
        <v>20</v>
      </c>
      <c r="T7" s="26"/>
      <c r="U7" s="27"/>
      <c r="V7" s="26"/>
      <c r="W7" s="26"/>
      <c r="X7" s="26"/>
      <c r="Y7" s="26"/>
      <c r="Z7" s="26"/>
      <c r="AA7" s="28" t="e">
        <f>AVERAGE(T7,V7:Z7)</f>
        <v>#DIV/0!</v>
      </c>
      <c r="AB7" s="26" t="s">
        <v>20</v>
      </c>
      <c r="AC7" s="26"/>
      <c r="AD7" s="27"/>
      <c r="AE7" s="26"/>
      <c r="AF7" s="26"/>
      <c r="AG7" s="26">
        <v>15</v>
      </c>
      <c r="AH7" s="26">
        <v>16</v>
      </c>
      <c r="AI7" s="26">
        <v>18</v>
      </c>
      <c r="AJ7" s="28">
        <f>AVERAGE(AC7,AE7:AI7)</f>
        <v>16.333333333333332</v>
      </c>
      <c r="AK7" s="29" t="s">
        <v>20</v>
      </c>
      <c r="AL7" s="26">
        <v>26</v>
      </c>
      <c r="AM7" s="27"/>
      <c r="AN7" s="26">
        <v>23</v>
      </c>
      <c r="AO7" s="26">
        <v>24</v>
      </c>
      <c r="AP7" s="26">
        <v>29</v>
      </c>
      <c r="AQ7" s="26">
        <v>22</v>
      </c>
      <c r="AR7" s="26">
        <v>23</v>
      </c>
      <c r="AS7" s="28">
        <f>AVERAGE(AL7,AN7:AR7)</f>
        <v>24.5</v>
      </c>
    </row>
    <row r="8" spans="1:45" ht="12.75">
      <c r="A8" s="26" t="s">
        <v>21</v>
      </c>
      <c r="B8" s="26"/>
      <c r="C8" s="26"/>
      <c r="D8" s="26"/>
      <c r="E8" s="26"/>
      <c r="F8" s="26"/>
      <c r="G8" s="26"/>
      <c r="H8" s="26"/>
      <c r="I8" s="28" t="e">
        <f t="shared" ref="I8:I16" si="5">AVERAGE(B8:H8)</f>
        <v>#DIV/0!</v>
      </c>
      <c r="J8" s="26" t="s">
        <v>21</v>
      </c>
      <c r="K8" s="26"/>
      <c r="L8" s="26"/>
      <c r="M8" s="26"/>
      <c r="N8" s="26"/>
      <c r="O8" s="26"/>
      <c r="P8" s="26"/>
      <c r="Q8" s="26"/>
      <c r="R8" s="28" t="e">
        <f t="shared" ref="R8:R16" si="6">AVERAGE(K8:Q8)</f>
        <v>#DIV/0!</v>
      </c>
      <c r="S8" s="26" t="s">
        <v>21</v>
      </c>
      <c r="T8" s="26"/>
      <c r="U8" s="26"/>
      <c r="V8" s="26"/>
      <c r="W8" s="26"/>
      <c r="X8" s="26"/>
      <c r="Y8" s="26"/>
      <c r="Z8" s="26"/>
      <c r="AA8" s="28" t="e">
        <f t="shared" ref="AA8:AA16" si="7">AVERAGE(T8:Z8)</f>
        <v>#DIV/0!</v>
      </c>
      <c r="AB8" s="26" t="s">
        <v>21</v>
      </c>
      <c r="AC8" s="26"/>
      <c r="AD8" s="26"/>
      <c r="AE8" s="26"/>
      <c r="AF8" s="26">
        <v>26</v>
      </c>
      <c r="AG8" s="26">
        <v>21</v>
      </c>
      <c r="AH8" s="26">
        <v>20</v>
      </c>
      <c r="AI8" s="26"/>
      <c r="AJ8" s="28">
        <f t="shared" ref="AJ8:AJ16" si="8">AVERAGE(AC8:AI8)</f>
        <v>22.333333333333332</v>
      </c>
      <c r="AK8" s="29" t="s">
        <v>21</v>
      </c>
      <c r="AL8" s="26">
        <v>24</v>
      </c>
      <c r="AM8" s="26">
        <v>25</v>
      </c>
      <c r="AN8" s="26">
        <v>29</v>
      </c>
      <c r="AO8" s="26">
        <v>44</v>
      </c>
      <c r="AP8" s="26">
        <v>33</v>
      </c>
      <c r="AQ8" s="26">
        <v>21</v>
      </c>
      <c r="AR8" s="26">
        <v>30</v>
      </c>
      <c r="AS8" s="28">
        <f t="shared" ref="AS8:AS16" si="9">AVERAGE(AL8:AR8)</f>
        <v>29.428571428571427</v>
      </c>
    </row>
    <row r="9" spans="1:45" ht="12.75">
      <c r="A9" s="26" t="s">
        <v>22</v>
      </c>
      <c r="B9" s="26"/>
      <c r="C9" s="26"/>
      <c r="D9" s="26"/>
      <c r="E9" s="26"/>
      <c r="F9" s="26"/>
      <c r="G9" s="26"/>
      <c r="H9" s="26"/>
      <c r="I9" s="28" t="e">
        <f t="shared" si="5"/>
        <v>#DIV/0!</v>
      </c>
      <c r="J9" s="26" t="s">
        <v>22</v>
      </c>
      <c r="K9" s="26"/>
      <c r="L9" s="26"/>
      <c r="M9" s="26"/>
      <c r="N9" s="26"/>
      <c r="O9" s="26"/>
      <c r="P9" s="26"/>
      <c r="Q9" s="26"/>
      <c r="R9" s="28" t="e">
        <f t="shared" si="6"/>
        <v>#DIV/0!</v>
      </c>
      <c r="S9" s="26" t="s">
        <v>22</v>
      </c>
      <c r="T9" s="26"/>
      <c r="U9" s="26"/>
      <c r="V9" s="26"/>
      <c r="W9" s="26"/>
      <c r="X9" s="26"/>
      <c r="Y9" s="26"/>
      <c r="Z9" s="26"/>
      <c r="AA9" s="28" t="e">
        <f t="shared" si="7"/>
        <v>#DIV/0!</v>
      </c>
      <c r="AB9" s="26" t="s">
        <v>22</v>
      </c>
      <c r="AC9" s="26"/>
      <c r="AD9" s="26"/>
      <c r="AE9" s="26"/>
      <c r="AF9" s="26">
        <v>21</v>
      </c>
      <c r="AG9" s="26">
        <v>33</v>
      </c>
      <c r="AH9" s="26">
        <v>24</v>
      </c>
      <c r="AI9" s="26">
        <v>43</v>
      </c>
      <c r="AJ9" s="28">
        <f t="shared" si="8"/>
        <v>30.25</v>
      </c>
      <c r="AK9" s="29" t="s">
        <v>22</v>
      </c>
      <c r="AL9" s="26">
        <v>34</v>
      </c>
      <c r="AM9" s="26">
        <v>32</v>
      </c>
      <c r="AN9" s="26">
        <v>37</v>
      </c>
      <c r="AO9" s="26">
        <v>44</v>
      </c>
      <c r="AP9" s="26">
        <v>52</v>
      </c>
      <c r="AQ9" s="26">
        <v>32</v>
      </c>
      <c r="AR9" s="26">
        <v>29</v>
      </c>
      <c r="AS9" s="28">
        <f t="shared" si="9"/>
        <v>37.142857142857146</v>
      </c>
    </row>
    <row r="10" spans="1:45" ht="12.75">
      <c r="A10" s="26" t="s">
        <v>23</v>
      </c>
      <c r="B10" s="26"/>
      <c r="C10" s="26"/>
      <c r="D10" s="26"/>
      <c r="E10" s="26"/>
      <c r="F10" s="26"/>
      <c r="G10" s="26"/>
      <c r="H10" s="26"/>
      <c r="I10" s="28" t="e">
        <f t="shared" si="5"/>
        <v>#DIV/0!</v>
      </c>
      <c r="J10" s="26" t="s">
        <v>23</v>
      </c>
      <c r="K10" s="26"/>
      <c r="L10" s="26"/>
      <c r="M10" s="26"/>
      <c r="N10" s="26"/>
      <c r="O10" s="26"/>
      <c r="P10" s="26"/>
      <c r="Q10" s="26"/>
      <c r="R10" s="28" t="e">
        <f t="shared" si="6"/>
        <v>#DIV/0!</v>
      </c>
      <c r="S10" s="26" t="s">
        <v>23</v>
      </c>
      <c r="T10" s="26"/>
      <c r="U10" s="26"/>
      <c r="V10" s="26"/>
      <c r="W10" s="26"/>
      <c r="X10" s="26"/>
      <c r="Y10" s="26"/>
      <c r="Z10" s="26"/>
      <c r="AA10" s="28" t="e">
        <f t="shared" si="7"/>
        <v>#DIV/0!</v>
      </c>
      <c r="AB10" s="26" t="s">
        <v>23</v>
      </c>
      <c r="AC10" s="26"/>
      <c r="AD10" s="26"/>
      <c r="AE10" s="26"/>
      <c r="AF10" s="26"/>
      <c r="AG10" s="26">
        <v>34</v>
      </c>
      <c r="AH10" s="26">
        <v>30</v>
      </c>
      <c r="AI10" s="26"/>
      <c r="AJ10" s="28">
        <f t="shared" si="8"/>
        <v>32</v>
      </c>
      <c r="AK10" s="29" t="s">
        <v>23</v>
      </c>
      <c r="AL10" s="26">
        <v>41</v>
      </c>
      <c r="AM10" s="26">
        <v>48</v>
      </c>
      <c r="AN10" s="26">
        <v>37</v>
      </c>
      <c r="AO10" s="26">
        <v>42</v>
      </c>
      <c r="AP10" s="26">
        <v>38</v>
      </c>
      <c r="AQ10" s="26">
        <v>35</v>
      </c>
      <c r="AR10" s="26">
        <v>26</v>
      </c>
      <c r="AS10" s="28">
        <f t="shared" si="9"/>
        <v>38.142857142857146</v>
      </c>
    </row>
    <row r="11" spans="1:45" ht="12.75">
      <c r="A11" s="26" t="s">
        <v>24</v>
      </c>
      <c r="B11" s="26"/>
      <c r="C11" s="26"/>
      <c r="D11" s="26"/>
      <c r="E11" s="26"/>
      <c r="F11" s="26"/>
      <c r="G11" s="26"/>
      <c r="H11" s="26"/>
      <c r="I11" s="28" t="e">
        <f t="shared" si="5"/>
        <v>#DIV/0!</v>
      </c>
      <c r="J11" s="26" t="s">
        <v>24</v>
      </c>
      <c r="K11" s="26"/>
      <c r="L11" s="26"/>
      <c r="M11" s="26"/>
      <c r="N11" s="26"/>
      <c r="O11" s="26"/>
      <c r="P11" s="26"/>
      <c r="Q11" s="26"/>
      <c r="R11" s="28" t="e">
        <f t="shared" si="6"/>
        <v>#DIV/0!</v>
      </c>
      <c r="S11" s="26" t="s">
        <v>24</v>
      </c>
      <c r="T11" s="26"/>
      <c r="U11" s="26"/>
      <c r="V11" s="26"/>
      <c r="W11" s="26"/>
      <c r="X11" s="26"/>
      <c r="Y11" s="26"/>
      <c r="Z11" s="26"/>
      <c r="AA11" s="28" t="e">
        <f t="shared" si="7"/>
        <v>#DIV/0!</v>
      </c>
      <c r="AB11" s="26" t="s">
        <v>24</v>
      </c>
      <c r="AC11" s="26"/>
      <c r="AD11" s="26"/>
      <c r="AE11" s="26"/>
      <c r="AF11" s="26"/>
      <c r="AG11" s="26">
        <v>27</v>
      </c>
      <c r="AH11" s="26">
        <v>12</v>
      </c>
      <c r="AI11" s="26"/>
      <c r="AJ11" s="28">
        <f t="shared" si="8"/>
        <v>19.5</v>
      </c>
      <c r="AK11" s="29" t="s">
        <v>24</v>
      </c>
      <c r="AL11" s="26">
        <v>32</v>
      </c>
      <c r="AM11" s="26">
        <v>34</v>
      </c>
      <c r="AN11" s="26">
        <v>25</v>
      </c>
      <c r="AO11" s="26">
        <v>30</v>
      </c>
      <c r="AP11" s="26">
        <v>34</v>
      </c>
      <c r="AQ11" s="26">
        <v>23</v>
      </c>
      <c r="AR11" s="26">
        <v>36</v>
      </c>
      <c r="AS11" s="28">
        <f t="shared" si="9"/>
        <v>30.571428571428573</v>
      </c>
    </row>
    <row r="12" spans="1:45" ht="12.75">
      <c r="A12" s="26" t="s">
        <v>25</v>
      </c>
      <c r="B12" s="26"/>
      <c r="C12" s="26"/>
      <c r="D12" s="26"/>
      <c r="E12" s="26"/>
      <c r="F12" s="26"/>
      <c r="G12" s="26"/>
      <c r="H12" s="26"/>
      <c r="I12" s="28" t="e">
        <f t="shared" si="5"/>
        <v>#DIV/0!</v>
      </c>
      <c r="J12" s="26" t="s">
        <v>25</v>
      </c>
      <c r="K12" s="26"/>
      <c r="L12" s="26"/>
      <c r="M12" s="26"/>
      <c r="N12" s="26"/>
      <c r="O12" s="26"/>
      <c r="P12" s="26"/>
      <c r="Q12" s="26"/>
      <c r="R12" s="28" t="e">
        <f t="shared" si="6"/>
        <v>#DIV/0!</v>
      </c>
      <c r="S12" s="26" t="s">
        <v>25</v>
      </c>
      <c r="T12" s="26"/>
      <c r="U12" s="26"/>
      <c r="V12" s="26"/>
      <c r="W12" s="26"/>
      <c r="X12" s="26"/>
      <c r="Y12" s="26"/>
      <c r="Z12" s="26"/>
      <c r="AA12" s="28" t="e">
        <f t="shared" si="7"/>
        <v>#DIV/0!</v>
      </c>
      <c r="AB12" s="26" t="s">
        <v>25</v>
      </c>
      <c r="AC12" s="26"/>
      <c r="AD12" s="26"/>
      <c r="AE12" s="26"/>
      <c r="AF12" s="26">
        <v>27</v>
      </c>
      <c r="AG12" s="26">
        <v>20</v>
      </c>
      <c r="AH12" s="26">
        <v>20</v>
      </c>
      <c r="AI12" s="26">
        <v>28</v>
      </c>
      <c r="AJ12" s="28">
        <f t="shared" si="8"/>
        <v>23.75</v>
      </c>
      <c r="AK12" s="29" t="s">
        <v>25</v>
      </c>
      <c r="AL12" s="26">
        <v>41</v>
      </c>
      <c r="AM12" s="26">
        <v>30</v>
      </c>
      <c r="AN12" s="26">
        <v>19</v>
      </c>
      <c r="AO12" s="26">
        <v>28</v>
      </c>
      <c r="AP12" s="26">
        <v>25</v>
      </c>
      <c r="AQ12" s="26">
        <v>15</v>
      </c>
      <c r="AR12" s="26">
        <v>16</v>
      </c>
      <c r="AS12" s="28">
        <f t="shared" si="9"/>
        <v>24.857142857142858</v>
      </c>
    </row>
    <row r="13" spans="1:45" ht="12.75">
      <c r="A13" s="26" t="s">
        <v>27</v>
      </c>
      <c r="B13" s="26"/>
      <c r="C13" s="26"/>
      <c r="D13" s="26"/>
      <c r="E13" s="26"/>
      <c r="F13" s="26"/>
      <c r="G13" s="26"/>
      <c r="H13" s="26"/>
      <c r="I13" s="28" t="e">
        <f t="shared" si="5"/>
        <v>#DIV/0!</v>
      </c>
      <c r="J13" s="26" t="s">
        <v>27</v>
      </c>
      <c r="K13" s="26"/>
      <c r="L13" s="26"/>
      <c r="M13" s="26"/>
      <c r="N13" s="26"/>
      <c r="O13" s="26"/>
      <c r="P13" s="26"/>
      <c r="Q13" s="26"/>
      <c r="R13" s="28" t="e">
        <f t="shared" si="6"/>
        <v>#DIV/0!</v>
      </c>
      <c r="S13" s="26" t="s">
        <v>27</v>
      </c>
      <c r="T13" s="26"/>
      <c r="U13" s="26"/>
      <c r="V13" s="26"/>
      <c r="W13" s="26"/>
      <c r="X13" s="26"/>
      <c r="Y13" s="26"/>
      <c r="Z13" s="26"/>
      <c r="AA13" s="28" t="e">
        <f t="shared" si="7"/>
        <v>#DIV/0!</v>
      </c>
      <c r="AB13" s="26" t="s">
        <v>27</v>
      </c>
      <c r="AC13" s="26"/>
      <c r="AD13" s="26"/>
      <c r="AE13" s="26"/>
      <c r="AF13" s="26">
        <v>22</v>
      </c>
      <c r="AG13" s="26">
        <v>21</v>
      </c>
      <c r="AH13" s="26">
        <v>19</v>
      </c>
      <c r="AI13" s="26">
        <v>19</v>
      </c>
      <c r="AJ13" s="28">
        <f t="shared" si="8"/>
        <v>20.25</v>
      </c>
      <c r="AK13" s="29" t="s">
        <v>27</v>
      </c>
      <c r="AL13" s="26">
        <v>40</v>
      </c>
      <c r="AM13" s="26">
        <v>30</v>
      </c>
      <c r="AN13" s="26">
        <v>25</v>
      </c>
      <c r="AO13" s="26">
        <v>24</v>
      </c>
      <c r="AP13" s="26">
        <v>23</v>
      </c>
      <c r="AQ13" s="26">
        <v>15</v>
      </c>
      <c r="AR13" s="26">
        <v>19</v>
      </c>
      <c r="AS13" s="28">
        <f t="shared" si="9"/>
        <v>25.142857142857142</v>
      </c>
    </row>
    <row r="14" spans="1:45" ht="12.75">
      <c r="A14" s="26" t="s">
        <v>28</v>
      </c>
      <c r="B14" s="26"/>
      <c r="C14" s="26"/>
      <c r="D14" s="26"/>
      <c r="E14" s="26"/>
      <c r="F14" s="26"/>
      <c r="G14" s="26"/>
      <c r="H14" s="26"/>
      <c r="I14" s="28" t="e">
        <f t="shared" si="5"/>
        <v>#DIV/0!</v>
      </c>
      <c r="J14" s="26" t="s">
        <v>28</v>
      </c>
      <c r="K14" s="26"/>
      <c r="L14" s="26"/>
      <c r="M14" s="26"/>
      <c r="N14" s="26"/>
      <c r="O14" s="26"/>
      <c r="P14" s="26"/>
      <c r="Q14" s="26"/>
      <c r="R14" s="28" t="e">
        <f t="shared" si="6"/>
        <v>#DIV/0!</v>
      </c>
      <c r="S14" s="26" t="s">
        <v>28</v>
      </c>
      <c r="T14" s="26"/>
      <c r="U14" s="26"/>
      <c r="V14" s="26"/>
      <c r="W14" s="26"/>
      <c r="X14" s="26"/>
      <c r="Y14" s="26"/>
      <c r="Z14" s="26"/>
      <c r="AA14" s="28" t="e">
        <f t="shared" si="7"/>
        <v>#DIV/0!</v>
      </c>
      <c r="AB14" s="26" t="s">
        <v>28</v>
      </c>
      <c r="AC14" s="26"/>
      <c r="AD14" s="26"/>
      <c r="AE14" s="26"/>
      <c r="AF14" s="26">
        <v>27</v>
      </c>
      <c r="AG14" s="26">
        <v>25</v>
      </c>
      <c r="AH14" s="26">
        <v>32</v>
      </c>
      <c r="AI14" s="26">
        <v>21</v>
      </c>
      <c r="AJ14" s="28">
        <f t="shared" si="8"/>
        <v>26.25</v>
      </c>
      <c r="AK14" s="29" t="s">
        <v>28</v>
      </c>
      <c r="AL14" s="26">
        <v>38</v>
      </c>
      <c r="AM14" s="26">
        <v>42</v>
      </c>
      <c r="AN14" s="26">
        <v>35</v>
      </c>
      <c r="AO14" s="26">
        <v>25</v>
      </c>
      <c r="AP14" s="26">
        <v>28</v>
      </c>
      <c r="AQ14" s="26">
        <v>22</v>
      </c>
      <c r="AR14" s="26">
        <v>21</v>
      </c>
      <c r="AS14" s="28">
        <f t="shared" si="9"/>
        <v>30.142857142857142</v>
      </c>
    </row>
    <row r="15" spans="1:45" ht="12.75">
      <c r="A15" s="26" t="s">
        <v>29</v>
      </c>
      <c r="B15" s="26"/>
      <c r="C15" s="26"/>
      <c r="D15" s="26"/>
      <c r="E15" s="26"/>
      <c r="F15" s="26"/>
      <c r="G15" s="26"/>
      <c r="H15" s="26"/>
      <c r="I15" s="28" t="e">
        <f t="shared" si="5"/>
        <v>#DIV/0!</v>
      </c>
      <c r="J15" s="26" t="s">
        <v>29</v>
      </c>
      <c r="K15" s="26"/>
      <c r="L15" s="26"/>
      <c r="M15" s="26"/>
      <c r="N15" s="26"/>
      <c r="O15" s="26"/>
      <c r="P15" s="26"/>
      <c r="Q15" s="26"/>
      <c r="R15" s="28" t="e">
        <f t="shared" si="6"/>
        <v>#DIV/0!</v>
      </c>
      <c r="S15" s="26" t="s">
        <v>29</v>
      </c>
      <c r="T15" s="26"/>
      <c r="U15" s="26"/>
      <c r="V15" s="26"/>
      <c r="W15" s="26"/>
      <c r="X15" s="26"/>
      <c r="Y15" s="26"/>
      <c r="Z15" s="26"/>
      <c r="AA15" s="28" t="e">
        <f t="shared" si="7"/>
        <v>#DIV/0!</v>
      </c>
      <c r="AB15" s="26" t="s">
        <v>29</v>
      </c>
      <c r="AC15" s="26"/>
      <c r="AD15" s="26"/>
      <c r="AE15" s="26"/>
      <c r="AF15" s="26">
        <v>21</v>
      </c>
      <c r="AG15" s="26">
        <v>35</v>
      </c>
      <c r="AH15" s="26">
        <v>18</v>
      </c>
      <c r="AI15" s="26">
        <v>22</v>
      </c>
      <c r="AJ15" s="28">
        <f t="shared" si="8"/>
        <v>24</v>
      </c>
      <c r="AK15" s="29" t="s">
        <v>29</v>
      </c>
      <c r="AL15" s="26">
        <v>27</v>
      </c>
      <c r="AM15" s="26">
        <v>20</v>
      </c>
      <c r="AN15" s="26">
        <v>30</v>
      </c>
      <c r="AO15" s="26">
        <v>26</v>
      </c>
      <c r="AP15" s="26">
        <v>22</v>
      </c>
      <c r="AQ15" s="26">
        <v>23</v>
      </c>
      <c r="AR15" s="26">
        <v>22</v>
      </c>
      <c r="AS15" s="28">
        <f t="shared" si="9"/>
        <v>24.285714285714285</v>
      </c>
    </row>
    <row r="16" spans="1:45" ht="12.75">
      <c r="A16" s="26" t="s">
        <v>30</v>
      </c>
      <c r="B16" s="26"/>
      <c r="C16" s="26"/>
      <c r="D16" s="26"/>
      <c r="E16" s="26"/>
      <c r="F16" s="26"/>
      <c r="G16" s="26"/>
      <c r="H16" s="26"/>
      <c r="I16" s="28" t="e">
        <f t="shared" si="5"/>
        <v>#DIV/0!</v>
      </c>
      <c r="J16" s="26" t="s">
        <v>30</v>
      </c>
      <c r="K16" s="26"/>
      <c r="L16" s="26"/>
      <c r="M16" s="26"/>
      <c r="N16" s="26"/>
      <c r="O16" s="26"/>
      <c r="P16" s="26"/>
      <c r="Q16" s="26"/>
      <c r="R16" s="28" t="e">
        <f t="shared" si="6"/>
        <v>#DIV/0!</v>
      </c>
      <c r="S16" s="26" t="s">
        <v>30</v>
      </c>
      <c r="T16" s="26"/>
      <c r="U16" s="26"/>
      <c r="V16" s="26"/>
      <c r="W16" s="26"/>
      <c r="X16" s="26"/>
      <c r="Y16" s="26"/>
      <c r="Z16" s="26"/>
      <c r="AA16" s="28" t="e">
        <f t="shared" si="7"/>
        <v>#DIV/0!</v>
      </c>
      <c r="AB16" s="26" t="s">
        <v>30</v>
      </c>
      <c r="AC16" s="26"/>
      <c r="AD16" s="26"/>
      <c r="AE16" s="26"/>
      <c r="AF16" s="26">
        <v>26</v>
      </c>
      <c r="AG16" s="26">
        <v>45</v>
      </c>
      <c r="AH16" s="26">
        <v>28</v>
      </c>
      <c r="AI16" s="26">
        <v>24</v>
      </c>
      <c r="AJ16" s="28">
        <f t="shared" si="8"/>
        <v>30.75</v>
      </c>
      <c r="AK16" s="29" t="s">
        <v>30</v>
      </c>
      <c r="AL16" s="26">
        <v>13</v>
      </c>
      <c r="AM16" s="26">
        <v>31</v>
      </c>
      <c r="AN16" s="26">
        <v>35</v>
      </c>
      <c r="AO16" s="26">
        <v>38</v>
      </c>
      <c r="AP16" s="26">
        <v>38</v>
      </c>
      <c r="AQ16" s="26">
        <v>20</v>
      </c>
      <c r="AR16" s="26">
        <v>24</v>
      </c>
      <c r="AS16" s="28">
        <f t="shared" si="9"/>
        <v>28.428571428571427</v>
      </c>
    </row>
    <row r="17" spans="1:45" ht="12.75">
      <c r="A17" s="26" t="s">
        <v>31</v>
      </c>
      <c r="B17" s="26"/>
      <c r="C17" s="27"/>
      <c r="D17" s="26"/>
      <c r="E17" s="26"/>
      <c r="F17" s="26"/>
      <c r="G17" s="26"/>
      <c r="H17" s="26"/>
      <c r="I17" s="28" t="e">
        <f>AVERAGE(B17,D17:H17)</f>
        <v>#DIV/0!</v>
      </c>
      <c r="J17" s="26" t="s">
        <v>31</v>
      </c>
      <c r="K17" s="26"/>
      <c r="L17" s="27"/>
      <c r="M17" s="26"/>
      <c r="N17" s="26"/>
      <c r="O17" s="26"/>
      <c r="P17" s="26"/>
      <c r="Q17" s="26"/>
      <c r="R17" s="28" t="e">
        <f>AVERAGE(K17,M17:Q17)</f>
        <v>#DIV/0!</v>
      </c>
      <c r="S17" s="26" t="s">
        <v>31</v>
      </c>
      <c r="T17" s="26"/>
      <c r="U17" s="27"/>
      <c r="V17" s="26"/>
      <c r="W17" s="26"/>
      <c r="X17" s="26"/>
      <c r="Y17" s="26"/>
      <c r="Z17" s="26"/>
      <c r="AA17" s="28" t="e">
        <f>AVERAGE(T17,V17:Z17)</f>
        <v>#DIV/0!</v>
      </c>
      <c r="AB17" s="26" t="s">
        <v>31</v>
      </c>
      <c r="AC17" s="26"/>
      <c r="AD17" s="27"/>
      <c r="AE17" s="26"/>
      <c r="AF17" s="26">
        <v>38</v>
      </c>
      <c r="AG17" s="26">
        <v>53</v>
      </c>
      <c r="AH17" s="26">
        <v>22</v>
      </c>
      <c r="AI17" s="26">
        <v>23</v>
      </c>
      <c r="AJ17" s="28">
        <f>AVERAGE(AC17,AE17:AI17)</f>
        <v>34</v>
      </c>
      <c r="AK17" s="29" t="s">
        <v>31</v>
      </c>
      <c r="AL17" s="26">
        <v>9</v>
      </c>
      <c r="AM17" s="27"/>
      <c r="AN17" s="26">
        <v>42</v>
      </c>
      <c r="AO17" s="26">
        <v>41</v>
      </c>
      <c r="AP17" s="26">
        <v>37</v>
      </c>
      <c r="AQ17" s="26">
        <v>18</v>
      </c>
      <c r="AR17" s="26">
        <v>23</v>
      </c>
      <c r="AS17" s="28">
        <f>AVERAGE(AL17,AN17:AR17)</f>
        <v>28.333333333333332</v>
      </c>
    </row>
    <row r="18" spans="1:45" ht="12.75">
      <c r="A18" s="26" t="s">
        <v>32</v>
      </c>
      <c r="B18" s="27"/>
      <c r="C18" s="27"/>
      <c r="D18" s="26"/>
      <c r="E18" s="26"/>
      <c r="F18" s="26"/>
      <c r="G18" s="26"/>
      <c r="H18" s="26"/>
      <c r="I18" s="28" t="e">
        <f t="shared" ref="I18:I20" si="10">AVERAGE(D18:H18)</f>
        <v>#DIV/0!</v>
      </c>
      <c r="J18" s="26" t="s">
        <v>32</v>
      </c>
      <c r="K18" s="27"/>
      <c r="L18" s="27"/>
      <c r="M18" s="26"/>
      <c r="N18" s="26"/>
      <c r="O18" s="26"/>
      <c r="P18" s="26"/>
      <c r="Q18" s="26"/>
      <c r="R18" s="28" t="e">
        <f t="shared" ref="R18:R20" si="11">AVERAGE(M18:Q18)</f>
        <v>#DIV/0!</v>
      </c>
      <c r="S18" s="26" t="s">
        <v>32</v>
      </c>
      <c r="T18" s="27"/>
      <c r="U18" s="27"/>
      <c r="V18" s="26"/>
      <c r="W18" s="26"/>
      <c r="X18" s="26"/>
      <c r="Y18" s="26"/>
      <c r="Z18" s="26"/>
      <c r="AA18" s="28" t="e">
        <f t="shared" ref="AA18:AA20" si="12">AVERAGE(V18:Z18)</f>
        <v>#DIV/0!</v>
      </c>
      <c r="AB18" s="26" t="s">
        <v>32</v>
      </c>
      <c r="AC18" s="27"/>
      <c r="AD18" s="27"/>
      <c r="AE18" s="26"/>
      <c r="AF18" s="26">
        <v>40</v>
      </c>
      <c r="AG18" s="26">
        <v>31</v>
      </c>
      <c r="AH18" s="26">
        <v>23</v>
      </c>
      <c r="AI18" s="26">
        <v>22</v>
      </c>
      <c r="AJ18" s="28">
        <f t="shared" ref="AJ18:AJ20" si="13">AVERAGE(AE18:AI18)</f>
        <v>29</v>
      </c>
      <c r="AK18" s="29" t="s">
        <v>32</v>
      </c>
      <c r="AL18" s="27"/>
      <c r="AM18" s="27"/>
      <c r="AN18" s="26">
        <v>41</v>
      </c>
      <c r="AO18" s="26">
        <v>24</v>
      </c>
      <c r="AP18" s="26">
        <v>48</v>
      </c>
      <c r="AQ18" s="26">
        <v>23</v>
      </c>
      <c r="AR18" s="26">
        <v>22</v>
      </c>
      <c r="AS18" s="28">
        <f t="shared" ref="AS18:AS20" si="14">AVERAGE(AN18:AR18)</f>
        <v>31.6</v>
      </c>
    </row>
    <row r="19" spans="1:45" ht="12.75">
      <c r="A19" s="26" t="s">
        <v>33</v>
      </c>
      <c r="B19" s="27"/>
      <c r="C19" s="27"/>
      <c r="D19" s="26"/>
      <c r="E19" s="26"/>
      <c r="F19" s="26"/>
      <c r="G19" s="26"/>
      <c r="H19" s="26"/>
      <c r="I19" s="28" t="e">
        <f t="shared" si="10"/>
        <v>#DIV/0!</v>
      </c>
      <c r="J19" s="26" t="s">
        <v>33</v>
      </c>
      <c r="K19" s="27"/>
      <c r="L19" s="27"/>
      <c r="M19" s="26"/>
      <c r="N19" s="26"/>
      <c r="O19" s="26"/>
      <c r="P19" s="26"/>
      <c r="Q19" s="26"/>
      <c r="R19" s="28" t="e">
        <f t="shared" si="11"/>
        <v>#DIV/0!</v>
      </c>
      <c r="S19" s="26" t="s">
        <v>33</v>
      </c>
      <c r="T19" s="27"/>
      <c r="U19" s="27"/>
      <c r="V19" s="26"/>
      <c r="W19" s="26"/>
      <c r="X19" s="26"/>
      <c r="Y19" s="26"/>
      <c r="Z19" s="26"/>
      <c r="AA19" s="28" t="e">
        <f t="shared" si="12"/>
        <v>#DIV/0!</v>
      </c>
      <c r="AB19" s="26" t="s">
        <v>33</v>
      </c>
      <c r="AC19" s="27"/>
      <c r="AD19" s="27"/>
      <c r="AE19" s="26"/>
      <c r="AF19" s="26">
        <v>24</v>
      </c>
      <c r="AG19" s="26">
        <v>19</v>
      </c>
      <c r="AH19" s="26">
        <v>17</v>
      </c>
      <c r="AI19" s="26">
        <v>18</v>
      </c>
      <c r="AJ19" s="28">
        <f t="shared" si="13"/>
        <v>19.5</v>
      </c>
      <c r="AK19" s="29" t="s">
        <v>33</v>
      </c>
      <c r="AL19" s="27"/>
      <c r="AM19" s="27"/>
      <c r="AN19" s="26">
        <v>36</v>
      </c>
      <c r="AO19" s="26">
        <v>30</v>
      </c>
      <c r="AP19" s="26">
        <v>22</v>
      </c>
      <c r="AQ19" s="26">
        <v>16</v>
      </c>
      <c r="AR19" s="26">
        <v>18</v>
      </c>
      <c r="AS19" s="28">
        <f t="shared" si="14"/>
        <v>24.4</v>
      </c>
    </row>
    <row r="20" spans="1:45" ht="12.75">
      <c r="A20" s="26" t="s">
        <v>34</v>
      </c>
      <c r="B20" s="27"/>
      <c r="C20" s="27"/>
      <c r="D20" s="26"/>
      <c r="E20" s="26"/>
      <c r="F20" s="26"/>
      <c r="G20" s="26"/>
      <c r="H20" s="26"/>
      <c r="I20" s="28" t="e">
        <f t="shared" si="10"/>
        <v>#DIV/0!</v>
      </c>
      <c r="J20" s="26" t="s">
        <v>34</v>
      </c>
      <c r="K20" s="27"/>
      <c r="L20" s="27"/>
      <c r="M20" s="26"/>
      <c r="N20" s="26"/>
      <c r="O20" s="26"/>
      <c r="P20" s="26"/>
      <c r="Q20" s="26"/>
      <c r="R20" s="28" t="e">
        <f t="shared" si="11"/>
        <v>#DIV/0!</v>
      </c>
      <c r="S20" s="26" t="s">
        <v>34</v>
      </c>
      <c r="T20" s="27"/>
      <c r="U20" s="27"/>
      <c r="V20" s="26"/>
      <c r="W20" s="26"/>
      <c r="X20" s="26"/>
      <c r="Y20" s="26"/>
      <c r="Z20" s="26"/>
      <c r="AA20" s="28" t="e">
        <f t="shared" si="12"/>
        <v>#DIV/0!</v>
      </c>
      <c r="AB20" s="26" t="s">
        <v>34</v>
      </c>
      <c r="AC20" s="27"/>
      <c r="AD20" s="27"/>
      <c r="AE20" s="26"/>
      <c r="AF20" s="26">
        <v>14</v>
      </c>
      <c r="AG20" s="26">
        <v>17</v>
      </c>
      <c r="AH20" s="26">
        <v>8</v>
      </c>
      <c r="AI20" s="26">
        <v>11</v>
      </c>
      <c r="AJ20" s="28">
        <f t="shared" si="13"/>
        <v>12.5</v>
      </c>
      <c r="AK20" s="29" t="s">
        <v>34</v>
      </c>
      <c r="AL20" s="27"/>
      <c r="AM20" s="27"/>
      <c r="AN20" s="26">
        <v>13</v>
      </c>
      <c r="AO20" s="26">
        <v>16</v>
      </c>
      <c r="AP20" s="26">
        <v>10</v>
      </c>
      <c r="AQ20" s="26">
        <v>16</v>
      </c>
      <c r="AR20" s="26">
        <v>11</v>
      </c>
      <c r="AS20" s="28">
        <f t="shared" si="14"/>
        <v>13.2</v>
      </c>
    </row>
    <row r="21" spans="1:45" ht="12.75">
      <c r="A21" s="30" t="s">
        <v>42</v>
      </c>
      <c r="B21" s="8">
        <f t="shared" ref="B21:H21" si="15">SUM(B5:B20)</f>
        <v>0</v>
      </c>
      <c r="C21" s="8">
        <f t="shared" si="15"/>
        <v>0</v>
      </c>
      <c r="D21" s="8">
        <f t="shared" si="15"/>
        <v>0</v>
      </c>
      <c r="E21" s="8">
        <f t="shared" si="15"/>
        <v>0</v>
      </c>
      <c r="F21" s="8">
        <f t="shared" si="15"/>
        <v>0</v>
      </c>
      <c r="G21" s="8">
        <f t="shared" si="15"/>
        <v>0</v>
      </c>
      <c r="H21" s="8">
        <f t="shared" si="15"/>
        <v>0</v>
      </c>
      <c r="I21" s="28">
        <f>AVERAGE(B21:H21)</f>
        <v>0</v>
      </c>
      <c r="J21" s="30" t="s">
        <v>42</v>
      </c>
      <c r="K21" s="8">
        <f t="shared" ref="K21:Q21" si="16">SUM(K5:K20)</f>
        <v>0</v>
      </c>
      <c r="L21" s="8">
        <f t="shared" si="16"/>
        <v>0</v>
      </c>
      <c r="M21" s="8">
        <f t="shared" si="16"/>
        <v>0</v>
      </c>
      <c r="N21" s="8">
        <f t="shared" si="16"/>
        <v>0</v>
      </c>
      <c r="O21" s="8">
        <f t="shared" si="16"/>
        <v>0</v>
      </c>
      <c r="P21" s="8">
        <f t="shared" si="16"/>
        <v>0</v>
      </c>
      <c r="Q21" s="8">
        <f t="shared" si="16"/>
        <v>0</v>
      </c>
      <c r="R21" s="28">
        <f>AVERAGE(K21:Q21)</f>
        <v>0</v>
      </c>
      <c r="S21" s="30" t="s">
        <v>42</v>
      </c>
      <c r="T21" s="8">
        <f t="shared" ref="T21:Z21" si="17">SUM(T5:T20)</f>
        <v>0</v>
      </c>
      <c r="U21" s="8">
        <f t="shared" si="17"/>
        <v>0</v>
      </c>
      <c r="V21" s="8">
        <f t="shared" si="17"/>
        <v>0</v>
      </c>
      <c r="W21" s="8">
        <f t="shared" si="17"/>
        <v>0</v>
      </c>
      <c r="X21" s="8">
        <f t="shared" si="17"/>
        <v>0</v>
      </c>
      <c r="Y21" s="8">
        <f t="shared" si="17"/>
        <v>0</v>
      </c>
      <c r="Z21" s="8">
        <f t="shared" si="17"/>
        <v>0</v>
      </c>
      <c r="AA21" s="28">
        <f>AVERAGE(T21:Z21)</f>
        <v>0</v>
      </c>
      <c r="AB21" s="30" t="s">
        <v>42</v>
      </c>
      <c r="AC21" s="8">
        <f t="shared" ref="AC21:AI21" si="18">SUM(AC5:AC20)</f>
        <v>0</v>
      </c>
      <c r="AD21" s="8">
        <f t="shared" si="18"/>
        <v>0</v>
      </c>
      <c r="AE21" s="8">
        <f t="shared" si="18"/>
        <v>0</v>
      </c>
      <c r="AF21" s="8">
        <f t="shared" si="18"/>
        <v>286</v>
      </c>
      <c r="AG21" s="8">
        <f t="shared" si="18"/>
        <v>434</v>
      </c>
      <c r="AH21" s="8">
        <f t="shared" si="18"/>
        <v>303</v>
      </c>
      <c r="AI21" s="8">
        <f t="shared" si="18"/>
        <v>283</v>
      </c>
      <c r="AJ21" s="28">
        <f>AVERAGE(AC21:AI21)</f>
        <v>186.57142857142858</v>
      </c>
      <c r="AK21" s="31" t="s">
        <v>42</v>
      </c>
      <c r="AL21" s="8">
        <f t="shared" ref="AL21:AR21" si="19">SUM(AL5:AL20)</f>
        <v>325</v>
      </c>
      <c r="AM21" s="8">
        <f t="shared" si="19"/>
        <v>292</v>
      </c>
      <c r="AN21" s="8">
        <f t="shared" si="19"/>
        <v>476</v>
      </c>
      <c r="AO21" s="8">
        <f t="shared" si="19"/>
        <v>477</v>
      </c>
      <c r="AP21" s="8">
        <f t="shared" si="19"/>
        <v>461</v>
      </c>
      <c r="AQ21" s="8">
        <f t="shared" si="19"/>
        <v>340</v>
      </c>
      <c r="AR21" s="8">
        <f t="shared" si="19"/>
        <v>348</v>
      </c>
      <c r="AS21" s="28">
        <f>AVERAGE(AL21:AR21)</f>
        <v>388.42857142857144</v>
      </c>
    </row>
    <row r="22" spans="1:45" ht="12.75">
      <c r="A22" s="32" t="s">
        <v>43</v>
      </c>
      <c r="B22" s="33">
        <f>SUM(B21:H21)</f>
        <v>0</v>
      </c>
      <c r="I22" s="20"/>
      <c r="J22" s="32" t="s">
        <v>43</v>
      </c>
      <c r="K22" s="33">
        <f>SUM(K21:Q21)</f>
        <v>0</v>
      </c>
      <c r="R22" s="20"/>
      <c r="S22" s="32" t="s">
        <v>43</v>
      </c>
      <c r="T22" s="33">
        <f>SUM(T21:Z21)</f>
        <v>0</v>
      </c>
      <c r="AA22" s="20"/>
      <c r="AB22" s="32" t="s">
        <v>43</v>
      </c>
      <c r="AC22" s="33">
        <f>SUM(AC21:AI21)</f>
        <v>1306</v>
      </c>
      <c r="AJ22" s="20"/>
      <c r="AK22" s="34" t="s">
        <v>43</v>
      </c>
      <c r="AL22" s="33">
        <f>SUM(AL21:AR21)</f>
        <v>2719</v>
      </c>
      <c r="AS22" s="20"/>
    </row>
    <row r="23" spans="1:45" ht="12.75">
      <c r="A23" s="32" t="s">
        <v>43</v>
      </c>
      <c r="B23" s="33" t="e">
        <f>SUM(#REF!)</f>
        <v>#REF!</v>
      </c>
      <c r="I23" s="20"/>
      <c r="J23" s="32" t="s">
        <v>43</v>
      </c>
      <c r="K23" s="33" t="e">
        <f>SUM(#REF!)</f>
        <v>#REF!</v>
      </c>
      <c r="R23" s="20"/>
      <c r="S23" s="32" t="s">
        <v>43</v>
      </c>
      <c r="T23" s="33" t="e">
        <f>SUM(#REF!)</f>
        <v>#REF!</v>
      </c>
      <c r="AA23" s="20"/>
      <c r="AB23" s="32" t="s">
        <v>43</v>
      </c>
      <c r="AC23" s="33" t="e">
        <f>SUM(#REF!)</f>
        <v>#REF!</v>
      </c>
      <c r="AJ23" s="20"/>
      <c r="AK23" s="34" t="s">
        <v>43</v>
      </c>
      <c r="AL23" s="33" t="e">
        <f>SUM(#REF!)</f>
        <v>#REF!</v>
      </c>
      <c r="AS23" s="20"/>
    </row>
    <row r="24" spans="1:45" ht="12.75">
      <c r="A24" s="35" t="s">
        <v>14</v>
      </c>
      <c r="B24" s="35" t="s">
        <v>5</v>
      </c>
      <c r="C24" s="35" t="s">
        <v>6</v>
      </c>
      <c r="D24" s="35" t="s">
        <v>7</v>
      </c>
      <c r="E24" s="35" t="s">
        <v>8</v>
      </c>
      <c r="F24" s="35" t="s">
        <v>9</v>
      </c>
      <c r="G24" s="35" t="s">
        <v>10</v>
      </c>
      <c r="H24" s="35" t="s">
        <v>11</v>
      </c>
      <c r="I24" s="24" t="s">
        <v>40</v>
      </c>
      <c r="J24" s="35" t="s">
        <v>14</v>
      </c>
      <c r="K24" s="35" t="s">
        <v>5</v>
      </c>
      <c r="L24" s="35" t="s">
        <v>6</v>
      </c>
      <c r="M24" s="35" t="s">
        <v>7</v>
      </c>
      <c r="N24" s="35" t="s">
        <v>8</v>
      </c>
      <c r="O24" s="35" t="s">
        <v>9</v>
      </c>
      <c r="P24" s="35" t="s">
        <v>10</v>
      </c>
      <c r="Q24" s="35" t="s">
        <v>11</v>
      </c>
      <c r="R24" s="24" t="s">
        <v>40</v>
      </c>
      <c r="S24" s="35" t="s">
        <v>14</v>
      </c>
      <c r="T24" s="35" t="s">
        <v>5</v>
      </c>
      <c r="U24" s="35" t="s">
        <v>6</v>
      </c>
      <c r="V24" s="35" t="s">
        <v>7</v>
      </c>
      <c r="W24" s="35" t="s">
        <v>8</v>
      </c>
      <c r="X24" s="35" t="s">
        <v>9</v>
      </c>
      <c r="Y24" s="35" t="s">
        <v>10</v>
      </c>
      <c r="Z24" s="35" t="s">
        <v>11</v>
      </c>
      <c r="AA24" s="24" t="s">
        <v>40</v>
      </c>
      <c r="AB24" s="35" t="s">
        <v>14</v>
      </c>
      <c r="AC24" s="35" t="s">
        <v>5</v>
      </c>
      <c r="AD24" s="35" t="s">
        <v>6</v>
      </c>
      <c r="AE24" s="35" t="s">
        <v>7</v>
      </c>
      <c r="AF24" s="35" t="s">
        <v>8</v>
      </c>
      <c r="AG24" s="35" t="s">
        <v>9</v>
      </c>
      <c r="AH24" s="35" t="s">
        <v>10</v>
      </c>
      <c r="AI24" s="35" t="s">
        <v>11</v>
      </c>
      <c r="AJ24" s="24" t="s">
        <v>44</v>
      </c>
      <c r="AK24" s="36" t="s">
        <v>14</v>
      </c>
      <c r="AL24" s="35" t="s">
        <v>5</v>
      </c>
      <c r="AM24" s="35" t="s">
        <v>6</v>
      </c>
      <c r="AN24" s="35" t="s">
        <v>7</v>
      </c>
      <c r="AO24" s="35" t="s">
        <v>8</v>
      </c>
      <c r="AP24" s="35" t="s">
        <v>9</v>
      </c>
      <c r="AQ24" s="35" t="s">
        <v>10</v>
      </c>
      <c r="AR24" s="35" t="s">
        <v>11</v>
      </c>
      <c r="AS24" s="24" t="s">
        <v>40</v>
      </c>
    </row>
    <row r="25" spans="1:45" ht="12.75">
      <c r="A25" s="26" t="s">
        <v>12</v>
      </c>
      <c r="B25" s="27"/>
      <c r="C25" s="27"/>
      <c r="D25" s="26"/>
      <c r="E25" s="26"/>
      <c r="F25" s="26"/>
      <c r="G25" s="26"/>
      <c r="H25" s="26"/>
      <c r="I25" s="28" t="e">
        <f t="shared" ref="I25:I26" si="20">AVERAGE(D25:H25)</f>
        <v>#DIV/0!</v>
      </c>
      <c r="J25" s="26" t="s">
        <v>12</v>
      </c>
      <c r="K25" s="27"/>
      <c r="L25" s="27"/>
      <c r="M25" s="26"/>
      <c r="N25" s="26"/>
      <c r="O25" s="26"/>
      <c r="P25" s="26"/>
      <c r="Q25" s="26"/>
      <c r="R25" s="28" t="e">
        <f t="shared" ref="R25:R26" si="21">AVERAGE(M25:Q25)</f>
        <v>#DIV/0!</v>
      </c>
      <c r="S25" s="26" t="s">
        <v>12</v>
      </c>
      <c r="T25" s="27"/>
      <c r="U25" s="27"/>
      <c r="V25" s="26"/>
      <c r="W25" s="26"/>
      <c r="X25" s="26"/>
      <c r="Y25" s="26"/>
      <c r="Z25" s="26"/>
      <c r="AA25" s="28" t="e">
        <f t="shared" ref="AA25:AA26" si="22">AVERAGE(V25:Z25)</f>
        <v>#DIV/0!</v>
      </c>
      <c r="AB25" s="26" t="s">
        <v>12</v>
      </c>
      <c r="AC25" s="27"/>
      <c r="AD25" s="27"/>
      <c r="AE25" s="26"/>
      <c r="AF25" s="26"/>
      <c r="AG25" s="26">
        <v>3</v>
      </c>
      <c r="AH25" s="26">
        <v>11</v>
      </c>
      <c r="AI25" s="26">
        <v>4</v>
      </c>
      <c r="AJ25" s="28">
        <f t="shared" ref="AJ25:AJ26" si="23">AVERAGE(AE25:AI25)</f>
        <v>6</v>
      </c>
      <c r="AK25" s="29" t="s">
        <v>12</v>
      </c>
      <c r="AL25" s="27"/>
      <c r="AM25" s="27"/>
      <c r="AN25" s="26">
        <v>5</v>
      </c>
      <c r="AO25" s="26">
        <v>6</v>
      </c>
      <c r="AP25" s="26">
        <v>7</v>
      </c>
      <c r="AQ25" s="26">
        <v>4</v>
      </c>
      <c r="AR25" s="26">
        <v>5</v>
      </c>
      <c r="AS25" s="28">
        <f t="shared" ref="AS25:AS26" si="24">AVERAGE(AN25:AR25)</f>
        <v>5.4</v>
      </c>
    </row>
    <row r="26" spans="1:45" ht="12.75">
      <c r="A26" s="26" t="s">
        <v>19</v>
      </c>
      <c r="B26" s="27"/>
      <c r="C26" s="27"/>
      <c r="D26" s="26"/>
      <c r="E26" s="26"/>
      <c r="F26" s="26"/>
      <c r="G26" s="26"/>
      <c r="H26" s="26"/>
      <c r="I26" s="28" t="e">
        <f t="shared" si="20"/>
        <v>#DIV/0!</v>
      </c>
      <c r="J26" s="26" t="s">
        <v>19</v>
      </c>
      <c r="K26" s="27"/>
      <c r="L26" s="27"/>
      <c r="M26" s="26"/>
      <c r="N26" s="26"/>
      <c r="O26" s="26"/>
      <c r="P26" s="26"/>
      <c r="Q26" s="26"/>
      <c r="R26" s="28" t="e">
        <f t="shared" si="21"/>
        <v>#DIV/0!</v>
      </c>
      <c r="S26" s="26" t="s">
        <v>19</v>
      </c>
      <c r="T26" s="27"/>
      <c r="U26" s="27"/>
      <c r="V26" s="26"/>
      <c r="W26" s="26"/>
      <c r="X26" s="26"/>
      <c r="Y26" s="26"/>
      <c r="Z26" s="26"/>
      <c r="AA26" s="28" t="e">
        <f t="shared" si="22"/>
        <v>#DIV/0!</v>
      </c>
      <c r="AB26" s="26" t="s">
        <v>19</v>
      </c>
      <c r="AC26" s="27"/>
      <c r="AD26" s="27"/>
      <c r="AE26" s="26"/>
      <c r="AF26" s="26"/>
      <c r="AG26" s="26">
        <v>10</v>
      </c>
      <c r="AH26" s="26">
        <v>12</v>
      </c>
      <c r="AI26" s="26">
        <v>6</v>
      </c>
      <c r="AJ26" s="28">
        <f t="shared" si="23"/>
        <v>9.3333333333333339</v>
      </c>
      <c r="AK26" s="29" t="s">
        <v>19</v>
      </c>
      <c r="AL26" s="27"/>
      <c r="AM26" s="27"/>
      <c r="AN26" s="26">
        <v>6</v>
      </c>
      <c r="AO26" s="26">
        <v>3</v>
      </c>
      <c r="AP26" s="26">
        <v>11</v>
      </c>
      <c r="AQ26" s="26">
        <v>6</v>
      </c>
      <c r="AR26" s="26">
        <v>10</v>
      </c>
      <c r="AS26" s="28">
        <f t="shared" si="24"/>
        <v>7.2</v>
      </c>
    </row>
    <row r="27" spans="1:45" ht="12.75">
      <c r="A27" s="26" t="s">
        <v>20</v>
      </c>
      <c r="B27" s="26"/>
      <c r="C27" s="27"/>
      <c r="D27" s="26"/>
      <c r="E27" s="26"/>
      <c r="F27" s="26"/>
      <c r="G27" s="26"/>
      <c r="H27" s="26"/>
      <c r="I27" s="28" t="e">
        <f>AVERAGE(B27,D27:H27)</f>
        <v>#DIV/0!</v>
      </c>
      <c r="J27" s="26" t="s">
        <v>20</v>
      </c>
      <c r="K27" s="26"/>
      <c r="L27" s="27"/>
      <c r="M27" s="26"/>
      <c r="N27" s="26"/>
      <c r="O27" s="26"/>
      <c r="P27" s="26"/>
      <c r="Q27" s="26"/>
      <c r="R27" s="28" t="e">
        <f>AVERAGE(K27,M27:Q27)</f>
        <v>#DIV/0!</v>
      </c>
      <c r="S27" s="26" t="s">
        <v>20</v>
      </c>
      <c r="T27" s="26"/>
      <c r="U27" s="27"/>
      <c r="V27" s="26"/>
      <c r="W27" s="26"/>
      <c r="X27" s="26"/>
      <c r="Y27" s="26"/>
      <c r="Z27" s="26"/>
      <c r="AA27" s="28" t="e">
        <f>AVERAGE(T27,V27:Z27)</f>
        <v>#DIV/0!</v>
      </c>
      <c r="AB27" s="26" t="s">
        <v>20</v>
      </c>
      <c r="AC27" s="26"/>
      <c r="AD27" s="27"/>
      <c r="AE27" s="26"/>
      <c r="AF27" s="26"/>
      <c r="AG27" s="26">
        <v>12</v>
      </c>
      <c r="AH27" s="26">
        <v>5</v>
      </c>
      <c r="AI27" s="26">
        <v>11</v>
      </c>
      <c r="AJ27" s="28">
        <f>AVERAGE(AC27,AE27:AI27)</f>
        <v>9.3333333333333339</v>
      </c>
      <c r="AK27" s="29" t="s">
        <v>20</v>
      </c>
      <c r="AL27" s="26">
        <v>8</v>
      </c>
      <c r="AM27" s="27"/>
      <c r="AN27" s="26">
        <v>10</v>
      </c>
      <c r="AO27" s="26">
        <v>13</v>
      </c>
      <c r="AP27" s="26">
        <v>7</v>
      </c>
      <c r="AQ27" s="26">
        <v>5</v>
      </c>
      <c r="AR27" s="26">
        <v>9</v>
      </c>
      <c r="AS27" s="28">
        <f>AVERAGE(AL27,AN27:AR27)</f>
        <v>8.6666666666666661</v>
      </c>
    </row>
    <row r="28" spans="1:45" ht="12.75">
      <c r="A28" s="26" t="s">
        <v>21</v>
      </c>
      <c r="B28" s="26"/>
      <c r="C28" s="26"/>
      <c r="D28" s="26"/>
      <c r="E28" s="26"/>
      <c r="F28" s="26"/>
      <c r="G28" s="26"/>
      <c r="H28" s="26"/>
      <c r="I28" s="28" t="e">
        <f t="shared" ref="I28:I36" si="25">AVERAGE(B28:H28)</f>
        <v>#DIV/0!</v>
      </c>
      <c r="J28" s="26" t="s">
        <v>21</v>
      </c>
      <c r="K28" s="26"/>
      <c r="L28" s="26"/>
      <c r="M28" s="26"/>
      <c r="N28" s="26"/>
      <c r="O28" s="26"/>
      <c r="P28" s="26"/>
      <c r="Q28" s="26"/>
      <c r="R28" s="28" t="e">
        <f t="shared" ref="R28:R36" si="26">AVERAGE(K28:Q28)</f>
        <v>#DIV/0!</v>
      </c>
      <c r="S28" s="26" t="s">
        <v>21</v>
      </c>
      <c r="T28" s="26"/>
      <c r="U28" s="26"/>
      <c r="V28" s="26"/>
      <c r="W28" s="26"/>
      <c r="X28" s="26"/>
      <c r="Y28" s="26"/>
      <c r="Z28" s="26"/>
      <c r="AA28" s="28" t="e">
        <f t="shared" ref="AA28:AA36" si="27">AVERAGE(T28:Z28)</f>
        <v>#DIV/0!</v>
      </c>
      <c r="AB28" s="26" t="s">
        <v>21</v>
      </c>
      <c r="AC28" s="26"/>
      <c r="AD28" s="26"/>
      <c r="AE28" s="26"/>
      <c r="AF28" s="26">
        <v>6</v>
      </c>
      <c r="AG28" s="26">
        <v>14</v>
      </c>
      <c r="AH28" s="26">
        <v>10</v>
      </c>
      <c r="AI28" s="26"/>
      <c r="AJ28" s="28">
        <f t="shared" ref="AJ28:AJ36" si="28">AVERAGE(AC28:AI28)</f>
        <v>10</v>
      </c>
      <c r="AK28" s="29" t="s">
        <v>21</v>
      </c>
      <c r="AL28" s="26">
        <v>8</v>
      </c>
      <c r="AM28" s="26">
        <v>6</v>
      </c>
      <c r="AN28" s="26">
        <v>6</v>
      </c>
      <c r="AO28" s="26">
        <v>14</v>
      </c>
      <c r="AP28" s="26">
        <v>11</v>
      </c>
      <c r="AQ28" s="26">
        <v>11</v>
      </c>
      <c r="AR28" s="26">
        <v>10</v>
      </c>
      <c r="AS28" s="28">
        <f t="shared" ref="AS28:AS36" si="29">AVERAGE(AL28:AR28)</f>
        <v>9.4285714285714288</v>
      </c>
    </row>
    <row r="29" spans="1:45" ht="12.75">
      <c r="A29" s="26" t="s">
        <v>22</v>
      </c>
      <c r="B29" s="26"/>
      <c r="C29" s="26"/>
      <c r="D29" s="26"/>
      <c r="E29" s="26"/>
      <c r="F29" s="26"/>
      <c r="G29" s="26"/>
      <c r="H29" s="26"/>
      <c r="I29" s="28" t="e">
        <f t="shared" si="25"/>
        <v>#DIV/0!</v>
      </c>
      <c r="J29" s="26" t="s">
        <v>22</v>
      </c>
      <c r="K29" s="26"/>
      <c r="L29" s="26"/>
      <c r="M29" s="26"/>
      <c r="N29" s="26"/>
      <c r="O29" s="26"/>
      <c r="P29" s="26"/>
      <c r="Q29" s="26"/>
      <c r="R29" s="28" t="e">
        <f t="shared" si="26"/>
        <v>#DIV/0!</v>
      </c>
      <c r="S29" s="26" t="s">
        <v>22</v>
      </c>
      <c r="T29" s="26"/>
      <c r="U29" s="26"/>
      <c r="V29" s="26"/>
      <c r="W29" s="26"/>
      <c r="X29" s="26"/>
      <c r="Y29" s="26"/>
      <c r="Z29" s="26"/>
      <c r="AA29" s="28" t="e">
        <f t="shared" si="27"/>
        <v>#DIV/0!</v>
      </c>
      <c r="AB29" s="26" t="s">
        <v>22</v>
      </c>
      <c r="AC29" s="26"/>
      <c r="AD29" s="26"/>
      <c r="AE29" s="26"/>
      <c r="AF29" s="26">
        <v>17</v>
      </c>
      <c r="AG29" s="26">
        <v>12</v>
      </c>
      <c r="AH29" s="26">
        <v>20</v>
      </c>
      <c r="AI29" s="26">
        <v>18</v>
      </c>
      <c r="AJ29" s="28">
        <f t="shared" si="28"/>
        <v>16.75</v>
      </c>
      <c r="AK29" s="29" t="s">
        <v>22</v>
      </c>
      <c r="AL29" s="26">
        <v>9</v>
      </c>
      <c r="AM29" s="26">
        <v>10</v>
      </c>
      <c r="AN29" s="26">
        <v>12</v>
      </c>
      <c r="AO29" s="26">
        <v>20</v>
      </c>
      <c r="AP29" s="26">
        <v>13</v>
      </c>
      <c r="AQ29" s="26">
        <v>17</v>
      </c>
      <c r="AR29" s="26">
        <v>12</v>
      </c>
      <c r="AS29" s="28">
        <f t="shared" si="29"/>
        <v>13.285714285714286</v>
      </c>
    </row>
    <row r="30" spans="1:45" ht="12.75">
      <c r="A30" s="26" t="s">
        <v>23</v>
      </c>
      <c r="B30" s="26"/>
      <c r="C30" s="26"/>
      <c r="D30" s="26"/>
      <c r="E30" s="26"/>
      <c r="F30" s="26"/>
      <c r="G30" s="26"/>
      <c r="H30" s="26"/>
      <c r="I30" s="28" t="e">
        <f t="shared" si="25"/>
        <v>#DIV/0!</v>
      </c>
      <c r="J30" s="26" t="s">
        <v>23</v>
      </c>
      <c r="K30" s="26"/>
      <c r="L30" s="26"/>
      <c r="M30" s="26"/>
      <c r="N30" s="26"/>
      <c r="O30" s="26"/>
      <c r="P30" s="26"/>
      <c r="Q30" s="26"/>
      <c r="R30" s="28" t="e">
        <f t="shared" si="26"/>
        <v>#DIV/0!</v>
      </c>
      <c r="S30" s="26" t="s">
        <v>23</v>
      </c>
      <c r="T30" s="26"/>
      <c r="U30" s="26"/>
      <c r="V30" s="26"/>
      <c r="W30" s="26"/>
      <c r="X30" s="26"/>
      <c r="Y30" s="26"/>
      <c r="Z30" s="26"/>
      <c r="AA30" s="28" t="e">
        <f t="shared" si="27"/>
        <v>#DIV/0!</v>
      </c>
      <c r="AB30" s="26" t="s">
        <v>23</v>
      </c>
      <c r="AC30" s="26"/>
      <c r="AD30" s="26"/>
      <c r="AE30" s="26"/>
      <c r="AF30" s="26"/>
      <c r="AG30" s="26">
        <v>19</v>
      </c>
      <c r="AH30" s="26">
        <v>20</v>
      </c>
      <c r="AI30" s="26"/>
      <c r="AJ30" s="28">
        <f t="shared" si="28"/>
        <v>19.5</v>
      </c>
      <c r="AK30" s="29" t="s">
        <v>23</v>
      </c>
      <c r="AL30" s="26">
        <v>13</v>
      </c>
      <c r="AM30" s="26">
        <v>8</v>
      </c>
      <c r="AN30" s="26">
        <v>12</v>
      </c>
      <c r="AO30" s="26">
        <v>16</v>
      </c>
      <c r="AP30" s="26">
        <v>18</v>
      </c>
      <c r="AQ30" s="26">
        <v>20</v>
      </c>
      <c r="AR30" s="26">
        <v>19</v>
      </c>
      <c r="AS30" s="28">
        <f t="shared" si="29"/>
        <v>15.142857142857142</v>
      </c>
    </row>
    <row r="31" spans="1:45" ht="12.75">
      <c r="A31" s="26" t="s">
        <v>24</v>
      </c>
      <c r="B31" s="26"/>
      <c r="C31" s="26"/>
      <c r="D31" s="26"/>
      <c r="E31" s="26"/>
      <c r="F31" s="26"/>
      <c r="G31" s="26"/>
      <c r="H31" s="26"/>
      <c r="I31" s="28" t="e">
        <f t="shared" si="25"/>
        <v>#DIV/0!</v>
      </c>
      <c r="J31" s="26" t="s">
        <v>24</v>
      </c>
      <c r="K31" s="26"/>
      <c r="L31" s="26"/>
      <c r="M31" s="26"/>
      <c r="N31" s="26"/>
      <c r="O31" s="26"/>
      <c r="P31" s="26"/>
      <c r="Q31" s="26"/>
      <c r="R31" s="28" t="e">
        <f t="shared" si="26"/>
        <v>#DIV/0!</v>
      </c>
      <c r="S31" s="26" t="s">
        <v>24</v>
      </c>
      <c r="T31" s="26"/>
      <c r="U31" s="26"/>
      <c r="V31" s="26"/>
      <c r="W31" s="26"/>
      <c r="X31" s="26"/>
      <c r="Y31" s="26"/>
      <c r="Z31" s="26"/>
      <c r="AA31" s="28" t="e">
        <f t="shared" si="27"/>
        <v>#DIV/0!</v>
      </c>
      <c r="AB31" s="26" t="s">
        <v>24</v>
      </c>
      <c r="AC31" s="26"/>
      <c r="AD31" s="26"/>
      <c r="AE31" s="26"/>
      <c r="AF31" s="26"/>
      <c r="AG31" s="26">
        <v>13</v>
      </c>
      <c r="AH31" s="26">
        <v>12</v>
      </c>
      <c r="AI31" s="26"/>
      <c r="AJ31" s="28">
        <f t="shared" si="28"/>
        <v>12.5</v>
      </c>
      <c r="AK31" s="29" t="s">
        <v>24</v>
      </c>
      <c r="AL31" s="26">
        <v>7</v>
      </c>
      <c r="AM31" s="26">
        <v>15</v>
      </c>
      <c r="AN31" s="26">
        <v>15</v>
      </c>
      <c r="AO31" s="26">
        <v>15</v>
      </c>
      <c r="AP31" s="26">
        <v>15</v>
      </c>
      <c r="AQ31" s="26">
        <v>12</v>
      </c>
      <c r="AR31" s="26">
        <v>23</v>
      </c>
      <c r="AS31" s="28">
        <f t="shared" si="29"/>
        <v>14.571428571428571</v>
      </c>
    </row>
    <row r="32" spans="1:45" ht="12.75">
      <c r="A32" s="26" t="s">
        <v>25</v>
      </c>
      <c r="B32" s="26"/>
      <c r="C32" s="26"/>
      <c r="D32" s="26"/>
      <c r="E32" s="26"/>
      <c r="F32" s="26"/>
      <c r="G32" s="26"/>
      <c r="H32" s="26"/>
      <c r="I32" s="28" t="e">
        <f t="shared" si="25"/>
        <v>#DIV/0!</v>
      </c>
      <c r="J32" s="26" t="s">
        <v>25</v>
      </c>
      <c r="K32" s="26"/>
      <c r="L32" s="26"/>
      <c r="M32" s="26"/>
      <c r="N32" s="26"/>
      <c r="O32" s="26"/>
      <c r="P32" s="26"/>
      <c r="Q32" s="26"/>
      <c r="R32" s="28" t="e">
        <f t="shared" si="26"/>
        <v>#DIV/0!</v>
      </c>
      <c r="S32" s="26" t="s">
        <v>25</v>
      </c>
      <c r="T32" s="26"/>
      <c r="U32" s="26"/>
      <c r="V32" s="26"/>
      <c r="W32" s="26"/>
      <c r="X32" s="26"/>
      <c r="Y32" s="26"/>
      <c r="Z32" s="26"/>
      <c r="AA32" s="28" t="e">
        <f t="shared" si="27"/>
        <v>#DIV/0!</v>
      </c>
      <c r="AB32" s="26" t="s">
        <v>25</v>
      </c>
      <c r="AC32" s="26"/>
      <c r="AD32" s="26"/>
      <c r="AE32" s="26"/>
      <c r="AF32" s="26">
        <v>7</v>
      </c>
      <c r="AG32" s="26">
        <v>6</v>
      </c>
      <c r="AH32" s="26">
        <v>10</v>
      </c>
      <c r="AI32" s="26">
        <v>13</v>
      </c>
      <c r="AJ32" s="28">
        <f t="shared" si="28"/>
        <v>9</v>
      </c>
      <c r="AK32" s="29" t="s">
        <v>25</v>
      </c>
      <c r="AL32" s="26">
        <v>12</v>
      </c>
      <c r="AM32" s="26">
        <v>11</v>
      </c>
      <c r="AN32" s="26">
        <v>12</v>
      </c>
      <c r="AO32" s="26">
        <v>8</v>
      </c>
      <c r="AP32" s="26">
        <v>17</v>
      </c>
      <c r="AQ32" s="26">
        <v>12</v>
      </c>
      <c r="AR32" s="26">
        <v>13</v>
      </c>
      <c r="AS32" s="28">
        <f t="shared" si="29"/>
        <v>12.142857142857142</v>
      </c>
    </row>
    <row r="33" spans="1:45" ht="12.75">
      <c r="A33" s="26" t="s">
        <v>27</v>
      </c>
      <c r="B33" s="26"/>
      <c r="C33" s="26"/>
      <c r="D33" s="26"/>
      <c r="E33" s="26"/>
      <c r="F33" s="26"/>
      <c r="G33" s="26"/>
      <c r="H33" s="26"/>
      <c r="I33" s="28" t="e">
        <f t="shared" si="25"/>
        <v>#DIV/0!</v>
      </c>
      <c r="J33" s="26" t="s">
        <v>27</v>
      </c>
      <c r="K33" s="26"/>
      <c r="L33" s="26"/>
      <c r="M33" s="26"/>
      <c r="N33" s="26"/>
      <c r="O33" s="26"/>
      <c r="P33" s="26"/>
      <c r="Q33" s="26"/>
      <c r="R33" s="28" t="e">
        <f t="shared" si="26"/>
        <v>#DIV/0!</v>
      </c>
      <c r="S33" s="26" t="s">
        <v>27</v>
      </c>
      <c r="T33" s="26"/>
      <c r="U33" s="26"/>
      <c r="V33" s="26"/>
      <c r="W33" s="26"/>
      <c r="X33" s="26"/>
      <c r="Y33" s="26"/>
      <c r="Z33" s="26"/>
      <c r="AA33" s="28" t="e">
        <f t="shared" si="27"/>
        <v>#DIV/0!</v>
      </c>
      <c r="AB33" s="26" t="s">
        <v>27</v>
      </c>
      <c r="AC33" s="26"/>
      <c r="AD33" s="26"/>
      <c r="AE33" s="26"/>
      <c r="AF33" s="26">
        <v>9</v>
      </c>
      <c r="AG33" s="26">
        <v>18</v>
      </c>
      <c r="AH33" s="26">
        <v>14</v>
      </c>
      <c r="AI33" s="26">
        <v>13</v>
      </c>
      <c r="AJ33" s="28">
        <f t="shared" si="28"/>
        <v>13.5</v>
      </c>
      <c r="AK33" s="29" t="s">
        <v>27</v>
      </c>
      <c r="AL33" s="26">
        <v>11</v>
      </c>
      <c r="AM33" s="26">
        <v>8</v>
      </c>
      <c r="AN33" s="26">
        <v>12</v>
      </c>
      <c r="AO33" s="26">
        <v>9</v>
      </c>
      <c r="AP33" s="26">
        <v>21</v>
      </c>
      <c r="AQ33" s="26">
        <v>12</v>
      </c>
      <c r="AR33" s="26">
        <v>13</v>
      </c>
      <c r="AS33" s="28">
        <f t="shared" si="29"/>
        <v>12.285714285714286</v>
      </c>
    </row>
    <row r="34" spans="1:45" ht="12.75">
      <c r="A34" s="26" t="s">
        <v>28</v>
      </c>
      <c r="B34" s="26"/>
      <c r="C34" s="26"/>
      <c r="D34" s="26"/>
      <c r="E34" s="26"/>
      <c r="F34" s="26"/>
      <c r="G34" s="26"/>
      <c r="H34" s="26"/>
      <c r="I34" s="28" t="e">
        <f t="shared" si="25"/>
        <v>#DIV/0!</v>
      </c>
      <c r="J34" s="26" t="s">
        <v>28</v>
      </c>
      <c r="K34" s="26"/>
      <c r="L34" s="26"/>
      <c r="M34" s="26"/>
      <c r="N34" s="26"/>
      <c r="O34" s="26"/>
      <c r="P34" s="26"/>
      <c r="Q34" s="26"/>
      <c r="R34" s="28" t="e">
        <f t="shared" si="26"/>
        <v>#DIV/0!</v>
      </c>
      <c r="S34" s="26" t="s">
        <v>28</v>
      </c>
      <c r="T34" s="26"/>
      <c r="U34" s="26"/>
      <c r="V34" s="26"/>
      <c r="W34" s="26"/>
      <c r="X34" s="26"/>
      <c r="Y34" s="26"/>
      <c r="Z34" s="26"/>
      <c r="AA34" s="28" t="e">
        <f t="shared" si="27"/>
        <v>#DIV/0!</v>
      </c>
      <c r="AB34" s="26" t="s">
        <v>28</v>
      </c>
      <c r="AC34" s="26"/>
      <c r="AD34" s="26"/>
      <c r="AE34" s="26"/>
      <c r="AF34" s="26">
        <v>8</v>
      </c>
      <c r="AG34" s="26">
        <v>12</v>
      </c>
      <c r="AH34" s="26">
        <v>15</v>
      </c>
      <c r="AI34" s="26">
        <v>9</v>
      </c>
      <c r="AJ34" s="28">
        <f t="shared" si="28"/>
        <v>11</v>
      </c>
      <c r="AK34" s="29" t="s">
        <v>28</v>
      </c>
      <c r="AL34" s="26">
        <v>12</v>
      </c>
      <c r="AM34" s="26">
        <v>11</v>
      </c>
      <c r="AN34" s="26">
        <v>12</v>
      </c>
      <c r="AO34" s="26">
        <v>12</v>
      </c>
      <c r="AP34" s="26">
        <v>15</v>
      </c>
      <c r="AQ34" s="26">
        <v>9</v>
      </c>
      <c r="AR34" s="26">
        <v>9</v>
      </c>
      <c r="AS34" s="28">
        <f t="shared" si="29"/>
        <v>11.428571428571429</v>
      </c>
    </row>
    <row r="35" spans="1:45" ht="12.75">
      <c r="A35" s="26" t="s">
        <v>29</v>
      </c>
      <c r="B35" s="26"/>
      <c r="C35" s="26"/>
      <c r="D35" s="26"/>
      <c r="E35" s="26"/>
      <c r="F35" s="26"/>
      <c r="G35" s="26"/>
      <c r="H35" s="26"/>
      <c r="I35" s="28" t="e">
        <f t="shared" si="25"/>
        <v>#DIV/0!</v>
      </c>
      <c r="J35" s="26" t="s">
        <v>29</v>
      </c>
      <c r="K35" s="26"/>
      <c r="L35" s="26"/>
      <c r="M35" s="26"/>
      <c r="N35" s="26"/>
      <c r="O35" s="26"/>
      <c r="P35" s="26"/>
      <c r="Q35" s="26"/>
      <c r="R35" s="28" t="e">
        <f t="shared" si="26"/>
        <v>#DIV/0!</v>
      </c>
      <c r="S35" s="26" t="s">
        <v>29</v>
      </c>
      <c r="T35" s="26"/>
      <c r="U35" s="26"/>
      <c r="V35" s="26"/>
      <c r="W35" s="26"/>
      <c r="X35" s="26"/>
      <c r="Y35" s="26"/>
      <c r="Z35" s="26"/>
      <c r="AA35" s="28" t="e">
        <f t="shared" si="27"/>
        <v>#DIV/0!</v>
      </c>
      <c r="AB35" s="26" t="s">
        <v>29</v>
      </c>
      <c r="AC35" s="26"/>
      <c r="AD35" s="26"/>
      <c r="AE35" s="26"/>
      <c r="AF35" s="26">
        <v>13</v>
      </c>
      <c r="AG35" s="26">
        <v>11</v>
      </c>
      <c r="AH35" s="26">
        <v>5</v>
      </c>
      <c r="AI35" s="26">
        <v>10</v>
      </c>
      <c r="AJ35" s="28">
        <f t="shared" si="28"/>
        <v>9.75</v>
      </c>
      <c r="AK35" s="29" t="s">
        <v>29</v>
      </c>
      <c r="AL35" s="26">
        <v>8</v>
      </c>
      <c r="AM35" s="26">
        <v>11</v>
      </c>
      <c r="AN35" s="26">
        <v>20</v>
      </c>
      <c r="AO35" s="26">
        <v>12</v>
      </c>
      <c r="AP35" s="26">
        <v>18</v>
      </c>
      <c r="AQ35" s="26">
        <v>7</v>
      </c>
      <c r="AR35" s="26">
        <v>10</v>
      </c>
      <c r="AS35" s="28">
        <f t="shared" si="29"/>
        <v>12.285714285714286</v>
      </c>
    </row>
    <row r="36" spans="1:45" ht="12.75">
      <c r="A36" s="26" t="s">
        <v>30</v>
      </c>
      <c r="B36" s="26"/>
      <c r="C36" s="26"/>
      <c r="D36" s="26"/>
      <c r="E36" s="26"/>
      <c r="F36" s="26"/>
      <c r="G36" s="26"/>
      <c r="H36" s="26"/>
      <c r="I36" s="28" t="e">
        <f t="shared" si="25"/>
        <v>#DIV/0!</v>
      </c>
      <c r="J36" s="26" t="s">
        <v>30</v>
      </c>
      <c r="K36" s="26"/>
      <c r="L36" s="26"/>
      <c r="M36" s="26"/>
      <c r="N36" s="26"/>
      <c r="O36" s="26"/>
      <c r="P36" s="26"/>
      <c r="Q36" s="26"/>
      <c r="R36" s="28" t="e">
        <f t="shared" si="26"/>
        <v>#DIV/0!</v>
      </c>
      <c r="S36" s="26" t="s">
        <v>30</v>
      </c>
      <c r="T36" s="26"/>
      <c r="U36" s="26"/>
      <c r="V36" s="26"/>
      <c r="W36" s="26"/>
      <c r="X36" s="26"/>
      <c r="Y36" s="26"/>
      <c r="Z36" s="26"/>
      <c r="AA36" s="28" t="e">
        <f t="shared" si="27"/>
        <v>#DIV/0!</v>
      </c>
      <c r="AB36" s="26" t="s">
        <v>30</v>
      </c>
      <c r="AC36" s="26"/>
      <c r="AD36" s="26"/>
      <c r="AE36" s="26"/>
      <c r="AF36" s="26">
        <v>8</v>
      </c>
      <c r="AG36" s="26">
        <v>8</v>
      </c>
      <c r="AH36" s="26">
        <v>8</v>
      </c>
      <c r="AI36" s="26">
        <v>8</v>
      </c>
      <c r="AJ36" s="28">
        <f t="shared" si="28"/>
        <v>8</v>
      </c>
      <c r="AK36" s="29" t="s">
        <v>30</v>
      </c>
      <c r="AL36" s="26">
        <v>4</v>
      </c>
      <c r="AM36" s="26">
        <v>8</v>
      </c>
      <c r="AN36" s="26">
        <v>15</v>
      </c>
      <c r="AO36" s="26">
        <v>14</v>
      </c>
      <c r="AP36" s="26">
        <v>17</v>
      </c>
      <c r="AQ36" s="26">
        <v>5</v>
      </c>
      <c r="AR36" s="26">
        <v>8</v>
      </c>
      <c r="AS36" s="28">
        <f t="shared" si="29"/>
        <v>10.142857142857142</v>
      </c>
    </row>
    <row r="37" spans="1:45" ht="12.75">
      <c r="A37" s="26" t="s">
        <v>31</v>
      </c>
      <c r="B37" s="26"/>
      <c r="C37" s="27"/>
      <c r="D37" s="26"/>
      <c r="E37" s="26"/>
      <c r="F37" s="26"/>
      <c r="G37" s="26"/>
      <c r="H37" s="26"/>
      <c r="I37" s="28" t="e">
        <f>AVERAGE(B37,D37:H37)</f>
        <v>#DIV/0!</v>
      </c>
      <c r="J37" s="26" t="s">
        <v>31</v>
      </c>
      <c r="K37" s="26"/>
      <c r="L37" s="27"/>
      <c r="M37" s="26"/>
      <c r="N37" s="26"/>
      <c r="O37" s="26"/>
      <c r="P37" s="26"/>
      <c r="Q37" s="26"/>
      <c r="R37" s="28" t="e">
        <f>AVERAGE(K37,M37:Q37)</f>
        <v>#DIV/0!</v>
      </c>
      <c r="S37" s="26" t="s">
        <v>31</v>
      </c>
      <c r="T37" s="26"/>
      <c r="U37" s="27"/>
      <c r="V37" s="26"/>
      <c r="W37" s="26"/>
      <c r="X37" s="26"/>
      <c r="Y37" s="26"/>
      <c r="Z37" s="26"/>
      <c r="AA37" s="28" t="e">
        <f>AVERAGE(T37,V37:Z37)</f>
        <v>#DIV/0!</v>
      </c>
      <c r="AB37" s="26" t="s">
        <v>31</v>
      </c>
      <c r="AC37" s="26"/>
      <c r="AD37" s="27"/>
      <c r="AE37" s="26"/>
      <c r="AF37" s="26">
        <v>10</v>
      </c>
      <c r="AG37" s="26">
        <v>11</v>
      </c>
      <c r="AH37" s="26">
        <v>8</v>
      </c>
      <c r="AI37" s="26">
        <v>10</v>
      </c>
      <c r="AJ37" s="28">
        <f>AVERAGE(AC37,AE37:AI37)</f>
        <v>9.75</v>
      </c>
      <c r="AK37" s="29" t="s">
        <v>31</v>
      </c>
      <c r="AL37" s="26">
        <v>5</v>
      </c>
      <c r="AM37" s="27"/>
      <c r="AN37" s="26">
        <v>13</v>
      </c>
      <c r="AO37" s="26">
        <v>11</v>
      </c>
      <c r="AP37" s="26">
        <v>12</v>
      </c>
      <c r="AQ37" s="26">
        <v>6</v>
      </c>
      <c r="AR37" s="26">
        <v>10</v>
      </c>
      <c r="AS37" s="28">
        <f>AVERAGE(AL37,AN37:AR37)</f>
        <v>9.5</v>
      </c>
    </row>
    <row r="38" spans="1:45" ht="12.75">
      <c r="A38" s="26" t="s">
        <v>32</v>
      </c>
      <c r="B38" s="27"/>
      <c r="C38" s="27"/>
      <c r="D38" s="26"/>
      <c r="E38" s="26"/>
      <c r="F38" s="26"/>
      <c r="G38" s="26"/>
      <c r="H38" s="26"/>
      <c r="I38" s="28" t="e">
        <f t="shared" ref="I38:I40" si="30">AVERAGE(D38:H38)</f>
        <v>#DIV/0!</v>
      </c>
      <c r="J38" s="26" t="s">
        <v>32</v>
      </c>
      <c r="K38" s="27"/>
      <c r="L38" s="27"/>
      <c r="M38" s="26"/>
      <c r="N38" s="26"/>
      <c r="O38" s="26"/>
      <c r="P38" s="26"/>
      <c r="Q38" s="26"/>
      <c r="R38" s="28" t="e">
        <f t="shared" ref="R38:R40" si="31">AVERAGE(M38:Q38)</f>
        <v>#DIV/0!</v>
      </c>
      <c r="S38" s="26" t="s">
        <v>32</v>
      </c>
      <c r="T38" s="27"/>
      <c r="U38" s="27"/>
      <c r="V38" s="26"/>
      <c r="W38" s="26"/>
      <c r="X38" s="26"/>
      <c r="Y38" s="26"/>
      <c r="Z38" s="26"/>
      <c r="AA38" s="28" t="e">
        <f t="shared" ref="AA38:AA40" si="32">AVERAGE(V38:Z38)</f>
        <v>#DIV/0!</v>
      </c>
      <c r="AB38" s="26" t="s">
        <v>32</v>
      </c>
      <c r="AC38" s="27"/>
      <c r="AD38" s="27"/>
      <c r="AE38" s="26"/>
      <c r="AF38" s="26">
        <v>8</v>
      </c>
      <c r="AG38" s="26">
        <v>5</v>
      </c>
      <c r="AH38" s="26">
        <v>9</v>
      </c>
      <c r="AI38" s="26">
        <v>5</v>
      </c>
      <c r="AJ38" s="28">
        <f t="shared" ref="AJ38:AJ40" si="33">AVERAGE(AE38:AI38)</f>
        <v>6.75</v>
      </c>
      <c r="AK38" s="29" t="s">
        <v>32</v>
      </c>
      <c r="AL38" s="27"/>
      <c r="AM38" s="27"/>
      <c r="AN38" s="26">
        <v>10</v>
      </c>
      <c r="AO38" s="26">
        <v>9</v>
      </c>
      <c r="AP38" s="26">
        <v>11</v>
      </c>
      <c r="AQ38" s="26">
        <v>2</v>
      </c>
      <c r="AR38" s="26">
        <v>5</v>
      </c>
      <c r="AS38" s="28">
        <f t="shared" ref="AS38:AS40" si="34">AVERAGE(AN38:AR38)</f>
        <v>7.4</v>
      </c>
    </row>
    <row r="39" spans="1:45" ht="12.75">
      <c r="A39" s="26" t="s">
        <v>33</v>
      </c>
      <c r="B39" s="27"/>
      <c r="C39" s="27"/>
      <c r="D39" s="26"/>
      <c r="E39" s="26"/>
      <c r="F39" s="26"/>
      <c r="G39" s="26"/>
      <c r="H39" s="26"/>
      <c r="I39" s="28" t="e">
        <f t="shared" si="30"/>
        <v>#DIV/0!</v>
      </c>
      <c r="J39" s="26" t="s">
        <v>33</v>
      </c>
      <c r="K39" s="27"/>
      <c r="L39" s="27"/>
      <c r="M39" s="26"/>
      <c r="N39" s="26"/>
      <c r="O39" s="26"/>
      <c r="P39" s="26"/>
      <c r="Q39" s="26"/>
      <c r="R39" s="28" t="e">
        <f t="shared" si="31"/>
        <v>#DIV/0!</v>
      </c>
      <c r="S39" s="26" t="s">
        <v>33</v>
      </c>
      <c r="T39" s="27"/>
      <c r="U39" s="27"/>
      <c r="V39" s="26"/>
      <c r="W39" s="26"/>
      <c r="X39" s="26"/>
      <c r="Y39" s="26"/>
      <c r="Z39" s="26"/>
      <c r="AA39" s="28" t="e">
        <f t="shared" si="32"/>
        <v>#DIV/0!</v>
      </c>
      <c r="AB39" s="26" t="s">
        <v>33</v>
      </c>
      <c r="AC39" s="27"/>
      <c r="AD39" s="27"/>
      <c r="AE39" s="26"/>
      <c r="AF39" s="26">
        <v>12</v>
      </c>
      <c r="AG39" s="26">
        <v>1</v>
      </c>
      <c r="AH39" s="26">
        <v>7</v>
      </c>
      <c r="AI39" s="26">
        <v>5</v>
      </c>
      <c r="AJ39" s="28">
        <f t="shared" si="33"/>
        <v>6.25</v>
      </c>
      <c r="AK39" s="29" t="s">
        <v>33</v>
      </c>
      <c r="AL39" s="27"/>
      <c r="AM39" s="27"/>
      <c r="AN39" s="26">
        <v>4</v>
      </c>
      <c r="AO39" s="26">
        <v>8</v>
      </c>
      <c r="AP39" s="26">
        <v>4</v>
      </c>
      <c r="AQ39" s="26">
        <v>1</v>
      </c>
      <c r="AR39" s="26">
        <v>5</v>
      </c>
      <c r="AS39" s="28">
        <f t="shared" si="34"/>
        <v>4.4000000000000004</v>
      </c>
    </row>
    <row r="40" spans="1:45" ht="12.75">
      <c r="A40" s="26" t="s">
        <v>34</v>
      </c>
      <c r="B40" s="27"/>
      <c r="C40" s="27"/>
      <c r="D40" s="26"/>
      <c r="E40" s="26"/>
      <c r="F40" s="26"/>
      <c r="G40" s="26"/>
      <c r="H40" s="26"/>
      <c r="I40" s="28" t="e">
        <f t="shared" si="30"/>
        <v>#DIV/0!</v>
      </c>
      <c r="J40" s="26" t="s">
        <v>34</v>
      </c>
      <c r="K40" s="27"/>
      <c r="L40" s="27"/>
      <c r="M40" s="26"/>
      <c r="N40" s="26"/>
      <c r="O40" s="26"/>
      <c r="P40" s="26"/>
      <c r="Q40" s="26"/>
      <c r="R40" s="28" t="e">
        <f t="shared" si="31"/>
        <v>#DIV/0!</v>
      </c>
      <c r="S40" s="26" t="s">
        <v>34</v>
      </c>
      <c r="T40" s="27"/>
      <c r="U40" s="27"/>
      <c r="V40" s="26"/>
      <c r="W40" s="26"/>
      <c r="X40" s="26"/>
      <c r="Y40" s="26"/>
      <c r="Z40" s="26"/>
      <c r="AA40" s="28" t="e">
        <f t="shared" si="32"/>
        <v>#DIV/0!</v>
      </c>
      <c r="AB40" s="26" t="s">
        <v>34</v>
      </c>
      <c r="AC40" s="27"/>
      <c r="AD40" s="27"/>
      <c r="AE40" s="26"/>
      <c r="AF40" s="26">
        <v>2</v>
      </c>
      <c r="AG40" s="26">
        <v>5</v>
      </c>
      <c r="AH40" s="26">
        <v>4</v>
      </c>
      <c r="AI40" s="26">
        <v>5</v>
      </c>
      <c r="AJ40" s="28">
        <f t="shared" si="33"/>
        <v>4</v>
      </c>
      <c r="AK40" s="29" t="s">
        <v>34</v>
      </c>
      <c r="AL40" s="27"/>
      <c r="AM40" s="27"/>
      <c r="AN40" s="26">
        <v>5</v>
      </c>
      <c r="AO40" s="26">
        <v>8</v>
      </c>
      <c r="AP40" s="26">
        <v>6</v>
      </c>
      <c r="AQ40" s="26">
        <v>3</v>
      </c>
      <c r="AR40" s="26">
        <v>5</v>
      </c>
      <c r="AS40" s="28">
        <f t="shared" si="34"/>
        <v>5.4</v>
      </c>
    </row>
    <row r="41" spans="1:45" ht="12.75">
      <c r="A41" s="30" t="s">
        <v>42</v>
      </c>
      <c r="B41" s="8">
        <f t="shared" ref="B41:H41" si="35">SUM(B25:B40)</f>
        <v>0</v>
      </c>
      <c r="C41" s="8">
        <f t="shared" si="35"/>
        <v>0</v>
      </c>
      <c r="D41" s="8">
        <f t="shared" si="35"/>
        <v>0</v>
      </c>
      <c r="E41" s="8">
        <f t="shared" si="35"/>
        <v>0</v>
      </c>
      <c r="F41" s="8">
        <f t="shared" si="35"/>
        <v>0</v>
      </c>
      <c r="G41" s="8">
        <f t="shared" si="35"/>
        <v>0</v>
      </c>
      <c r="H41" s="8">
        <f t="shared" si="35"/>
        <v>0</v>
      </c>
      <c r="I41" s="28">
        <f>AVERAGE(B41:H41)</f>
        <v>0</v>
      </c>
      <c r="J41" s="30" t="s">
        <v>42</v>
      </c>
      <c r="K41" s="8">
        <f t="shared" ref="K41:Q41" si="36">SUM(K25:K40)</f>
        <v>0</v>
      </c>
      <c r="L41" s="8">
        <f t="shared" si="36"/>
        <v>0</v>
      </c>
      <c r="M41" s="8">
        <f t="shared" si="36"/>
        <v>0</v>
      </c>
      <c r="N41" s="8">
        <f t="shared" si="36"/>
        <v>0</v>
      </c>
      <c r="O41" s="8">
        <f t="shared" si="36"/>
        <v>0</v>
      </c>
      <c r="P41" s="8">
        <f t="shared" si="36"/>
        <v>0</v>
      </c>
      <c r="Q41" s="8">
        <f t="shared" si="36"/>
        <v>0</v>
      </c>
      <c r="R41" s="28">
        <f>AVERAGE(K41:Q41)</f>
        <v>0</v>
      </c>
      <c r="S41" s="30" t="s">
        <v>42</v>
      </c>
      <c r="T41" s="8">
        <f t="shared" ref="T41:Z41" si="37">SUM(T25:T40)</f>
        <v>0</v>
      </c>
      <c r="U41" s="8">
        <f t="shared" si="37"/>
        <v>0</v>
      </c>
      <c r="V41" s="8">
        <f t="shared" si="37"/>
        <v>0</v>
      </c>
      <c r="W41" s="8">
        <f t="shared" si="37"/>
        <v>0</v>
      </c>
      <c r="X41" s="8">
        <f t="shared" si="37"/>
        <v>0</v>
      </c>
      <c r="Y41" s="8">
        <f t="shared" si="37"/>
        <v>0</v>
      </c>
      <c r="Z41" s="8">
        <f t="shared" si="37"/>
        <v>0</v>
      </c>
      <c r="AA41" s="28">
        <f>AVERAGE(T41:Z41)</f>
        <v>0</v>
      </c>
      <c r="AB41" s="30" t="s">
        <v>42</v>
      </c>
      <c r="AC41" s="8">
        <f t="shared" ref="AC41:AI41" si="38">SUM(AC25:AC40)</f>
        <v>0</v>
      </c>
      <c r="AD41" s="8">
        <f t="shared" si="38"/>
        <v>0</v>
      </c>
      <c r="AE41" s="8">
        <f t="shared" si="38"/>
        <v>0</v>
      </c>
      <c r="AF41" s="8">
        <f t="shared" si="38"/>
        <v>100</v>
      </c>
      <c r="AG41" s="8">
        <f t="shared" si="38"/>
        <v>160</v>
      </c>
      <c r="AH41" s="8">
        <f t="shared" si="38"/>
        <v>170</v>
      </c>
      <c r="AI41" s="8">
        <f t="shared" si="38"/>
        <v>117</v>
      </c>
      <c r="AJ41" s="28">
        <f>AVERAGE(AC41:AI41)</f>
        <v>78.142857142857139</v>
      </c>
      <c r="AK41" s="31" t="s">
        <v>42</v>
      </c>
      <c r="AL41" s="8">
        <f t="shared" ref="AL41:AR41" si="39">SUM(AL25:AL40)</f>
        <v>97</v>
      </c>
      <c r="AM41" s="8">
        <f t="shared" si="39"/>
        <v>88</v>
      </c>
      <c r="AN41" s="8">
        <f t="shared" si="39"/>
        <v>169</v>
      </c>
      <c r="AO41" s="8">
        <f t="shared" si="39"/>
        <v>178</v>
      </c>
      <c r="AP41" s="8">
        <f t="shared" si="39"/>
        <v>203</v>
      </c>
      <c r="AQ41" s="8">
        <f t="shared" si="39"/>
        <v>132</v>
      </c>
      <c r="AR41" s="8">
        <f t="shared" si="39"/>
        <v>166</v>
      </c>
      <c r="AS41" s="28">
        <f>AVERAGE(AL41:AR41)</f>
        <v>147.57142857142858</v>
      </c>
    </row>
    <row r="42" spans="1:45" ht="12.75">
      <c r="A42" s="32" t="s">
        <v>43</v>
      </c>
      <c r="B42" s="33">
        <f>SUM(B41:H41)</f>
        <v>0</v>
      </c>
      <c r="I42" s="20"/>
      <c r="J42" s="32" t="s">
        <v>43</v>
      </c>
      <c r="K42" s="33">
        <f>SUM(K41:Q41)</f>
        <v>0</v>
      </c>
      <c r="R42" s="20"/>
      <c r="S42" s="32" t="s">
        <v>43</v>
      </c>
      <c r="T42" s="33">
        <f>SUM(T41:Z41)</f>
        <v>0</v>
      </c>
      <c r="AA42" s="20"/>
      <c r="AB42" s="32" t="s">
        <v>43</v>
      </c>
      <c r="AC42" s="33">
        <f>SUM(AC41:AI41)</f>
        <v>547</v>
      </c>
      <c r="AJ42" s="20"/>
      <c r="AK42" s="34" t="s">
        <v>43</v>
      </c>
      <c r="AL42" s="33">
        <f>SUM(AL41:AR41)</f>
        <v>1033</v>
      </c>
      <c r="AS42" s="20"/>
    </row>
    <row r="43" spans="1:45" ht="12.75">
      <c r="A43" s="37" t="s">
        <v>15</v>
      </c>
      <c r="B43" s="37" t="s">
        <v>5</v>
      </c>
      <c r="C43" s="37" t="s">
        <v>6</v>
      </c>
      <c r="D43" s="37" t="s">
        <v>7</v>
      </c>
      <c r="E43" s="37" t="s">
        <v>8</v>
      </c>
      <c r="F43" s="37" t="s">
        <v>9</v>
      </c>
      <c r="G43" s="37" t="s">
        <v>10</v>
      </c>
      <c r="H43" s="37" t="s">
        <v>11</v>
      </c>
      <c r="I43" s="24" t="s">
        <v>40</v>
      </c>
      <c r="J43" s="37" t="s">
        <v>15</v>
      </c>
      <c r="K43" s="37" t="s">
        <v>5</v>
      </c>
      <c r="L43" s="37" t="s">
        <v>6</v>
      </c>
      <c r="M43" s="37" t="s">
        <v>7</v>
      </c>
      <c r="N43" s="37" t="s">
        <v>8</v>
      </c>
      <c r="O43" s="37" t="s">
        <v>9</v>
      </c>
      <c r="P43" s="37" t="s">
        <v>10</v>
      </c>
      <c r="Q43" s="37" t="s">
        <v>11</v>
      </c>
      <c r="R43" s="24" t="s">
        <v>40</v>
      </c>
      <c r="S43" s="37" t="s">
        <v>15</v>
      </c>
      <c r="T43" s="37" t="s">
        <v>5</v>
      </c>
      <c r="U43" s="37" t="s">
        <v>6</v>
      </c>
      <c r="V43" s="37" t="s">
        <v>7</v>
      </c>
      <c r="W43" s="37" t="s">
        <v>8</v>
      </c>
      <c r="X43" s="37" t="s">
        <v>9</v>
      </c>
      <c r="Y43" s="37" t="s">
        <v>10</v>
      </c>
      <c r="Z43" s="37" t="s">
        <v>11</v>
      </c>
      <c r="AA43" s="24" t="s">
        <v>40</v>
      </c>
      <c r="AB43" s="37" t="s">
        <v>15</v>
      </c>
      <c r="AC43" s="37" t="s">
        <v>5</v>
      </c>
      <c r="AD43" s="37" t="s">
        <v>6</v>
      </c>
      <c r="AE43" s="37" t="s">
        <v>7</v>
      </c>
      <c r="AF43" s="37" t="s">
        <v>8</v>
      </c>
      <c r="AG43" s="37" t="s">
        <v>9</v>
      </c>
      <c r="AH43" s="37" t="s">
        <v>10</v>
      </c>
      <c r="AI43" s="37" t="s">
        <v>11</v>
      </c>
      <c r="AJ43" s="24" t="s">
        <v>45</v>
      </c>
      <c r="AK43" s="38" t="s">
        <v>15</v>
      </c>
      <c r="AL43" s="37" t="s">
        <v>5</v>
      </c>
      <c r="AM43" s="37" t="s">
        <v>6</v>
      </c>
      <c r="AN43" s="37" t="s">
        <v>7</v>
      </c>
      <c r="AO43" s="37" t="s">
        <v>8</v>
      </c>
      <c r="AP43" s="37" t="s">
        <v>9</v>
      </c>
      <c r="AQ43" s="37" t="s">
        <v>10</v>
      </c>
      <c r="AR43" s="37" t="s">
        <v>11</v>
      </c>
      <c r="AS43" s="24" t="s">
        <v>40</v>
      </c>
    </row>
    <row r="44" spans="1:45" ht="12.75">
      <c r="A44" s="26" t="s">
        <v>12</v>
      </c>
      <c r="B44" s="27"/>
      <c r="C44" s="27"/>
      <c r="D44" s="26"/>
      <c r="E44" s="26"/>
      <c r="F44" s="26"/>
      <c r="G44" s="26"/>
      <c r="H44" s="26"/>
      <c r="I44" s="28" t="e">
        <f t="shared" ref="I44:I45" si="40">AVERAGE(D44:H44)</f>
        <v>#DIV/0!</v>
      </c>
      <c r="J44" s="26" t="s">
        <v>12</v>
      </c>
      <c r="K44" s="27"/>
      <c r="L44" s="27"/>
      <c r="M44" s="26"/>
      <c r="N44" s="26"/>
      <c r="O44" s="26"/>
      <c r="P44" s="26"/>
      <c r="Q44" s="26"/>
      <c r="R44" s="28" t="e">
        <f t="shared" ref="R44:R45" si="41">AVERAGE(M44:Q44)</f>
        <v>#DIV/0!</v>
      </c>
      <c r="S44" s="26" t="s">
        <v>12</v>
      </c>
      <c r="T44" s="27"/>
      <c r="U44" s="27"/>
      <c r="V44" s="26"/>
      <c r="W44" s="26"/>
      <c r="X44" s="26"/>
      <c r="Y44" s="26"/>
      <c r="Z44" s="26"/>
      <c r="AA44" s="28" t="e">
        <f t="shared" ref="AA44:AA45" si="42">AVERAGE(V44:Z44)</f>
        <v>#DIV/0!</v>
      </c>
      <c r="AB44" s="26" t="s">
        <v>12</v>
      </c>
      <c r="AC44" s="27"/>
      <c r="AD44" s="27"/>
      <c r="AE44" s="26"/>
      <c r="AF44" s="26"/>
      <c r="AG44" s="26">
        <v>21</v>
      </c>
      <c r="AH44" s="26">
        <v>17</v>
      </c>
      <c r="AI44" s="26">
        <v>9</v>
      </c>
      <c r="AJ44" s="28">
        <f t="shared" ref="AJ44:AJ45" si="43">AVERAGE(AE44:AI44)</f>
        <v>15.666666666666666</v>
      </c>
      <c r="AK44" s="29" t="s">
        <v>12</v>
      </c>
      <c r="AL44" s="27"/>
      <c r="AM44" s="27"/>
      <c r="AN44" s="26">
        <v>16</v>
      </c>
      <c r="AO44" s="26">
        <v>20</v>
      </c>
      <c r="AP44" s="26"/>
      <c r="AQ44" s="26">
        <v>15</v>
      </c>
      <c r="AR44" s="26">
        <v>17</v>
      </c>
      <c r="AS44" s="28">
        <f t="shared" ref="AS44:AS45" si="44">AVERAGE(AN44:AR44)</f>
        <v>17</v>
      </c>
    </row>
    <row r="45" spans="1:45" ht="12.75">
      <c r="A45" s="26" t="s">
        <v>19</v>
      </c>
      <c r="B45" s="27"/>
      <c r="C45" s="27"/>
      <c r="D45" s="26"/>
      <c r="E45" s="26"/>
      <c r="F45" s="26"/>
      <c r="G45" s="26"/>
      <c r="H45" s="26"/>
      <c r="I45" s="28" t="e">
        <f t="shared" si="40"/>
        <v>#DIV/0!</v>
      </c>
      <c r="J45" s="26" t="s">
        <v>19</v>
      </c>
      <c r="K45" s="27"/>
      <c r="L45" s="27"/>
      <c r="M45" s="26"/>
      <c r="N45" s="26"/>
      <c r="O45" s="26"/>
      <c r="P45" s="26"/>
      <c r="Q45" s="26"/>
      <c r="R45" s="28" t="e">
        <f t="shared" si="41"/>
        <v>#DIV/0!</v>
      </c>
      <c r="S45" s="26" t="s">
        <v>19</v>
      </c>
      <c r="T45" s="27"/>
      <c r="U45" s="27"/>
      <c r="V45" s="26"/>
      <c r="W45" s="26"/>
      <c r="X45" s="26"/>
      <c r="Y45" s="26"/>
      <c r="Z45" s="26"/>
      <c r="AA45" s="28" t="e">
        <f t="shared" si="42"/>
        <v>#DIV/0!</v>
      </c>
      <c r="AB45" s="26" t="s">
        <v>19</v>
      </c>
      <c r="AC45" s="27"/>
      <c r="AD45" s="27"/>
      <c r="AE45" s="26"/>
      <c r="AF45" s="26"/>
      <c r="AG45" s="26">
        <v>19</v>
      </c>
      <c r="AH45" s="26">
        <v>20</v>
      </c>
      <c r="AI45" s="26">
        <v>21</v>
      </c>
      <c r="AJ45" s="28">
        <f t="shared" si="43"/>
        <v>20</v>
      </c>
      <c r="AK45" s="29" t="s">
        <v>19</v>
      </c>
      <c r="AL45" s="27"/>
      <c r="AM45" s="27"/>
      <c r="AN45" s="26">
        <v>16</v>
      </c>
      <c r="AO45" s="26">
        <v>22</v>
      </c>
      <c r="AP45" s="26">
        <v>15</v>
      </c>
      <c r="AQ45" s="26">
        <v>17</v>
      </c>
      <c r="AR45" s="26">
        <v>13</v>
      </c>
      <c r="AS45" s="28">
        <f t="shared" si="44"/>
        <v>16.600000000000001</v>
      </c>
    </row>
    <row r="46" spans="1:45" ht="12.75">
      <c r="A46" s="26" t="s">
        <v>20</v>
      </c>
      <c r="B46" s="26"/>
      <c r="C46" s="27"/>
      <c r="D46" s="26"/>
      <c r="E46" s="26"/>
      <c r="F46" s="26"/>
      <c r="G46" s="26"/>
      <c r="H46" s="26"/>
      <c r="I46" s="28" t="e">
        <f>AVERAGE(B46,D46:H46)</f>
        <v>#DIV/0!</v>
      </c>
      <c r="J46" s="26" t="s">
        <v>20</v>
      </c>
      <c r="K46" s="26"/>
      <c r="L46" s="27"/>
      <c r="M46" s="26"/>
      <c r="N46" s="26"/>
      <c r="O46" s="26"/>
      <c r="P46" s="26"/>
      <c r="Q46" s="26"/>
      <c r="R46" s="28" t="e">
        <f>AVERAGE(K46,M46:Q46)</f>
        <v>#DIV/0!</v>
      </c>
      <c r="S46" s="26" t="s">
        <v>20</v>
      </c>
      <c r="T46" s="26"/>
      <c r="U46" s="27"/>
      <c r="V46" s="26"/>
      <c r="W46" s="26"/>
      <c r="X46" s="26"/>
      <c r="Y46" s="26"/>
      <c r="Z46" s="26"/>
      <c r="AA46" s="28" t="e">
        <f>AVERAGE(T46,V46:Z46)</f>
        <v>#DIV/0!</v>
      </c>
      <c r="AB46" s="26" t="s">
        <v>20</v>
      </c>
      <c r="AC46" s="26"/>
      <c r="AD46" s="27"/>
      <c r="AE46" s="26"/>
      <c r="AF46" s="26"/>
      <c r="AG46" s="26">
        <v>17</v>
      </c>
      <c r="AH46" s="26">
        <v>10</v>
      </c>
      <c r="AI46" s="26">
        <v>23</v>
      </c>
      <c r="AJ46" s="28">
        <f>AVERAGE(AC46,AE46:AI46)</f>
        <v>16.666666666666668</v>
      </c>
      <c r="AK46" s="29" t="s">
        <v>20</v>
      </c>
      <c r="AL46" s="26">
        <v>9</v>
      </c>
      <c r="AM46" s="27"/>
      <c r="AN46" s="26">
        <v>10</v>
      </c>
      <c r="AO46" s="26">
        <v>13</v>
      </c>
      <c r="AP46" s="26">
        <v>18</v>
      </c>
      <c r="AQ46" s="26">
        <v>18</v>
      </c>
      <c r="AR46" s="26">
        <v>14</v>
      </c>
      <c r="AS46" s="28">
        <f>AVERAGE(AL46,AN46:AR46)</f>
        <v>13.666666666666666</v>
      </c>
    </row>
    <row r="47" spans="1:45" ht="12.75">
      <c r="A47" s="26" t="s">
        <v>21</v>
      </c>
      <c r="B47" s="26"/>
      <c r="C47" s="26"/>
      <c r="D47" s="26"/>
      <c r="E47" s="26"/>
      <c r="F47" s="26"/>
      <c r="G47" s="26"/>
      <c r="H47" s="26"/>
      <c r="I47" s="28" t="e">
        <f t="shared" ref="I47:I55" si="45">AVERAGE(B47:H47)</f>
        <v>#DIV/0!</v>
      </c>
      <c r="J47" s="26" t="s">
        <v>21</v>
      </c>
      <c r="K47" s="26"/>
      <c r="L47" s="26"/>
      <c r="M47" s="26"/>
      <c r="N47" s="26"/>
      <c r="O47" s="26"/>
      <c r="P47" s="26"/>
      <c r="Q47" s="26"/>
      <c r="R47" s="28" t="e">
        <f t="shared" ref="R47:R55" si="46">AVERAGE(K47:Q47)</f>
        <v>#DIV/0!</v>
      </c>
      <c r="S47" s="26" t="s">
        <v>21</v>
      </c>
      <c r="T47" s="26"/>
      <c r="U47" s="26"/>
      <c r="V47" s="26"/>
      <c r="W47" s="26"/>
      <c r="X47" s="26"/>
      <c r="Y47" s="26"/>
      <c r="Z47" s="26"/>
      <c r="AA47" s="28" t="e">
        <f t="shared" ref="AA47:AA55" si="47">AVERAGE(T47:Z47)</f>
        <v>#DIV/0!</v>
      </c>
      <c r="AB47" s="26" t="s">
        <v>21</v>
      </c>
      <c r="AC47" s="26"/>
      <c r="AD47" s="26"/>
      <c r="AE47" s="26"/>
      <c r="AF47" s="26">
        <v>17</v>
      </c>
      <c r="AG47" s="26">
        <v>24</v>
      </c>
      <c r="AH47" s="26">
        <v>9</v>
      </c>
      <c r="AI47" s="26"/>
      <c r="AJ47" s="28">
        <f t="shared" ref="AJ47:AJ55" si="48">AVERAGE(AC47:AI47)</f>
        <v>16.666666666666668</v>
      </c>
      <c r="AK47" s="29" t="s">
        <v>21</v>
      </c>
      <c r="AL47" s="26">
        <v>10</v>
      </c>
      <c r="AM47" s="26">
        <v>8</v>
      </c>
      <c r="AN47" s="26">
        <v>19</v>
      </c>
      <c r="AO47" s="26">
        <v>22</v>
      </c>
      <c r="AP47" s="26">
        <v>28</v>
      </c>
      <c r="AQ47" s="26">
        <v>22</v>
      </c>
      <c r="AR47" s="26">
        <v>11</v>
      </c>
      <c r="AS47" s="28">
        <f t="shared" ref="AS47:AS55" si="49">AVERAGE(AL47:AR47)</f>
        <v>17.142857142857142</v>
      </c>
    </row>
    <row r="48" spans="1:45" ht="12.75">
      <c r="A48" s="26" t="s">
        <v>22</v>
      </c>
      <c r="B48" s="26"/>
      <c r="C48" s="26"/>
      <c r="D48" s="26"/>
      <c r="E48" s="26"/>
      <c r="F48" s="26"/>
      <c r="G48" s="26"/>
      <c r="H48" s="26"/>
      <c r="I48" s="28" t="e">
        <f t="shared" si="45"/>
        <v>#DIV/0!</v>
      </c>
      <c r="J48" s="26" t="s">
        <v>22</v>
      </c>
      <c r="K48" s="26"/>
      <c r="L48" s="26"/>
      <c r="M48" s="26"/>
      <c r="N48" s="26"/>
      <c r="O48" s="26"/>
      <c r="P48" s="26"/>
      <c r="Q48" s="26"/>
      <c r="R48" s="28" t="e">
        <f t="shared" si="46"/>
        <v>#DIV/0!</v>
      </c>
      <c r="S48" s="26" t="s">
        <v>22</v>
      </c>
      <c r="T48" s="26"/>
      <c r="U48" s="26"/>
      <c r="V48" s="26"/>
      <c r="W48" s="26"/>
      <c r="X48" s="26"/>
      <c r="Y48" s="26"/>
      <c r="Z48" s="26"/>
      <c r="AA48" s="28" t="e">
        <f t="shared" si="47"/>
        <v>#DIV/0!</v>
      </c>
      <c r="AB48" s="26" t="s">
        <v>22</v>
      </c>
      <c r="AC48" s="26"/>
      <c r="AD48" s="26"/>
      <c r="AE48" s="26"/>
      <c r="AF48" s="26">
        <v>19</v>
      </c>
      <c r="AG48" s="26">
        <v>24</v>
      </c>
      <c r="AH48" s="26">
        <v>20</v>
      </c>
      <c r="AI48" s="26">
        <v>32</v>
      </c>
      <c r="AJ48" s="28">
        <f t="shared" si="48"/>
        <v>23.75</v>
      </c>
      <c r="AK48" s="29" t="s">
        <v>22</v>
      </c>
      <c r="AL48" s="26">
        <v>11</v>
      </c>
      <c r="AM48" s="26">
        <v>29</v>
      </c>
      <c r="AN48" s="26">
        <v>22</v>
      </c>
      <c r="AO48" s="26">
        <v>23</v>
      </c>
      <c r="AP48" s="26">
        <v>34</v>
      </c>
      <c r="AQ48" s="26">
        <v>19</v>
      </c>
      <c r="AR48" s="26">
        <v>16</v>
      </c>
      <c r="AS48" s="28">
        <f t="shared" si="49"/>
        <v>22</v>
      </c>
    </row>
    <row r="49" spans="1:45" ht="12.75">
      <c r="A49" s="26" t="s">
        <v>23</v>
      </c>
      <c r="B49" s="26"/>
      <c r="C49" s="26"/>
      <c r="D49" s="26"/>
      <c r="E49" s="26"/>
      <c r="F49" s="26"/>
      <c r="G49" s="26"/>
      <c r="H49" s="26"/>
      <c r="I49" s="28" t="e">
        <f t="shared" si="45"/>
        <v>#DIV/0!</v>
      </c>
      <c r="J49" s="26" t="s">
        <v>23</v>
      </c>
      <c r="K49" s="26"/>
      <c r="L49" s="26"/>
      <c r="M49" s="26"/>
      <c r="N49" s="26"/>
      <c r="O49" s="26"/>
      <c r="P49" s="26"/>
      <c r="Q49" s="26"/>
      <c r="R49" s="28" t="e">
        <f t="shared" si="46"/>
        <v>#DIV/0!</v>
      </c>
      <c r="S49" s="26" t="s">
        <v>23</v>
      </c>
      <c r="T49" s="26"/>
      <c r="U49" s="26"/>
      <c r="V49" s="26"/>
      <c r="W49" s="26"/>
      <c r="X49" s="26"/>
      <c r="Y49" s="26"/>
      <c r="Z49" s="26"/>
      <c r="AA49" s="28" t="e">
        <f t="shared" si="47"/>
        <v>#DIV/0!</v>
      </c>
      <c r="AB49" s="26" t="s">
        <v>23</v>
      </c>
      <c r="AC49" s="26"/>
      <c r="AD49" s="26"/>
      <c r="AE49" s="26"/>
      <c r="AF49" s="26"/>
      <c r="AG49" s="26">
        <v>30</v>
      </c>
      <c r="AH49" s="26">
        <v>15</v>
      </c>
      <c r="AI49" s="26"/>
      <c r="AJ49" s="28">
        <f t="shared" si="48"/>
        <v>22.5</v>
      </c>
      <c r="AK49" s="29" t="s">
        <v>23</v>
      </c>
      <c r="AL49" s="26">
        <v>32</v>
      </c>
      <c r="AM49" s="26">
        <v>28</v>
      </c>
      <c r="AN49" s="26">
        <v>23</v>
      </c>
      <c r="AO49" s="26">
        <v>16</v>
      </c>
      <c r="AP49" s="26">
        <v>21</v>
      </c>
      <c r="AQ49" s="26">
        <v>25</v>
      </c>
      <c r="AR49" s="26">
        <v>22</v>
      </c>
      <c r="AS49" s="28">
        <f t="shared" si="49"/>
        <v>23.857142857142858</v>
      </c>
    </row>
    <row r="50" spans="1:45" ht="12.75">
      <c r="A50" s="26" t="s">
        <v>24</v>
      </c>
      <c r="B50" s="26"/>
      <c r="C50" s="26"/>
      <c r="D50" s="26"/>
      <c r="E50" s="26"/>
      <c r="F50" s="26"/>
      <c r="G50" s="26"/>
      <c r="H50" s="26"/>
      <c r="I50" s="28" t="e">
        <f t="shared" si="45"/>
        <v>#DIV/0!</v>
      </c>
      <c r="J50" s="26" t="s">
        <v>24</v>
      </c>
      <c r="K50" s="26"/>
      <c r="L50" s="26"/>
      <c r="M50" s="26"/>
      <c r="N50" s="26"/>
      <c r="O50" s="26"/>
      <c r="P50" s="26"/>
      <c r="Q50" s="26"/>
      <c r="R50" s="28" t="e">
        <f t="shared" si="46"/>
        <v>#DIV/0!</v>
      </c>
      <c r="S50" s="26" t="s">
        <v>24</v>
      </c>
      <c r="T50" s="26"/>
      <c r="U50" s="26"/>
      <c r="V50" s="26"/>
      <c r="W50" s="26"/>
      <c r="X50" s="26"/>
      <c r="Y50" s="26"/>
      <c r="Z50" s="26"/>
      <c r="AA50" s="28" t="e">
        <f t="shared" si="47"/>
        <v>#DIV/0!</v>
      </c>
      <c r="AB50" s="26" t="s">
        <v>24</v>
      </c>
      <c r="AC50" s="26"/>
      <c r="AD50" s="26"/>
      <c r="AE50" s="26"/>
      <c r="AF50" s="26"/>
      <c r="AG50" s="26">
        <v>23</v>
      </c>
      <c r="AH50" s="26">
        <v>24</v>
      </c>
      <c r="AI50" s="26"/>
      <c r="AJ50" s="28">
        <f t="shared" si="48"/>
        <v>23.5</v>
      </c>
      <c r="AK50" s="29" t="s">
        <v>24</v>
      </c>
      <c r="AL50" s="26">
        <v>40</v>
      </c>
      <c r="AM50" s="26">
        <v>21</v>
      </c>
      <c r="AN50" s="26">
        <v>20</v>
      </c>
      <c r="AO50" s="26">
        <v>15</v>
      </c>
      <c r="AP50" s="26">
        <v>19</v>
      </c>
      <c r="AQ50" s="26">
        <v>15</v>
      </c>
      <c r="AR50" s="26">
        <v>13</v>
      </c>
      <c r="AS50" s="28">
        <f t="shared" si="49"/>
        <v>20.428571428571427</v>
      </c>
    </row>
    <row r="51" spans="1:45" ht="12.75">
      <c r="A51" s="26" t="s">
        <v>25</v>
      </c>
      <c r="B51" s="26"/>
      <c r="C51" s="26"/>
      <c r="D51" s="26"/>
      <c r="E51" s="26"/>
      <c r="F51" s="26"/>
      <c r="G51" s="26"/>
      <c r="H51" s="26"/>
      <c r="I51" s="28" t="e">
        <f t="shared" si="45"/>
        <v>#DIV/0!</v>
      </c>
      <c r="J51" s="26" t="s">
        <v>25</v>
      </c>
      <c r="K51" s="26"/>
      <c r="L51" s="26"/>
      <c r="M51" s="26"/>
      <c r="N51" s="26"/>
      <c r="O51" s="26"/>
      <c r="P51" s="26"/>
      <c r="Q51" s="26"/>
      <c r="R51" s="28" t="e">
        <f t="shared" si="46"/>
        <v>#DIV/0!</v>
      </c>
      <c r="S51" s="26" t="s">
        <v>25</v>
      </c>
      <c r="T51" s="26"/>
      <c r="U51" s="26"/>
      <c r="V51" s="26"/>
      <c r="W51" s="26"/>
      <c r="X51" s="26"/>
      <c r="Y51" s="26"/>
      <c r="Z51" s="26"/>
      <c r="AA51" s="28" t="e">
        <f t="shared" si="47"/>
        <v>#DIV/0!</v>
      </c>
      <c r="AB51" s="26" t="s">
        <v>25</v>
      </c>
      <c r="AC51" s="26"/>
      <c r="AD51" s="26"/>
      <c r="AE51" s="26"/>
      <c r="AF51" s="26">
        <v>21</v>
      </c>
      <c r="AG51" s="26">
        <v>26</v>
      </c>
      <c r="AH51" s="26">
        <v>20</v>
      </c>
      <c r="AI51" s="26">
        <v>17</v>
      </c>
      <c r="AJ51" s="28">
        <f t="shared" si="48"/>
        <v>21</v>
      </c>
      <c r="AK51" s="29" t="s">
        <v>25</v>
      </c>
      <c r="AL51" s="26">
        <v>35</v>
      </c>
      <c r="AM51" s="26">
        <v>28</v>
      </c>
      <c r="AN51" s="26">
        <v>24</v>
      </c>
      <c r="AO51" s="26">
        <v>8</v>
      </c>
      <c r="AP51" s="26">
        <v>11</v>
      </c>
      <c r="AQ51" s="26">
        <v>18</v>
      </c>
      <c r="AR51" s="26">
        <v>19</v>
      </c>
      <c r="AS51" s="28">
        <f t="shared" si="49"/>
        <v>20.428571428571427</v>
      </c>
    </row>
    <row r="52" spans="1:45" ht="12.75">
      <c r="A52" s="26" t="s">
        <v>27</v>
      </c>
      <c r="B52" s="26"/>
      <c r="C52" s="26"/>
      <c r="D52" s="26"/>
      <c r="E52" s="26"/>
      <c r="F52" s="26"/>
      <c r="G52" s="26"/>
      <c r="H52" s="26"/>
      <c r="I52" s="28" t="e">
        <f t="shared" si="45"/>
        <v>#DIV/0!</v>
      </c>
      <c r="J52" s="26" t="s">
        <v>27</v>
      </c>
      <c r="K52" s="26"/>
      <c r="L52" s="26"/>
      <c r="M52" s="26"/>
      <c r="N52" s="26"/>
      <c r="O52" s="26"/>
      <c r="P52" s="26"/>
      <c r="Q52" s="26"/>
      <c r="R52" s="28" t="e">
        <f t="shared" si="46"/>
        <v>#DIV/0!</v>
      </c>
      <c r="S52" s="26" t="s">
        <v>27</v>
      </c>
      <c r="T52" s="26"/>
      <c r="U52" s="26"/>
      <c r="V52" s="26"/>
      <c r="W52" s="26"/>
      <c r="X52" s="26"/>
      <c r="Y52" s="26"/>
      <c r="Z52" s="26"/>
      <c r="AA52" s="28" t="e">
        <f t="shared" si="47"/>
        <v>#DIV/0!</v>
      </c>
      <c r="AB52" s="26" t="s">
        <v>27</v>
      </c>
      <c r="AC52" s="26"/>
      <c r="AD52" s="26"/>
      <c r="AE52" s="26"/>
      <c r="AF52" s="26">
        <v>15</v>
      </c>
      <c r="AG52" s="26">
        <v>15</v>
      </c>
      <c r="AH52" s="26">
        <v>16</v>
      </c>
      <c r="AI52" s="26">
        <v>15</v>
      </c>
      <c r="AJ52" s="28">
        <f t="shared" si="48"/>
        <v>15.25</v>
      </c>
      <c r="AK52" s="29" t="s">
        <v>27</v>
      </c>
      <c r="AL52" s="26">
        <v>30</v>
      </c>
      <c r="AM52" s="26">
        <v>19</v>
      </c>
      <c r="AN52" s="26">
        <v>25</v>
      </c>
      <c r="AO52" s="26">
        <v>22</v>
      </c>
      <c r="AP52" s="26">
        <v>20</v>
      </c>
      <c r="AQ52" s="26">
        <v>18</v>
      </c>
      <c r="AR52" s="26">
        <v>15</v>
      </c>
      <c r="AS52" s="28">
        <f t="shared" si="49"/>
        <v>21.285714285714285</v>
      </c>
    </row>
    <row r="53" spans="1:45" ht="12.75">
      <c r="A53" s="26" t="s">
        <v>28</v>
      </c>
      <c r="B53" s="26"/>
      <c r="C53" s="26"/>
      <c r="D53" s="26"/>
      <c r="E53" s="26"/>
      <c r="F53" s="26"/>
      <c r="G53" s="26"/>
      <c r="H53" s="26"/>
      <c r="I53" s="28" t="e">
        <f t="shared" si="45"/>
        <v>#DIV/0!</v>
      </c>
      <c r="J53" s="26" t="s">
        <v>28</v>
      </c>
      <c r="K53" s="26"/>
      <c r="L53" s="26"/>
      <c r="M53" s="26"/>
      <c r="N53" s="26"/>
      <c r="O53" s="26"/>
      <c r="P53" s="26"/>
      <c r="Q53" s="26"/>
      <c r="R53" s="28" t="e">
        <f t="shared" si="46"/>
        <v>#DIV/0!</v>
      </c>
      <c r="S53" s="26" t="s">
        <v>28</v>
      </c>
      <c r="T53" s="26"/>
      <c r="U53" s="26"/>
      <c r="V53" s="26"/>
      <c r="W53" s="26"/>
      <c r="X53" s="26"/>
      <c r="Y53" s="26"/>
      <c r="Z53" s="26"/>
      <c r="AA53" s="28" t="e">
        <f t="shared" si="47"/>
        <v>#DIV/0!</v>
      </c>
      <c r="AB53" s="26" t="s">
        <v>28</v>
      </c>
      <c r="AC53" s="26"/>
      <c r="AD53" s="26"/>
      <c r="AE53" s="26"/>
      <c r="AF53" s="26">
        <v>14</v>
      </c>
      <c r="AG53" s="26">
        <v>15</v>
      </c>
      <c r="AH53" s="26">
        <v>12</v>
      </c>
      <c r="AI53" s="26">
        <v>15</v>
      </c>
      <c r="AJ53" s="28">
        <f t="shared" si="48"/>
        <v>14</v>
      </c>
      <c r="AK53" s="29" t="s">
        <v>28</v>
      </c>
      <c r="AL53" s="26">
        <v>25</v>
      </c>
      <c r="AM53" s="26">
        <v>20</v>
      </c>
      <c r="AN53" s="26">
        <v>25</v>
      </c>
      <c r="AO53" s="26">
        <v>33</v>
      </c>
      <c r="AP53" s="26">
        <v>19</v>
      </c>
      <c r="AQ53" s="26">
        <v>12</v>
      </c>
      <c r="AR53" s="26">
        <v>15</v>
      </c>
      <c r="AS53" s="28">
        <f t="shared" si="49"/>
        <v>21.285714285714285</v>
      </c>
    </row>
    <row r="54" spans="1:45" ht="12.75">
      <c r="A54" s="26" t="s">
        <v>29</v>
      </c>
      <c r="B54" s="26"/>
      <c r="C54" s="26"/>
      <c r="D54" s="26"/>
      <c r="E54" s="26"/>
      <c r="F54" s="26"/>
      <c r="G54" s="26"/>
      <c r="H54" s="26"/>
      <c r="I54" s="28" t="e">
        <f t="shared" si="45"/>
        <v>#DIV/0!</v>
      </c>
      <c r="J54" s="26" t="s">
        <v>29</v>
      </c>
      <c r="K54" s="26"/>
      <c r="L54" s="26"/>
      <c r="M54" s="26"/>
      <c r="N54" s="26"/>
      <c r="O54" s="26"/>
      <c r="P54" s="26"/>
      <c r="Q54" s="26"/>
      <c r="R54" s="28" t="e">
        <f t="shared" si="46"/>
        <v>#DIV/0!</v>
      </c>
      <c r="S54" s="26" t="s">
        <v>29</v>
      </c>
      <c r="T54" s="26"/>
      <c r="U54" s="26"/>
      <c r="V54" s="26"/>
      <c r="W54" s="26"/>
      <c r="X54" s="26"/>
      <c r="Y54" s="26"/>
      <c r="Z54" s="26"/>
      <c r="AA54" s="28" t="e">
        <f t="shared" si="47"/>
        <v>#DIV/0!</v>
      </c>
      <c r="AB54" s="26" t="s">
        <v>29</v>
      </c>
      <c r="AC54" s="26"/>
      <c r="AD54" s="26"/>
      <c r="AE54" s="26"/>
      <c r="AF54" s="26">
        <v>23</v>
      </c>
      <c r="AG54" s="26">
        <v>20</v>
      </c>
      <c r="AH54" s="26">
        <v>19</v>
      </c>
      <c r="AI54" s="26">
        <v>19</v>
      </c>
      <c r="AJ54" s="28">
        <f t="shared" si="48"/>
        <v>20.25</v>
      </c>
      <c r="AK54" s="29" t="s">
        <v>29</v>
      </c>
      <c r="AL54" s="26">
        <v>13</v>
      </c>
      <c r="AM54" s="26">
        <v>19</v>
      </c>
      <c r="AN54" s="26">
        <v>22</v>
      </c>
      <c r="AO54" s="26">
        <v>29</v>
      </c>
      <c r="AP54" s="26">
        <v>21</v>
      </c>
      <c r="AQ54" s="26">
        <v>21</v>
      </c>
      <c r="AR54" s="26">
        <v>19</v>
      </c>
      <c r="AS54" s="28">
        <f t="shared" si="49"/>
        <v>20.571428571428573</v>
      </c>
    </row>
    <row r="55" spans="1:45" ht="12.75">
      <c r="A55" s="26" t="s">
        <v>30</v>
      </c>
      <c r="B55" s="26"/>
      <c r="C55" s="26"/>
      <c r="D55" s="26"/>
      <c r="E55" s="26"/>
      <c r="F55" s="26"/>
      <c r="G55" s="26"/>
      <c r="H55" s="26"/>
      <c r="I55" s="28" t="e">
        <f t="shared" si="45"/>
        <v>#DIV/0!</v>
      </c>
      <c r="J55" s="26" t="s">
        <v>30</v>
      </c>
      <c r="K55" s="26"/>
      <c r="L55" s="26"/>
      <c r="M55" s="26"/>
      <c r="N55" s="26"/>
      <c r="O55" s="26"/>
      <c r="P55" s="26"/>
      <c r="Q55" s="26"/>
      <c r="R55" s="28" t="e">
        <f t="shared" si="46"/>
        <v>#DIV/0!</v>
      </c>
      <c r="S55" s="26" t="s">
        <v>30</v>
      </c>
      <c r="T55" s="26"/>
      <c r="U55" s="26"/>
      <c r="V55" s="26"/>
      <c r="W55" s="26"/>
      <c r="X55" s="26"/>
      <c r="Y55" s="26"/>
      <c r="Z55" s="26"/>
      <c r="AA55" s="28" t="e">
        <f t="shared" si="47"/>
        <v>#DIV/0!</v>
      </c>
      <c r="AB55" s="26" t="s">
        <v>30</v>
      </c>
      <c r="AC55" s="26"/>
      <c r="AD55" s="26"/>
      <c r="AE55" s="26"/>
      <c r="AF55" s="26">
        <v>23</v>
      </c>
      <c r="AG55" s="26">
        <v>33</v>
      </c>
      <c r="AH55" s="26">
        <v>19</v>
      </c>
      <c r="AI55" s="26">
        <v>15</v>
      </c>
      <c r="AJ55" s="28">
        <f t="shared" si="48"/>
        <v>22.5</v>
      </c>
      <c r="AK55" s="29" t="s">
        <v>30</v>
      </c>
      <c r="AL55" s="26">
        <v>15</v>
      </c>
      <c r="AM55" s="26">
        <v>23</v>
      </c>
      <c r="AN55" s="26">
        <v>30</v>
      </c>
      <c r="AO55" s="26">
        <v>40</v>
      </c>
      <c r="AP55" s="26">
        <v>23</v>
      </c>
      <c r="AQ55" s="26">
        <v>31</v>
      </c>
      <c r="AR55" s="26">
        <v>15</v>
      </c>
      <c r="AS55" s="28">
        <f t="shared" si="49"/>
        <v>25.285714285714285</v>
      </c>
    </row>
    <row r="56" spans="1:45" ht="12.75">
      <c r="A56" s="26" t="s">
        <v>31</v>
      </c>
      <c r="B56" s="26"/>
      <c r="C56" s="27"/>
      <c r="D56" s="26"/>
      <c r="E56" s="26"/>
      <c r="F56" s="26"/>
      <c r="G56" s="26"/>
      <c r="H56" s="26"/>
      <c r="I56" s="28" t="e">
        <f>AVERAGE(B56,D56:H56)</f>
        <v>#DIV/0!</v>
      </c>
      <c r="J56" s="26" t="s">
        <v>31</v>
      </c>
      <c r="K56" s="26"/>
      <c r="L56" s="27"/>
      <c r="M56" s="26"/>
      <c r="N56" s="26"/>
      <c r="O56" s="26"/>
      <c r="P56" s="26"/>
      <c r="Q56" s="26"/>
      <c r="R56" s="28" t="e">
        <f>AVERAGE(K56,M56:Q56)</f>
        <v>#DIV/0!</v>
      </c>
      <c r="S56" s="26" t="s">
        <v>31</v>
      </c>
      <c r="T56" s="26"/>
      <c r="U56" s="27"/>
      <c r="V56" s="26"/>
      <c r="W56" s="26"/>
      <c r="X56" s="26"/>
      <c r="Y56" s="26"/>
      <c r="Z56" s="26"/>
      <c r="AA56" s="28" t="e">
        <f>AVERAGE(T56,V56:Z56)</f>
        <v>#DIV/0!</v>
      </c>
      <c r="AB56" s="26" t="s">
        <v>31</v>
      </c>
      <c r="AC56" s="26"/>
      <c r="AD56" s="27"/>
      <c r="AE56" s="26"/>
      <c r="AF56" s="26">
        <v>37</v>
      </c>
      <c r="AG56" s="26">
        <v>28</v>
      </c>
      <c r="AH56" s="26">
        <v>25</v>
      </c>
      <c r="AI56" s="26">
        <v>22</v>
      </c>
      <c r="AJ56" s="28">
        <f>AVERAGE(AC56,AE56:AI56)</f>
        <v>28</v>
      </c>
      <c r="AK56" s="29" t="s">
        <v>31</v>
      </c>
      <c r="AL56" s="26">
        <v>10</v>
      </c>
      <c r="AM56" s="27"/>
      <c r="AN56" s="26">
        <v>44</v>
      </c>
      <c r="AO56" s="26">
        <v>39</v>
      </c>
      <c r="AP56" s="26">
        <v>29</v>
      </c>
      <c r="AQ56" s="26">
        <v>25</v>
      </c>
      <c r="AR56" s="26">
        <v>22</v>
      </c>
      <c r="AS56" s="28">
        <f>AVERAGE(AL56,AN56:AR56)</f>
        <v>28.166666666666668</v>
      </c>
    </row>
    <row r="57" spans="1:45" ht="12.75">
      <c r="A57" s="26" t="s">
        <v>32</v>
      </c>
      <c r="B57" s="27"/>
      <c r="C57" s="27"/>
      <c r="D57" s="26"/>
      <c r="E57" s="26"/>
      <c r="F57" s="26"/>
      <c r="G57" s="26"/>
      <c r="H57" s="26"/>
      <c r="I57" s="28" t="e">
        <f t="shared" ref="I57:I59" si="50">AVERAGE(D57:H57)</f>
        <v>#DIV/0!</v>
      </c>
      <c r="J57" s="26" t="s">
        <v>32</v>
      </c>
      <c r="K57" s="27"/>
      <c r="L57" s="27"/>
      <c r="M57" s="26"/>
      <c r="N57" s="26"/>
      <c r="O57" s="26"/>
      <c r="P57" s="26"/>
      <c r="Q57" s="26"/>
      <c r="R57" s="28" t="e">
        <f t="shared" ref="R57:R59" si="51">AVERAGE(M57:Q57)</f>
        <v>#DIV/0!</v>
      </c>
      <c r="S57" s="26" t="s">
        <v>32</v>
      </c>
      <c r="T57" s="27"/>
      <c r="U57" s="27"/>
      <c r="V57" s="26"/>
      <c r="W57" s="26"/>
      <c r="X57" s="26"/>
      <c r="Y57" s="26"/>
      <c r="Z57" s="26"/>
      <c r="AA57" s="28" t="e">
        <f t="shared" ref="AA57:AA59" si="52">AVERAGE(V57:Z57)</f>
        <v>#DIV/0!</v>
      </c>
      <c r="AB57" s="26" t="s">
        <v>32</v>
      </c>
      <c r="AC57" s="27"/>
      <c r="AD57" s="27"/>
      <c r="AE57" s="26"/>
      <c r="AF57" s="26">
        <v>34</v>
      </c>
      <c r="AG57" s="26">
        <v>35</v>
      </c>
      <c r="AH57" s="26">
        <v>23</v>
      </c>
      <c r="AI57" s="26">
        <v>36</v>
      </c>
      <c r="AJ57" s="28">
        <f t="shared" ref="AJ57:AJ59" si="53">AVERAGE(AE57:AI57)</f>
        <v>32</v>
      </c>
      <c r="AK57" s="29" t="s">
        <v>32</v>
      </c>
      <c r="AL57" s="27"/>
      <c r="AM57" s="27"/>
      <c r="AN57" s="26">
        <v>46</v>
      </c>
      <c r="AO57" s="26">
        <v>23</v>
      </c>
      <c r="AP57" s="26">
        <v>43</v>
      </c>
      <c r="AQ57" s="26">
        <v>16</v>
      </c>
      <c r="AR57" s="26">
        <v>36</v>
      </c>
      <c r="AS57" s="28">
        <f t="shared" ref="AS57:AS59" si="54">AVERAGE(AN57:AR57)</f>
        <v>32.799999999999997</v>
      </c>
    </row>
    <row r="58" spans="1:45" ht="12.75">
      <c r="A58" s="26" t="s">
        <v>33</v>
      </c>
      <c r="B58" s="27"/>
      <c r="C58" s="27"/>
      <c r="D58" s="26"/>
      <c r="E58" s="26"/>
      <c r="F58" s="26"/>
      <c r="G58" s="26"/>
      <c r="H58" s="26"/>
      <c r="I58" s="28" t="e">
        <f t="shared" si="50"/>
        <v>#DIV/0!</v>
      </c>
      <c r="J58" s="26" t="s">
        <v>33</v>
      </c>
      <c r="K58" s="27"/>
      <c r="L58" s="27"/>
      <c r="M58" s="26"/>
      <c r="N58" s="26"/>
      <c r="O58" s="26"/>
      <c r="P58" s="26"/>
      <c r="Q58" s="26"/>
      <c r="R58" s="28" t="e">
        <f t="shared" si="51"/>
        <v>#DIV/0!</v>
      </c>
      <c r="S58" s="26" t="s">
        <v>33</v>
      </c>
      <c r="T58" s="27"/>
      <c r="U58" s="27"/>
      <c r="V58" s="26"/>
      <c r="W58" s="26"/>
      <c r="X58" s="26"/>
      <c r="Y58" s="26"/>
      <c r="Z58" s="26"/>
      <c r="AA58" s="28" t="e">
        <f t="shared" si="52"/>
        <v>#DIV/0!</v>
      </c>
      <c r="AB58" s="26" t="s">
        <v>33</v>
      </c>
      <c r="AC58" s="27"/>
      <c r="AD58" s="27"/>
      <c r="AE58" s="26"/>
      <c r="AF58" s="26">
        <v>32</v>
      </c>
      <c r="AG58" s="26">
        <v>27</v>
      </c>
      <c r="AH58" s="26">
        <v>37</v>
      </c>
      <c r="AI58" s="26">
        <v>19</v>
      </c>
      <c r="AJ58" s="28">
        <f t="shared" si="53"/>
        <v>28.75</v>
      </c>
      <c r="AK58" s="29" t="s">
        <v>33</v>
      </c>
      <c r="AL58" s="27"/>
      <c r="AM58" s="27"/>
      <c r="AN58" s="26">
        <v>32</v>
      </c>
      <c r="AO58" s="26">
        <v>30</v>
      </c>
      <c r="AP58" s="26">
        <v>35</v>
      </c>
      <c r="AQ58" s="26">
        <v>24</v>
      </c>
      <c r="AR58" s="26">
        <v>19</v>
      </c>
      <c r="AS58" s="28">
        <f t="shared" si="54"/>
        <v>28</v>
      </c>
    </row>
    <row r="59" spans="1:45" ht="12.75">
      <c r="A59" s="26" t="s">
        <v>34</v>
      </c>
      <c r="B59" s="27"/>
      <c r="C59" s="27"/>
      <c r="D59" s="26"/>
      <c r="E59" s="26"/>
      <c r="F59" s="26"/>
      <c r="G59" s="26"/>
      <c r="H59" s="26"/>
      <c r="I59" s="28" t="e">
        <f t="shared" si="50"/>
        <v>#DIV/0!</v>
      </c>
      <c r="J59" s="26" t="s">
        <v>34</v>
      </c>
      <c r="K59" s="27"/>
      <c r="L59" s="27"/>
      <c r="M59" s="26"/>
      <c r="N59" s="26"/>
      <c r="O59" s="26"/>
      <c r="P59" s="26"/>
      <c r="Q59" s="26"/>
      <c r="R59" s="28" t="e">
        <f t="shared" si="51"/>
        <v>#DIV/0!</v>
      </c>
      <c r="S59" s="26" t="s">
        <v>34</v>
      </c>
      <c r="T59" s="27"/>
      <c r="U59" s="27"/>
      <c r="V59" s="26"/>
      <c r="W59" s="26"/>
      <c r="X59" s="26"/>
      <c r="Y59" s="26"/>
      <c r="Z59" s="26"/>
      <c r="AA59" s="28" t="e">
        <f t="shared" si="52"/>
        <v>#DIV/0!</v>
      </c>
      <c r="AB59" s="26" t="s">
        <v>34</v>
      </c>
      <c r="AC59" s="27"/>
      <c r="AD59" s="27"/>
      <c r="AE59" s="26"/>
      <c r="AF59" s="26">
        <v>16</v>
      </c>
      <c r="AG59" s="26">
        <v>21</v>
      </c>
      <c r="AH59" s="26">
        <v>20</v>
      </c>
      <c r="AI59" s="26">
        <v>12</v>
      </c>
      <c r="AJ59" s="28">
        <f t="shared" si="53"/>
        <v>17.25</v>
      </c>
      <c r="AK59" s="29" t="s">
        <v>34</v>
      </c>
      <c r="AL59" s="27"/>
      <c r="AM59" s="27"/>
      <c r="AN59" s="26">
        <v>24</v>
      </c>
      <c r="AO59" s="26">
        <v>25</v>
      </c>
      <c r="AP59" s="26">
        <v>9</v>
      </c>
      <c r="AQ59" s="26">
        <v>17</v>
      </c>
      <c r="AR59" s="26">
        <v>12</v>
      </c>
      <c r="AS59" s="28">
        <f t="shared" si="54"/>
        <v>17.399999999999999</v>
      </c>
    </row>
    <row r="60" spans="1:45" ht="12.75">
      <c r="A60" s="30" t="s">
        <v>42</v>
      </c>
      <c r="B60" s="8">
        <f t="shared" ref="B60:H60" si="55">SUM(B44:B59)</f>
        <v>0</v>
      </c>
      <c r="C60" s="8">
        <f t="shared" si="55"/>
        <v>0</v>
      </c>
      <c r="D60" s="8">
        <f t="shared" si="55"/>
        <v>0</v>
      </c>
      <c r="E60" s="8">
        <f t="shared" si="55"/>
        <v>0</v>
      </c>
      <c r="F60" s="8">
        <f t="shared" si="55"/>
        <v>0</v>
      </c>
      <c r="G60" s="8">
        <f t="shared" si="55"/>
        <v>0</v>
      </c>
      <c r="H60" s="8">
        <f t="shared" si="55"/>
        <v>0</v>
      </c>
      <c r="I60" s="28">
        <f>AVERAGE(B60:H60)</f>
        <v>0</v>
      </c>
      <c r="J60" s="30" t="s">
        <v>42</v>
      </c>
      <c r="K60" s="8">
        <f t="shared" ref="K60:Q60" si="56">SUM(K44:K59)</f>
        <v>0</v>
      </c>
      <c r="L60" s="8">
        <f t="shared" si="56"/>
        <v>0</v>
      </c>
      <c r="M60" s="8">
        <f t="shared" si="56"/>
        <v>0</v>
      </c>
      <c r="N60" s="8">
        <f t="shared" si="56"/>
        <v>0</v>
      </c>
      <c r="O60" s="8">
        <f t="shared" si="56"/>
        <v>0</v>
      </c>
      <c r="P60" s="8">
        <f t="shared" si="56"/>
        <v>0</v>
      </c>
      <c r="Q60" s="8">
        <f t="shared" si="56"/>
        <v>0</v>
      </c>
      <c r="R60" s="28">
        <f>AVERAGE(K60:Q60)</f>
        <v>0</v>
      </c>
      <c r="S60" s="30" t="s">
        <v>42</v>
      </c>
      <c r="T60" s="8">
        <f t="shared" ref="T60:Z60" si="57">SUM(T44:T59)</f>
        <v>0</v>
      </c>
      <c r="U60" s="8">
        <f t="shared" si="57"/>
        <v>0</v>
      </c>
      <c r="V60" s="8">
        <f t="shared" si="57"/>
        <v>0</v>
      </c>
      <c r="W60" s="8">
        <f t="shared" si="57"/>
        <v>0</v>
      </c>
      <c r="X60" s="8">
        <f t="shared" si="57"/>
        <v>0</v>
      </c>
      <c r="Y60" s="8">
        <f t="shared" si="57"/>
        <v>0</v>
      </c>
      <c r="Z60" s="8">
        <f t="shared" si="57"/>
        <v>0</v>
      </c>
      <c r="AA60" s="28">
        <f>AVERAGE(T60:Z60)</f>
        <v>0</v>
      </c>
      <c r="AB60" s="30" t="s">
        <v>42</v>
      </c>
      <c r="AC60" s="8">
        <f t="shared" ref="AC60:AI60" si="58">SUM(AC44:AC59)</f>
        <v>0</v>
      </c>
      <c r="AD60" s="8">
        <f t="shared" si="58"/>
        <v>0</v>
      </c>
      <c r="AE60" s="8">
        <f t="shared" si="58"/>
        <v>0</v>
      </c>
      <c r="AF60" s="8">
        <f t="shared" si="58"/>
        <v>251</v>
      </c>
      <c r="AG60" s="8">
        <f t="shared" si="58"/>
        <v>378</v>
      </c>
      <c r="AH60" s="8">
        <f t="shared" si="58"/>
        <v>306</v>
      </c>
      <c r="AI60" s="8">
        <f t="shared" si="58"/>
        <v>255</v>
      </c>
      <c r="AJ60" s="28">
        <f>AVERAGE(AC60:AI60)</f>
        <v>170</v>
      </c>
      <c r="AK60" s="31" t="s">
        <v>42</v>
      </c>
      <c r="AL60" s="8">
        <f t="shared" ref="AL60:AR60" si="59">SUM(AL44:AL59)</f>
        <v>230</v>
      </c>
      <c r="AM60" s="8">
        <f t="shared" si="59"/>
        <v>195</v>
      </c>
      <c r="AN60" s="8">
        <f t="shared" si="59"/>
        <v>398</v>
      </c>
      <c r="AO60" s="8">
        <f t="shared" si="59"/>
        <v>380</v>
      </c>
      <c r="AP60" s="8">
        <f t="shared" si="59"/>
        <v>345</v>
      </c>
      <c r="AQ60" s="8">
        <f t="shared" si="59"/>
        <v>313</v>
      </c>
      <c r="AR60" s="8">
        <f t="shared" si="59"/>
        <v>278</v>
      </c>
      <c r="AS60" s="28">
        <f>AVERAGE(AL60:AR60)</f>
        <v>305.57142857142856</v>
      </c>
    </row>
    <row r="61" spans="1:45" ht="12.75">
      <c r="A61" s="32" t="s">
        <v>43</v>
      </c>
      <c r="B61" s="33">
        <f>SUM(B60:H60)</f>
        <v>0</v>
      </c>
      <c r="I61" s="20"/>
      <c r="J61" s="32" t="s">
        <v>43</v>
      </c>
      <c r="K61" s="33">
        <f>SUM(K60:Q60)</f>
        <v>0</v>
      </c>
      <c r="R61" s="20"/>
      <c r="S61" s="32" t="s">
        <v>43</v>
      </c>
      <c r="T61" s="33">
        <f>SUM(T60:Z60)</f>
        <v>0</v>
      </c>
      <c r="AA61" s="20"/>
      <c r="AB61" s="32" t="s">
        <v>43</v>
      </c>
      <c r="AC61" s="33">
        <f>SUM(AC60:AI60)</f>
        <v>1190</v>
      </c>
      <c r="AJ61" s="20"/>
      <c r="AK61" s="34" t="s">
        <v>43</v>
      </c>
      <c r="AL61" s="33">
        <f>SUM(AL60:AR60)</f>
        <v>2139</v>
      </c>
      <c r="AS61" s="20"/>
    </row>
    <row r="62" spans="1:45" ht="12.75">
      <c r="A62" s="39" t="s">
        <v>16</v>
      </c>
      <c r="B62" s="39" t="s">
        <v>5</v>
      </c>
      <c r="C62" s="39" t="s">
        <v>6</v>
      </c>
      <c r="D62" s="39" t="s">
        <v>7</v>
      </c>
      <c r="E62" s="39" t="s">
        <v>8</v>
      </c>
      <c r="F62" s="39" t="s">
        <v>9</v>
      </c>
      <c r="G62" s="39" t="s">
        <v>10</v>
      </c>
      <c r="H62" s="39" t="s">
        <v>11</v>
      </c>
      <c r="I62" s="24" t="s">
        <v>40</v>
      </c>
      <c r="J62" s="39" t="s">
        <v>16</v>
      </c>
      <c r="K62" s="39" t="s">
        <v>5</v>
      </c>
      <c r="L62" s="39" t="s">
        <v>6</v>
      </c>
      <c r="M62" s="39" t="s">
        <v>7</v>
      </c>
      <c r="N62" s="39" t="s">
        <v>8</v>
      </c>
      <c r="O62" s="39" t="s">
        <v>9</v>
      </c>
      <c r="P62" s="39" t="s">
        <v>10</v>
      </c>
      <c r="Q62" s="39" t="s">
        <v>11</v>
      </c>
      <c r="R62" s="24" t="s">
        <v>40</v>
      </c>
      <c r="S62" s="39" t="s">
        <v>16</v>
      </c>
      <c r="T62" s="39" t="s">
        <v>5</v>
      </c>
      <c r="U62" s="39" t="s">
        <v>6</v>
      </c>
      <c r="V62" s="39" t="s">
        <v>7</v>
      </c>
      <c r="W62" s="39" t="s">
        <v>8</v>
      </c>
      <c r="X62" s="39" t="s">
        <v>9</v>
      </c>
      <c r="Y62" s="39" t="s">
        <v>10</v>
      </c>
      <c r="Z62" s="39" t="s">
        <v>11</v>
      </c>
      <c r="AA62" s="24" t="s">
        <v>40</v>
      </c>
      <c r="AB62" s="39" t="s">
        <v>16</v>
      </c>
      <c r="AC62" s="39" t="s">
        <v>5</v>
      </c>
      <c r="AD62" s="39" t="s">
        <v>6</v>
      </c>
      <c r="AE62" s="39" t="s">
        <v>7</v>
      </c>
      <c r="AF62" s="39" t="s">
        <v>8</v>
      </c>
      <c r="AG62" s="39" t="s">
        <v>9</v>
      </c>
      <c r="AH62" s="39" t="s">
        <v>10</v>
      </c>
      <c r="AI62" s="39" t="s">
        <v>11</v>
      </c>
      <c r="AJ62" s="24" t="s">
        <v>46</v>
      </c>
      <c r="AK62" s="40" t="s">
        <v>16</v>
      </c>
      <c r="AL62" s="39" t="s">
        <v>5</v>
      </c>
      <c r="AM62" s="39" t="s">
        <v>6</v>
      </c>
      <c r="AN62" s="39" t="s">
        <v>7</v>
      </c>
      <c r="AO62" s="39" t="s">
        <v>8</v>
      </c>
      <c r="AP62" s="39" t="s">
        <v>9</v>
      </c>
      <c r="AQ62" s="39" t="s">
        <v>10</v>
      </c>
      <c r="AR62" s="39" t="s">
        <v>11</v>
      </c>
      <c r="AS62" s="24" t="s">
        <v>40</v>
      </c>
    </row>
    <row r="63" spans="1:45" ht="12.75">
      <c r="A63" s="26" t="s">
        <v>12</v>
      </c>
      <c r="B63" s="27"/>
      <c r="C63" s="27"/>
      <c r="D63" s="26"/>
      <c r="E63" s="26"/>
      <c r="F63" s="26"/>
      <c r="G63" s="26"/>
      <c r="H63" s="26"/>
      <c r="I63" s="28" t="e">
        <f t="shared" ref="I63:I64" si="60">AVERAGE(D63:H63)</f>
        <v>#DIV/0!</v>
      </c>
      <c r="J63" s="26" t="s">
        <v>12</v>
      </c>
      <c r="K63" s="27"/>
      <c r="L63" s="27"/>
      <c r="M63" s="26"/>
      <c r="N63" s="26"/>
      <c r="O63" s="26"/>
      <c r="P63" s="26"/>
      <c r="Q63" s="26"/>
      <c r="R63" s="28" t="e">
        <f t="shared" ref="R63:R64" si="61">AVERAGE(M63:Q63)</f>
        <v>#DIV/0!</v>
      </c>
      <c r="S63" s="26" t="s">
        <v>12</v>
      </c>
      <c r="T63" s="27"/>
      <c r="U63" s="27"/>
      <c r="V63" s="26"/>
      <c r="W63" s="26"/>
      <c r="X63" s="26"/>
      <c r="Y63" s="26"/>
      <c r="Z63" s="26"/>
      <c r="AA63" s="28" t="e">
        <f t="shared" ref="AA63:AA64" si="62">AVERAGE(V63:Z63)</f>
        <v>#DIV/0!</v>
      </c>
      <c r="AB63" s="26" t="s">
        <v>12</v>
      </c>
      <c r="AC63" s="27"/>
      <c r="AD63" s="27"/>
      <c r="AE63" s="26"/>
      <c r="AF63" s="26"/>
      <c r="AG63" s="26">
        <v>5</v>
      </c>
      <c r="AH63" s="26">
        <v>6</v>
      </c>
      <c r="AI63" s="26">
        <v>1</v>
      </c>
      <c r="AJ63" s="28">
        <f t="shared" ref="AJ63:AJ64" si="63">AVERAGE(AE63:AI63)</f>
        <v>4</v>
      </c>
      <c r="AK63" s="29" t="s">
        <v>12</v>
      </c>
      <c r="AL63" s="27"/>
      <c r="AM63" s="27"/>
      <c r="AN63" s="26">
        <v>2</v>
      </c>
      <c r="AO63" s="26">
        <v>6</v>
      </c>
      <c r="AP63" s="26"/>
      <c r="AQ63" s="26">
        <v>3</v>
      </c>
      <c r="AR63" s="26">
        <v>4</v>
      </c>
      <c r="AS63" s="28">
        <f t="shared" ref="AS63:AS64" si="64">AVERAGE(AN63:AR63)</f>
        <v>3.75</v>
      </c>
    </row>
    <row r="64" spans="1:45" ht="12.75">
      <c r="A64" s="26" t="s">
        <v>19</v>
      </c>
      <c r="B64" s="27"/>
      <c r="C64" s="27"/>
      <c r="D64" s="26"/>
      <c r="E64" s="26"/>
      <c r="F64" s="26"/>
      <c r="G64" s="26"/>
      <c r="H64" s="26"/>
      <c r="I64" s="28" t="e">
        <f t="shared" si="60"/>
        <v>#DIV/0!</v>
      </c>
      <c r="J64" s="26" t="s">
        <v>19</v>
      </c>
      <c r="K64" s="27"/>
      <c r="L64" s="27"/>
      <c r="M64" s="26"/>
      <c r="N64" s="26"/>
      <c r="O64" s="26"/>
      <c r="P64" s="26"/>
      <c r="Q64" s="26"/>
      <c r="R64" s="28" t="e">
        <f t="shared" si="61"/>
        <v>#DIV/0!</v>
      </c>
      <c r="S64" s="26" t="s">
        <v>19</v>
      </c>
      <c r="T64" s="27"/>
      <c r="U64" s="27"/>
      <c r="V64" s="26"/>
      <c r="W64" s="26"/>
      <c r="X64" s="26"/>
      <c r="Y64" s="26"/>
      <c r="Z64" s="26"/>
      <c r="AA64" s="28" t="e">
        <f t="shared" si="62"/>
        <v>#DIV/0!</v>
      </c>
      <c r="AB64" s="26" t="s">
        <v>19</v>
      </c>
      <c r="AC64" s="27"/>
      <c r="AD64" s="27"/>
      <c r="AE64" s="26"/>
      <c r="AF64" s="26"/>
      <c r="AG64" s="26">
        <v>2</v>
      </c>
      <c r="AH64" s="26">
        <v>4</v>
      </c>
      <c r="AI64" s="26">
        <v>2</v>
      </c>
      <c r="AJ64" s="28">
        <f t="shared" si="63"/>
        <v>2.6666666666666665</v>
      </c>
      <c r="AK64" s="29" t="s">
        <v>19</v>
      </c>
      <c r="AL64" s="27"/>
      <c r="AM64" s="27"/>
      <c r="AN64" s="26">
        <v>8</v>
      </c>
      <c r="AO64" s="26">
        <v>2</v>
      </c>
      <c r="AP64" s="26">
        <v>6</v>
      </c>
      <c r="AQ64" s="26">
        <v>5</v>
      </c>
      <c r="AR64" s="26">
        <v>6</v>
      </c>
      <c r="AS64" s="28">
        <f t="shared" si="64"/>
        <v>5.4</v>
      </c>
    </row>
    <row r="65" spans="1:45" ht="12.75">
      <c r="A65" s="26" t="s">
        <v>20</v>
      </c>
      <c r="B65" s="26"/>
      <c r="C65" s="27"/>
      <c r="D65" s="26"/>
      <c r="E65" s="26"/>
      <c r="F65" s="26"/>
      <c r="G65" s="26"/>
      <c r="H65" s="26"/>
      <c r="I65" s="28" t="e">
        <f>AVERAGE(B65,D65:H65)</f>
        <v>#DIV/0!</v>
      </c>
      <c r="J65" s="26" t="s">
        <v>20</v>
      </c>
      <c r="K65" s="26"/>
      <c r="L65" s="27"/>
      <c r="M65" s="26"/>
      <c r="N65" s="26"/>
      <c r="O65" s="26"/>
      <c r="P65" s="26"/>
      <c r="Q65" s="26"/>
      <c r="R65" s="28" t="e">
        <f>AVERAGE(K65,M65:Q65)</f>
        <v>#DIV/0!</v>
      </c>
      <c r="S65" s="26" t="s">
        <v>20</v>
      </c>
      <c r="T65" s="26"/>
      <c r="U65" s="27"/>
      <c r="V65" s="26"/>
      <c r="W65" s="26"/>
      <c r="X65" s="26"/>
      <c r="Y65" s="26"/>
      <c r="Z65" s="26"/>
      <c r="AA65" s="28" t="e">
        <f>AVERAGE(T65,V65:Z65)</f>
        <v>#DIV/0!</v>
      </c>
      <c r="AB65" s="26" t="s">
        <v>20</v>
      </c>
      <c r="AC65" s="26"/>
      <c r="AD65" s="27"/>
      <c r="AE65" s="26"/>
      <c r="AF65" s="26"/>
      <c r="AG65" s="26">
        <v>13</v>
      </c>
      <c r="AH65" s="26">
        <v>12</v>
      </c>
      <c r="AI65" s="26">
        <v>10</v>
      </c>
      <c r="AJ65" s="28">
        <f>AVERAGE(AC65,AE65:AI65)</f>
        <v>11.666666666666666</v>
      </c>
      <c r="AK65" s="29" t="s">
        <v>20</v>
      </c>
      <c r="AL65" s="26">
        <v>20</v>
      </c>
      <c r="AM65" s="27"/>
      <c r="AN65" s="26">
        <v>21</v>
      </c>
      <c r="AO65" s="26">
        <v>19</v>
      </c>
      <c r="AP65" s="26">
        <v>9</v>
      </c>
      <c r="AQ65" s="26">
        <v>8</v>
      </c>
      <c r="AR65" s="26">
        <v>5</v>
      </c>
      <c r="AS65" s="28">
        <f>AVERAGE(AL65,AN65:AR65)</f>
        <v>13.666666666666666</v>
      </c>
    </row>
    <row r="66" spans="1:45" ht="12.75">
      <c r="A66" s="26" t="s">
        <v>21</v>
      </c>
      <c r="B66" s="26"/>
      <c r="C66" s="26"/>
      <c r="D66" s="26"/>
      <c r="E66" s="26"/>
      <c r="F66" s="26"/>
      <c r="G66" s="26"/>
      <c r="H66" s="26"/>
      <c r="I66" s="28" t="e">
        <f t="shared" ref="I66:I74" si="65">AVERAGE(B66:H66)</f>
        <v>#DIV/0!</v>
      </c>
      <c r="J66" s="26" t="s">
        <v>21</v>
      </c>
      <c r="K66" s="26"/>
      <c r="L66" s="26"/>
      <c r="M66" s="26"/>
      <c r="N66" s="26"/>
      <c r="O66" s="26"/>
      <c r="P66" s="26"/>
      <c r="Q66" s="26"/>
      <c r="R66" s="28" t="e">
        <f t="shared" ref="R66:R74" si="66">AVERAGE(K66:Q66)</f>
        <v>#DIV/0!</v>
      </c>
      <c r="S66" s="26" t="s">
        <v>21</v>
      </c>
      <c r="T66" s="26"/>
      <c r="U66" s="26"/>
      <c r="V66" s="26"/>
      <c r="W66" s="26"/>
      <c r="X66" s="26"/>
      <c r="Y66" s="26"/>
      <c r="Z66" s="26"/>
      <c r="AA66" s="28" t="e">
        <f t="shared" ref="AA66:AA74" si="67">AVERAGE(T66:Z66)</f>
        <v>#DIV/0!</v>
      </c>
      <c r="AB66" s="26" t="s">
        <v>21</v>
      </c>
      <c r="AC66" s="26"/>
      <c r="AD66" s="26"/>
      <c r="AE66" s="26"/>
      <c r="AF66" s="26">
        <v>11</v>
      </c>
      <c r="AG66" s="26">
        <v>12</v>
      </c>
      <c r="AH66" s="26">
        <v>11</v>
      </c>
      <c r="AI66" s="26"/>
      <c r="AJ66" s="28">
        <f t="shared" ref="AJ66:AJ74" si="68">AVERAGE(AC66:AI66)</f>
        <v>11.333333333333334</v>
      </c>
      <c r="AK66" s="29" t="s">
        <v>21</v>
      </c>
      <c r="AL66" s="26">
        <v>10</v>
      </c>
      <c r="AM66" s="26">
        <v>19</v>
      </c>
      <c r="AN66" s="26">
        <v>10</v>
      </c>
      <c r="AO66" s="26">
        <v>11</v>
      </c>
      <c r="AP66" s="26">
        <v>17</v>
      </c>
      <c r="AQ66" s="26">
        <v>11</v>
      </c>
      <c r="AR66" s="26">
        <v>8</v>
      </c>
      <c r="AS66" s="28">
        <f t="shared" ref="AS66:AS74" si="69">AVERAGE(AL66:AR66)</f>
        <v>12.285714285714286</v>
      </c>
    </row>
    <row r="67" spans="1:45" ht="12.75">
      <c r="A67" s="26" t="s">
        <v>22</v>
      </c>
      <c r="B67" s="26"/>
      <c r="C67" s="26"/>
      <c r="D67" s="26"/>
      <c r="E67" s="26"/>
      <c r="F67" s="26"/>
      <c r="G67" s="26"/>
      <c r="H67" s="26"/>
      <c r="I67" s="28" t="e">
        <f t="shared" si="65"/>
        <v>#DIV/0!</v>
      </c>
      <c r="J67" s="26" t="s">
        <v>22</v>
      </c>
      <c r="K67" s="26"/>
      <c r="L67" s="26"/>
      <c r="M67" s="26"/>
      <c r="N67" s="26"/>
      <c r="O67" s="26"/>
      <c r="P67" s="26"/>
      <c r="Q67" s="26"/>
      <c r="R67" s="28" t="e">
        <f t="shared" si="66"/>
        <v>#DIV/0!</v>
      </c>
      <c r="S67" s="26" t="s">
        <v>22</v>
      </c>
      <c r="T67" s="26"/>
      <c r="U67" s="26"/>
      <c r="V67" s="26"/>
      <c r="W67" s="26"/>
      <c r="X67" s="26"/>
      <c r="Y67" s="26"/>
      <c r="Z67" s="26"/>
      <c r="AA67" s="28" t="e">
        <f t="shared" si="67"/>
        <v>#DIV/0!</v>
      </c>
      <c r="AB67" s="26" t="s">
        <v>22</v>
      </c>
      <c r="AC67" s="26"/>
      <c r="AD67" s="26"/>
      <c r="AE67" s="26"/>
      <c r="AF67" s="26">
        <v>14</v>
      </c>
      <c r="AG67" s="26">
        <v>20</v>
      </c>
      <c r="AH67" s="26">
        <v>20</v>
      </c>
      <c r="AI67" s="26">
        <v>32</v>
      </c>
      <c r="AJ67" s="28">
        <f t="shared" si="68"/>
        <v>21.5</v>
      </c>
      <c r="AK67" s="29" t="s">
        <v>22</v>
      </c>
      <c r="AL67" s="26">
        <v>9</v>
      </c>
      <c r="AM67" s="26">
        <v>11</v>
      </c>
      <c r="AN67" s="26">
        <v>14</v>
      </c>
      <c r="AO67" s="26">
        <v>18</v>
      </c>
      <c r="AP67" s="26">
        <v>24</v>
      </c>
      <c r="AQ67" s="26">
        <v>15</v>
      </c>
      <c r="AR67" s="26">
        <v>21</v>
      </c>
      <c r="AS67" s="28">
        <f t="shared" si="69"/>
        <v>16</v>
      </c>
    </row>
    <row r="68" spans="1:45" ht="12.75">
      <c r="A68" s="26" t="s">
        <v>23</v>
      </c>
      <c r="B68" s="26"/>
      <c r="C68" s="26"/>
      <c r="D68" s="26"/>
      <c r="E68" s="26"/>
      <c r="F68" s="26"/>
      <c r="G68" s="26"/>
      <c r="H68" s="26"/>
      <c r="I68" s="28" t="e">
        <f t="shared" si="65"/>
        <v>#DIV/0!</v>
      </c>
      <c r="J68" s="26" t="s">
        <v>23</v>
      </c>
      <c r="K68" s="26"/>
      <c r="L68" s="26"/>
      <c r="M68" s="26"/>
      <c r="N68" s="26"/>
      <c r="O68" s="26"/>
      <c r="P68" s="26"/>
      <c r="Q68" s="26"/>
      <c r="R68" s="28" t="e">
        <f t="shared" si="66"/>
        <v>#DIV/0!</v>
      </c>
      <c r="S68" s="26" t="s">
        <v>23</v>
      </c>
      <c r="T68" s="26"/>
      <c r="U68" s="26"/>
      <c r="V68" s="26"/>
      <c r="W68" s="26"/>
      <c r="X68" s="26"/>
      <c r="Y68" s="26"/>
      <c r="Z68" s="26"/>
      <c r="AA68" s="28" t="e">
        <f t="shared" si="67"/>
        <v>#DIV/0!</v>
      </c>
      <c r="AB68" s="26" t="s">
        <v>23</v>
      </c>
      <c r="AC68" s="26"/>
      <c r="AD68" s="26"/>
      <c r="AE68" s="26"/>
      <c r="AF68" s="26"/>
      <c r="AG68" s="26">
        <v>16</v>
      </c>
      <c r="AH68" s="26">
        <v>15</v>
      </c>
      <c r="AI68" s="26"/>
      <c r="AJ68" s="28">
        <f t="shared" si="68"/>
        <v>15.5</v>
      </c>
      <c r="AK68" s="29" t="s">
        <v>23</v>
      </c>
      <c r="AL68" s="26">
        <v>9</v>
      </c>
      <c r="AM68" s="26">
        <v>16</v>
      </c>
      <c r="AN68" s="26">
        <v>7</v>
      </c>
      <c r="AO68" s="26">
        <v>18</v>
      </c>
      <c r="AP68" s="26">
        <v>19</v>
      </c>
      <c r="AQ68" s="26">
        <v>22</v>
      </c>
      <c r="AR68" s="26">
        <v>9</v>
      </c>
      <c r="AS68" s="28">
        <f t="shared" si="69"/>
        <v>14.285714285714286</v>
      </c>
    </row>
    <row r="69" spans="1:45" ht="12.75">
      <c r="A69" s="26" t="s">
        <v>24</v>
      </c>
      <c r="B69" s="26"/>
      <c r="C69" s="26"/>
      <c r="D69" s="26"/>
      <c r="E69" s="26"/>
      <c r="F69" s="26"/>
      <c r="G69" s="26"/>
      <c r="H69" s="26"/>
      <c r="I69" s="28" t="e">
        <f t="shared" si="65"/>
        <v>#DIV/0!</v>
      </c>
      <c r="J69" s="26" t="s">
        <v>24</v>
      </c>
      <c r="K69" s="26"/>
      <c r="L69" s="26"/>
      <c r="M69" s="26"/>
      <c r="N69" s="26"/>
      <c r="O69" s="26"/>
      <c r="P69" s="26"/>
      <c r="Q69" s="26"/>
      <c r="R69" s="28" t="e">
        <f t="shared" si="66"/>
        <v>#DIV/0!</v>
      </c>
      <c r="S69" s="26" t="s">
        <v>24</v>
      </c>
      <c r="T69" s="26"/>
      <c r="U69" s="26"/>
      <c r="V69" s="26"/>
      <c r="W69" s="26"/>
      <c r="X69" s="26"/>
      <c r="Y69" s="26"/>
      <c r="Z69" s="26"/>
      <c r="AA69" s="28" t="e">
        <f t="shared" si="67"/>
        <v>#DIV/0!</v>
      </c>
      <c r="AB69" s="26" t="s">
        <v>24</v>
      </c>
      <c r="AC69" s="26"/>
      <c r="AD69" s="26"/>
      <c r="AE69" s="26"/>
      <c r="AF69" s="26"/>
      <c r="AG69" s="26">
        <v>21</v>
      </c>
      <c r="AH69" s="26">
        <v>7</v>
      </c>
      <c r="AI69" s="26"/>
      <c r="AJ69" s="28">
        <f t="shared" si="68"/>
        <v>14</v>
      </c>
      <c r="AK69" s="29" t="s">
        <v>24</v>
      </c>
      <c r="AL69" s="26">
        <v>11</v>
      </c>
      <c r="AM69" s="26">
        <v>12</v>
      </c>
      <c r="AN69" s="26">
        <v>16</v>
      </c>
      <c r="AO69" s="26">
        <v>20</v>
      </c>
      <c r="AP69" s="26">
        <v>22</v>
      </c>
      <c r="AQ69" s="26">
        <v>15</v>
      </c>
      <c r="AR69" s="26">
        <v>8</v>
      </c>
      <c r="AS69" s="28">
        <f t="shared" si="69"/>
        <v>14.857142857142858</v>
      </c>
    </row>
    <row r="70" spans="1:45" ht="12.75">
      <c r="A70" s="26" t="s">
        <v>25</v>
      </c>
      <c r="B70" s="26"/>
      <c r="C70" s="26"/>
      <c r="D70" s="26"/>
      <c r="E70" s="26"/>
      <c r="F70" s="26"/>
      <c r="G70" s="26"/>
      <c r="H70" s="26"/>
      <c r="I70" s="28" t="e">
        <f t="shared" si="65"/>
        <v>#DIV/0!</v>
      </c>
      <c r="J70" s="26" t="s">
        <v>25</v>
      </c>
      <c r="K70" s="26"/>
      <c r="L70" s="26"/>
      <c r="M70" s="26"/>
      <c r="N70" s="26"/>
      <c r="O70" s="26"/>
      <c r="P70" s="26"/>
      <c r="Q70" s="26"/>
      <c r="R70" s="28" t="e">
        <f t="shared" si="66"/>
        <v>#DIV/0!</v>
      </c>
      <c r="S70" s="26" t="s">
        <v>25</v>
      </c>
      <c r="T70" s="26"/>
      <c r="U70" s="26"/>
      <c r="V70" s="26"/>
      <c r="W70" s="26"/>
      <c r="X70" s="26"/>
      <c r="Y70" s="26"/>
      <c r="Z70" s="26"/>
      <c r="AA70" s="28" t="e">
        <f t="shared" si="67"/>
        <v>#DIV/0!</v>
      </c>
      <c r="AB70" s="26" t="s">
        <v>25</v>
      </c>
      <c r="AC70" s="26"/>
      <c r="AD70" s="26"/>
      <c r="AE70" s="26"/>
      <c r="AF70" s="26">
        <v>9</v>
      </c>
      <c r="AG70" s="26">
        <v>9</v>
      </c>
      <c r="AH70" s="26">
        <v>12</v>
      </c>
      <c r="AI70" s="26">
        <v>10</v>
      </c>
      <c r="AJ70" s="28">
        <f t="shared" si="68"/>
        <v>10</v>
      </c>
      <c r="AK70" s="29" t="s">
        <v>25</v>
      </c>
      <c r="AL70" s="26">
        <v>8</v>
      </c>
      <c r="AM70" s="26">
        <v>12</v>
      </c>
      <c r="AN70" s="26">
        <v>18</v>
      </c>
      <c r="AO70" s="26">
        <v>10</v>
      </c>
      <c r="AP70" s="26">
        <v>9</v>
      </c>
      <c r="AQ70" s="26">
        <v>3</v>
      </c>
      <c r="AR70" s="26">
        <v>7</v>
      </c>
      <c r="AS70" s="28">
        <f t="shared" si="69"/>
        <v>9.5714285714285712</v>
      </c>
    </row>
    <row r="71" spans="1:45" ht="12.75">
      <c r="A71" s="26" t="s">
        <v>27</v>
      </c>
      <c r="B71" s="26"/>
      <c r="C71" s="26"/>
      <c r="D71" s="26"/>
      <c r="E71" s="26"/>
      <c r="F71" s="26"/>
      <c r="G71" s="26"/>
      <c r="H71" s="26"/>
      <c r="I71" s="28" t="e">
        <f t="shared" si="65"/>
        <v>#DIV/0!</v>
      </c>
      <c r="J71" s="26" t="s">
        <v>27</v>
      </c>
      <c r="K71" s="26"/>
      <c r="L71" s="26"/>
      <c r="M71" s="26"/>
      <c r="N71" s="26"/>
      <c r="O71" s="26"/>
      <c r="P71" s="26"/>
      <c r="Q71" s="26"/>
      <c r="R71" s="28" t="e">
        <f t="shared" si="66"/>
        <v>#DIV/0!</v>
      </c>
      <c r="S71" s="26" t="s">
        <v>27</v>
      </c>
      <c r="T71" s="26"/>
      <c r="U71" s="26"/>
      <c r="V71" s="26"/>
      <c r="W71" s="26"/>
      <c r="X71" s="26"/>
      <c r="Y71" s="26"/>
      <c r="Z71" s="26"/>
      <c r="AA71" s="28" t="e">
        <f t="shared" si="67"/>
        <v>#DIV/0!</v>
      </c>
      <c r="AB71" s="26" t="s">
        <v>27</v>
      </c>
      <c r="AC71" s="26"/>
      <c r="AD71" s="26"/>
      <c r="AE71" s="26"/>
      <c r="AF71" s="26">
        <v>10</v>
      </c>
      <c r="AG71" s="26">
        <v>10</v>
      </c>
      <c r="AH71" s="26">
        <v>10</v>
      </c>
      <c r="AI71" s="26">
        <v>11</v>
      </c>
      <c r="AJ71" s="28">
        <f t="shared" si="68"/>
        <v>10.25</v>
      </c>
      <c r="AK71" s="29" t="s">
        <v>27</v>
      </c>
      <c r="AL71" s="26">
        <v>30</v>
      </c>
      <c r="AM71" s="26">
        <v>12</v>
      </c>
      <c r="AN71" s="26">
        <v>12</v>
      </c>
      <c r="AO71" s="26">
        <v>8</v>
      </c>
      <c r="AP71" s="26">
        <v>10</v>
      </c>
      <c r="AQ71" s="26">
        <v>3</v>
      </c>
      <c r="AR71" s="26">
        <v>11</v>
      </c>
      <c r="AS71" s="28">
        <f t="shared" si="69"/>
        <v>12.285714285714286</v>
      </c>
    </row>
    <row r="72" spans="1:45" ht="12.75">
      <c r="A72" s="26" t="s">
        <v>28</v>
      </c>
      <c r="B72" s="26"/>
      <c r="C72" s="26"/>
      <c r="D72" s="26"/>
      <c r="E72" s="26"/>
      <c r="F72" s="26"/>
      <c r="G72" s="26"/>
      <c r="H72" s="26"/>
      <c r="I72" s="28" t="e">
        <f t="shared" si="65"/>
        <v>#DIV/0!</v>
      </c>
      <c r="J72" s="26" t="s">
        <v>28</v>
      </c>
      <c r="K72" s="26"/>
      <c r="L72" s="26"/>
      <c r="M72" s="26"/>
      <c r="N72" s="26"/>
      <c r="O72" s="26"/>
      <c r="P72" s="26"/>
      <c r="Q72" s="26"/>
      <c r="R72" s="28" t="e">
        <f t="shared" si="66"/>
        <v>#DIV/0!</v>
      </c>
      <c r="S72" s="26" t="s">
        <v>28</v>
      </c>
      <c r="T72" s="26"/>
      <c r="U72" s="26"/>
      <c r="V72" s="26"/>
      <c r="W72" s="26"/>
      <c r="X72" s="26"/>
      <c r="Y72" s="26"/>
      <c r="Z72" s="26"/>
      <c r="AA72" s="28" t="e">
        <f t="shared" si="67"/>
        <v>#DIV/0!</v>
      </c>
      <c r="AB72" s="26" t="s">
        <v>28</v>
      </c>
      <c r="AC72" s="26"/>
      <c r="AD72" s="26"/>
      <c r="AE72" s="26"/>
      <c r="AF72" s="26">
        <v>13</v>
      </c>
      <c r="AG72" s="26">
        <v>7</v>
      </c>
      <c r="AH72" s="26">
        <v>11</v>
      </c>
      <c r="AI72" s="26">
        <v>9</v>
      </c>
      <c r="AJ72" s="28">
        <f t="shared" si="68"/>
        <v>10</v>
      </c>
      <c r="AK72" s="29" t="s">
        <v>28</v>
      </c>
      <c r="AL72" s="26">
        <v>25</v>
      </c>
      <c r="AM72" s="26">
        <v>19</v>
      </c>
      <c r="AN72" s="26">
        <v>15</v>
      </c>
      <c r="AO72" s="26">
        <v>12</v>
      </c>
      <c r="AP72" s="26">
        <v>12</v>
      </c>
      <c r="AQ72" s="26">
        <v>10</v>
      </c>
      <c r="AR72" s="26">
        <v>9</v>
      </c>
      <c r="AS72" s="28">
        <f t="shared" si="69"/>
        <v>14.571428571428571</v>
      </c>
    </row>
    <row r="73" spans="1:45" ht="12.75">
      <c r="A73" s="26" t="s">
        <v>29</v>
      </c>
      <c r="B73" s="26"/>
      <c r="C73" s="26"/>
      <c r="D73" s="26"/>
      <c r="E73" s="26"/>
      <c r="F73" s="26"/>
      <c r="G73" s="26"/>
      <c r="H73" s="26"/>
      <c r="I73" s="28" t="e">
        <f t="shared" si="65"/>
        <v>#DIV/0!</v>
      </c>
      <c r="J73" s="26" t="s">
        <v>29</v>
      </c>
      <c r="K73" s="26"/>
      <c r="L73" s="26"/>
      <c r="M73" s="26"/>
      <c r="N73" s="26"/>
      <c r="O73" s="26"/>
      <c r="P73" s="26"/>
      <c r="Q73" s="26"/>
      <c r="R73" s="28" t="e">
        <f t="shared" si="66"/>
        <v>#DIV/0!</v>
      </c>
      <c r="S73" s="26" t="s">
        <v>29</v>
      </c>
      <c r="T73" s="26"/>
      <c r="U73" s="26"/>
      <c r="V73" s="26"/>
      <c r="W73" s="26"/>
      <c r="X73" s="26"/>
      <c r="Y73" s="26"/>
      <c r="Z73" s="26"/>
      <c r="AA73" s="28" t="e">
        <f t="shared" si="67"/>
        <v>#DIV/0!</v>
      </c>
      <c r="AB73" s="26" t="s">
        <v>29</v>
      </c>
      <c r="AC73" s="26"/>
      <c r="AD73" s="26"/>
      <c r="AE73" s="26"/>
      <c r="AF73" s="26">
        <v>10</v>
      </c>
      <c r="AG73" s="26">
        <v>6</v>
      </c>
      <c r="AH73" s="26">
        <v>13</v>
      </c>
      <c r="AI73" s="26">
        <v>13</v>
      </c>
      <c r="AJ73" s="28">
        <f t="shared" si="68"/>
        <v>10.5</v>
      </c>
      <c r="AK73" s="29" t="s">
        <v>29</v>
      </c>
      <c r="AL73" s="26">
        <v>10</v>
      </c>
      <c r="AM73" s="26">
        <v>8</v>
      </c>
      <c r="AN73" s="26">
        <v>10</v>
      </c>
      <c r="AO73" s="26">
        <v>9</v>
      </c>
      <c r="AP73" s="26">
        <v>12</v>
      </c>
      <c r="AQ73" s="26">
        <v>5</v>
      </c>
      <c r="AR73" s="26">
        <v>13</v>
      </c>
      <c r="AS73" s="28">
        <f t="shared" si="69"/>
        <v>9.5714285714285712</v>
      </c>
    </row>
    <row r="74" spans="1:45" ht="12.75">
      <c r="A74" s="26" t="s">
        <v>30</v>
      </c>
      <c r="B74" s="26"/>
      <c r="C74" s="26"/>
      <c r="D74" s="26"/>
      <c r="E74" s="26"/>
      <c r="F74" s="26"/>
      <c r="G74" s="26"/>
      <c r="H74" s="26"/>
      <c r="I74" s="28" t="e">
        <f t="shared" si="65"/>
        <v>#DIV/0!</v>
      </c>
      <c r="J74" s="26" t="s">
        <v>30</v>
      </c>
      <c r="K74" s="26"/>
      <c r="L74" s="26"/>
      <c r="M74" s="26"/>
      <c r="N74" s="26"/>
      <c r="O74" s="26"/>
      <c r="P74" s="26"/>
      <c r="Q74" s="26"/>
      <c r="R74" s="28" t="e">
        <f t="shared" si="66"/>
        <v>#DIV/0!</v>
      </c>
      <c r="S74" s="26" t="s">
        <v>30</v>
      </c>
      <c r="T74" s="26"/>
      <c r="U74" s="26"/>
      <c r="V74" s="26"/>
      <c r="W74" s="26"/>
      <c r="X74" s="26"/>
      <c r="Y74" s="26"/>
      <c r="Z74" s="26"/>
      <c r="AA74" s="28" t="e">
        <f t="shared" si="67"/>
        <v>#DIV/0!</v>
      </c>
      <c r="AB74" s="26" t="s">
        <v>30</v>
      </c>
      <c r="AC74" s="26"/>
      <c r="AD74" s="26"/>
      <c r="AE74" s="26"/>
      <c r="AF74" s="26">
        <v>13</v>
      </c>
      <c r="AG74" s="26">
        <v>7</v>
      </c>
      <c r="AH74" s="26">
        <v>3</v>
      </c>
      <c r="AI74" s="26">
        <v>10</v>
      </c>
      <c r="AJ74" s="28">
        <f t="shared" si="68"/>
        <v>8.25</v>
      </c>
      <c r="AK74" s="29" t="s">
        <v>30</v>
      </c>
      <c r="AL74" s="26">
        <v>5</v>
      </c>
      <c r="AM74" s="26">
        <v>9</v>
      </c>
      <c r="AN74" s="26">
        <v>10</v>
      </c>
      <c r="AO74" s="26">
        <v>11</v>
      </c>
      <c r="AP74" s="26">
        <v>10</v>
      </c>
      <c r="AQ74" s="26">
        <v>4</v>
      </c>
      <c r="AR74" s="26">
        <v>10</v>
      </c>
      <c r="AS74" s="28">
        <f t="shared" si="69"/>
        <v>8.4285714285714288</v>
      </c>
    </row>
    <row r="75" spans="1:45" ht="12.75">
      <c r="A75" s="26" t="s">
        <v>31</v>
      </c>
      <c r="B75" s="26"/>
      <c r="C75" s="27"/>
      <c r="D75" s="26"/>
      <c r="E75" s="26"/>
      <c r="F75" s="26"/>
      <c r="G75" s="26"/>
      <c r="H75" s="26"/>
      <c r="I75" s="28" t="e">
        <f>AVERAGE(B75,D75:H75)</f>
        <v>#DIV/0!</v>
      </c>
      <c r="J75" s="26" t="s">
        <v>31</v>
      </c>
      <c r="K75" s="26"/>
      <c r="L75" s="27"/>
      <c r="M75" s="26"/>
      <c r="N75" s="26"/>
      <c r="O75" s="26"/>
      <c r="P75" s="26"/>
      <c r="Q75" s="26"/>
      <c r="R75" s="28" t="e">
        <f>AVERAGE(K75,M75:Q75)</f>
        <v>#DIV/0!</v>
      </c>
      <c r="S75" s="26" t="s">
        <v>31</v>
      </c>
      <c r="T75" s="26"/>
      <c r="U75" s="27"/>
      <c r="V75" s="26"/>
      <c r="W75" s="26"/>
      <c r="X75" s="26"/>
      <c r="Y75" s="26"/>
      <c r="Z75" s="26"/>
      <c r="AA75" s="28" t="e">
        <f>AVERAGE(T75,V75:Z75)</f>
        <v>#DIV/0!</v>
      </c>
      <c r="AB75" s="26" t="s">
        <v>31</v>
      </c>
      <c r="AC75" s="26"/>
      <c r="AD75" s="27"/>
      <c r="AE75" s="26"/>
      <c r="AF75" s="26">
        <v>8</v>
      </c>
      <c r="AG75" s="26">
        <v>13</v>
      </c>
      <c r="AH75" s="26">
        <v>9</v>
      </c>
      <c r="AI75" s="26">
        <v>7</v>
      </c>
      <c r="AJ75" s="28">
        <f>AVERAGE(AC75,AE75:AI75)</f>
        <v>9.25</v>
      </c>
      <c r="AK75" s="29" t="s">
        <v>31</v>
      </c>
      <c r="AL75" s="26">
        <v>2</v>
      </c>
      <c r="AM75" s="27"/>
      <c r="AN75" s="26">
        <v>19</v>
      </c>
      <c r="AO75" s="26">
        <v>8</v>
      </c>
      <c r="AP75" s="26">
        <v>8</v>
      </c>
      <c r="AQ75" s="26">
        <v>3</v>
      </c>
      <c r="AR75" s="26">
        <v>7</v>
      </c>
      <c r="AS75" s="28">
        <f>AVERAGE(AL75,AN75:AR75)</f>
        <v>7.833333333333333</v>
      </c>
    </row>
    <row r="76" spans="1:45" ht="12.75">
      <c r="A76" s="26" t="s">
        <v>32</v>
      </c>
      <c r="B76" s="27"/>
      <c r="C76" s="27"/>
      <c r="D76" s="26"/>
      <c r="E76" s="26"/>
      <c r="F76" s="26"/>
      <c r="G76" s="26"/>
      <c r="H76" s="26"/>
      <c r="I76" s="28" t="e">
        <f t="shared" ref="I76:I78" si="70">AVERAGE(D76:H76)</f>
        <v>#DIV/0!</v>
      </c>
      <c r="J76" s="26" t="s">
        <v>32</v>
      </c>
      <c r="K76" s="27"/>
      <c r="L76" s="27"/>
      <c r="M76" s="26"/>
      <c r="N76" s="26"/>
      <c r="O76" s="26"/>
      <c r="P76" s="26"/>
      <c r="Q76" s="26"/>
      <c r="R76" s="28" t="e">
        <f t="shared" ref="R76:R78" si="71">AVERAGE(M76:Q76)</f>
        <v>#DIV/0!</v>
      </c>
      <c r="S76" s="26" t="s">
        <v>32</v>
      </c>
      <c r="T76" s="27"/>
      <c r="U76" s="27"/>
      <c r="V76" s="26"/>
      <c r="W76" s="26"/>
      <c r="X76" s="26"/>
      <c r="Y76" s="26"/>
      <c r="Z76" s="26"/>
      <c r="AA76" s="28" t="e">
        <f t="shared" ref="AA76:AA78" si="72">AVERAGE(V76:Z76)</f>
        <v>#DIV/0!</v>
      </c>
      <c r="AB76" s="26" t="s">
        <v>32</v>
      </c>
      <c r="AC76" s="27"/>
      <c r="AD76" s="27"/>
      <c r="AE76" s="26"/>
      <c r="AF76" s="26">
        <v>16</v>
      </c>
      <c r="AG76" s="26">
        <v>6</v>
      </c>
      <c r="AH76" s="26">
        <v>8</v>
      </c>
      <c r="AI76" s="26">
        <v>7</v>
      </c>
      <c r="AJ76" s="28">
        <f t="shared" ref="AJ76:AJ78" si="73">AVERAGE(AE76:AI76)</f>
        <v>9.25</v>
      </c>
      <c r="AK76" s="29" t="s">
        <v>32</v>
      </c>
      <c r="AL76" s="27"/>
      <c r="AM76" s="27"/>
      <c r="AN76" s="26">
        <v>11</v>
      </c>
      <c r="AO76" s="26">
        <v>11</v>
      </c>
      <c r="AP76" s="26">
        <v>9</v>
      </c>
      <c r="AQ76" s="26">
        <v>7</v>
      </c>
      <c r="AR76" s="26">
        <v>7</v>
      </c>
      <c r="AS76" s="28">
        <f t="shared" ref="AS76:AS78" si="74">AVERAGE(AN76:AR76)</f>
        <v>9</v>
      </c>
    </row>
    <row r="77" spans="1:45" ht="12.75">
      <c r="A77" s="26" t="s">
        <v>33</v>
      </c>
      <c r="B77" s="27"/>
      <c r="C77" s="27"/>
      <c r="D77" s="26"/>
      <c r="E77" s="26"/>
      <c r="F77" s="26"/>
      <c r="G77" s="26"/>
      <c r="H77" s="26"/>
      <c r="I77" s="28" t="e">
        <f t="shared" si="70"/>
        <v>#DIV/0!</v>
      </c>
      <c r="J77" s="26" t="s">
        <v>33</v>
      </c>
      <c r="K77" s="27"/>
      <c r="L77" s="27"/>
      <c r="M77" s="26"/>
      <c r="N77" s="26"/>
      <c r="O77" s="26"/>
      <c r="P77" s="26"/>
      <c r="Q77" s="26"/>
      <c r="R77" s="28" t="e">
        <f t="shared" si="71"/>
        <v>#DIV/0!</v>
      </c>
      <c r="S77" s="26" t="s">
        <v>33</v>
      </c>
      <c r="T77" s="27"/>
      <c r="U77" s="27"/>
      <c r="V77" s="26"/>
      <c r="W77" s="26"/>
      <c r="X77" s="26"/>
      <c r="Y77" s="26"/>
      <c r="Z77" s="26"/>
      <c r="AA77" s="28" t="e">
        <f t="shared" si="72"/>
        <v>#DIV/0!</v>
      </c>
      <c r="AB77" s="26" t="s">
        <v>33</v>
      </c>
      <c r="AC77" s="27"/>
      <c r="AD77" s="27"/>
      <c r="AE77" s="26"/>
      <c r="AF77" s="26">
        <v>10</v>
      </c>
      <c r="AG77" s="26">
        <v>10</v>
      </c>
      <c r="AH77" s="26">
        <v>10</v>
      </c>
      <c r="AI77" s="26">
        <v>4</v>
      </c>
      <c r="AJ77" s="28">
        <f t="shared" si="73"/>
        <v>8.5</v>
      </c>
      <c r="AK77" s="29" t="s">
        <v>33</v>
      </c>
      <c r="AL77" s="27"/>
      <c r="AM77" s="27"/>
      <c r="AN77" s="26">
        <v>12</v>
      </c>
      <c r="AO77" s="26">
        <v>8</v>
      </c>
      <c r="AP77" s="26">
        <v>10</v>
      </c>
      <c r="AQ77" s="26">
        <v>8</v>
      </c>
      <c r="AR77" s="26">
        <v>4</v>
      </c>
      <c r="AS77" s="28">
        <f t="shared" si="74"/>
        <v>8.4</v>
      </c>
    </row>
    <row r="78" spans="1:45" ht="12.75">
      <c r="A78" s="26" t="s">
        <v>34</v>
      </c>
      <c r="B78" s="27"/>
      <c r="C78" s="27"/>
      <c r="D78" s="26"/>
      <c r="E78" s="26"/>
      <c r="F78" s="26"/>
      <c r="G78" s="26"/>
      <c r="H78" s="26"/>
      <c r="I78" s="28" t="e">
        <f t="shared" si="70"/>
        <v>#DIV/0!</v>
      </c>
      <c r="J78" s="26" t="s">
        <v>34</v>
      </c>
      <c r="K78" s="27"/>
      <c r="L78" s="27"/>
      <c r="M78" s="26"/>
      <c r="N78" s="26"/>
      <c r="O78" s="26"/>
      <c r="P78" s="26"/>
      <c r="Q78" s="26"/>
      <c r="R78" s="28" t="e">
        <f t="shared" si="71"/>
        <v>#DIV/0!</v>
      </c>
      <c r="S78" s="26" t="s">
        <v>34</v>
      </c>
      <c r="T78" s="27"/>
      <c r="U78" s="27"/>
      <c r="V78" s="26"/>
      <c r="W78" s="26"/>
      <c r="X78" s="26"/>
      <c r="Y78" s="26"/>
      <c r="Z78" s="26"/>
      <c r="AA78" s="28" t="e">
        <f t="shared" si="72"/>
        <v>#DIV/0!</v>
      </c>
      <c r="AB78" s="26" t="s">
        <v>34</v>
      </c>
      <c r="AC78" s="27"/>
      <c r="AD78" s="27"/>
      <c r="AE78" s="26"/>
      <c r="AF78" s="26">
        <v>3</v>
      </c>
      <c r="AG78" s="26">
        <v>6</v>
      </c>
      <c r="AH78" s="26">
        <v>6</v>
      </c>
      <c r="AI78" s="26">
        <v>1</v>
      </c>
      <c r="AJ78" s="28">
        <f t="shared" si="73"/>
        <v>4</v>
      </c>
      <c r="AK78" s="29" t="s">
        <v>34</v>
      </c>
      <c r="AL78" s="27"/>
      <c r="AM78" s="27"/>
      <c r="AN78" s="26">
        <v>9</v>
      </c>
      <c r="AO78" s="26">
        <v>2</v>
      </c>
      <c r="AP78" s="26">
        <v>4</v>
      </c>
      <c r="AQ78" s="26">
        <v>5</v>
      </c>
      <c r="AR78" s="26">
        <v>1</v>
      </c>
      <c r="AS78" s="28">
        <f t="shared" si="74"/>
        <v>4.2</v>
      </c>
    </row>
    <row r="79" spans="1:45" ht="12.75">
      <c r="A79" s="30" t="s">
        <v>42</v>
      </c>
      <c r="B79" s="8">
        <f t="shared" ref="B79:H79" si="75">SUM(B63:B78)</f>
        <v>0</v>
      </c>
      <c r="C79" s="8">
        <f t="shared" si="75"/>
        <v>0</v>
      </c>
      <c r="D79" s="8">
        <f t="shared" si="75"/>
        <v>0</v>
      </c>
      <c r="E79" s="8">
        <f t="shared" si="75"/>
        <v>0</v>
      </c>
      <c r="F79" s="8">
        <f t="shared" si="75"/>
        <v>0</v>
      </c>
      <c r="G79" s="8">
        <f t="shared" si="75"/>
        <v>0</v>
      </c>
      <c r="H79" s="8">
        <f t="shared" si="75"/>
        <v>0</v>
      </c>
      <c r="I79" s="28">
        <f>AVERAGE(B79:H79)</f>
        <v>0</v>
      </c>
      <c r="J79" s="30" t="s">
        <v>42</v>
      </c>
      <c r="K79" s="8">
        <f t="shared" ref="K79:Q79" si="76">SUM(K63:K78)</f>
        <v>0</v>
      </c>
      <c r="L79" s="8">
        <f t="shared" si="76"/>
        <v>0</v>
      </c>
      <c r="M79" s="8">
        <f t="shared" si="76"/>
        <v>0</v>
      </c>
      <c r="N79" s="8">
        <f t="shared" si="76"/>
        <v>0</v>
      </c>
      <c r="O79" s="8">
        <f t="shared" si="76"/>
        <v>0</v>
      </c>
      <c r="P79" s="8">
        <f t="shared" si="76"/>
        <v>0</v>
      </c>
      <c r="Q79" s="8">
        <f t="shared" si="76"/>
        <v>0</v>
      </c>
      <c r="R79" s="28">
        <f>AVERAGE(K79:Q79)</f>
        <v>0</v>
      </c>
      <c r="S79" s="30" t="s">
        <v>42</v>
      </c>
      <c r="T79" s="8">
        <f t="shared" ref="T79:Z79" si="77">SUM(T63:T78)</f>
        <v>0</v>
      </c>
      <c r="U79" s="8">
        <f t="shared" si="77"/>
        <v>0</v>
      </c>
      <c r="V79" s="8">
        <f t="shared" si="77"/>
        <v>0</v>
      </c>
      <c r="W79" s="8">
        <f t="shared" si="77"/>
        <v>0</v>
      </c>
      <c r="X79" s="8">
        <f t="shared" si="77"/>
        <v>0</v>
      </c>
      <c r="Y79" s="8">
        <f t="shared" si="77"/>
        <v>0</v>
      </c>
      <c r="Z79" s="8">
        <f t="shared" si="77"/>
        <v>0</v>
      </c>
      <c r="AA79" s="28">
        <f>AVERAGE(T79:Z79)</f>
        <v>0</v>
      </c>
      <c r="AB79" s="30" t="s">
        <v>42</v>
      </c>
      <c r="AC79" s="8">
        <f t="shared" ref="AC79:AI79" si="78">SUM(AC63:AC78)</f>
        <v>0</v>
      </c>
      <c r="AD79" s="8">
        <f t="shared" si="78"/>
        <v>0</v>
      </c>
      <c r="AE79" s="8">
        <f t="shared" si="78"/>
        <v>0</v>
      </c>
      <c r="AF79" s="8">
        <f t="shared" si="78"/>
        <v>117</v>
      </c>
      <c r="AG79" s="8">
        <f t="shared" si="78"/>
        <v>163</v>
      </c>
      <c r="AH79" s="8">
        <f t="shared" si="78"/>
        <v>157</v>
      </c>
      <c r="AI79" s="8">
        <f t="shared" si="78"/>
        <v>117</v>
      </c>
      <c r="AJ79" s="28">
        <f>AVERAGE(AC79:AI79)</f>
        <v>79.142857142857139</v>
      </c>
      <c r="AK79" s="31" t="s">
        <v>42</v>
      </c>
      <c r="AL79" s="8">
        <f t="shared" ref="AL79:AR79" si="79">SUM(AL63:AL78)</f>
        <v>139</v>
      </c>
      <c r="AM79" s="8">
        <f t="shared" si="79"/>
        <v>118</v>
      </c>
      <c r="AN79" s="8">
        <f t="shared" si="79"/>
        <v>194</v>
      </c>
      <c r="AO79" s="8">
        <f t="shared" si="79"/>
        <v>173</v>
      </c>
      <c r="AP79" s="8">
        <f t="shared" si="79"/>
        <v>181</v>
      </c>
      <c r="AQ79" s="8">
        <f t="shared" si="79"/>
        <v>127</v>
      </c>
      <c r="AR79" s="8">
        <f t="shared" si="79"/>
        <v>130</v>
      </c>
      <c r="AS79" s="28">
        <f>AVERAGE(AL79:AR79)</f>
        <v>151.71428571428572</v>
      </c>
    </row>
    <row r="80" spans="1:45" ht="12.75">
      <c r="A80" s="32" t="s">
        <v>43</v>
      </c>
      <c r="B80" s="33">
        <f>SUM(B79:H79)</f>
        <v>0</v>
      </c>
      <c r="I80" s="20"/>
      <c r="J80" s="32" t="s">
        <v>43</v>
      </c>
      <c r="K80" s="33">
        <f>SUM(K79:Q79)</f>
        <v>0</v>
      </c>
      <c r="R80" s="20"/>
      <c r="S80" s="32" t="s">
        <v>43</v>
      </c>
      <c r="T80" s="33">
        <f>SUM(T79:Z79)</f>
        <v>0</v>
      </c>
      <c r="AA80" s="20"/>
      <c r="AB80" s="32" t="s">
        <v>43</v>
      </c>
      <c r="AC80" s="33">
        <f>SUM(AC79:AI79)</f>
        <v>554</v>
      </c>
      <c r="AJ80" s="20"/>
      <c r="AK80" s="34" t="s">
        <v>43</v>
      </c>
      <c r="AL80" s="33">
        <f>SUM(AL79:AR79)</f>
        <v>1062</v>
      </c>
      <c r="AS80" s="20"/>
    </row>
    <row r="81" spans="1:45" ht="12.75">
      <c r="A81" s="41" t="s">
        <v>47</v>
      </c>
      <c r="B81" s="41" t="s">
        <v>5</v>
      </c>
      <c r="C81" s="41" t="s">
        <v>6</v>
      </c>
      <c r="D81" s="41" t="s">
        <v>7</v>
      </c>
      <c r="E81" s="41" t="s">
        <v>8</v>
      </c>
      <c r="F81" s="41" t="s">
        <v>9</v>
      </c>
      <c r="G81" s="41" t="s">
        <v>10</v>
      </c>
      <c r="H81" s="41" t="s">
        <v>11</v>
      </c>
      <c r="I81" s="24" t="s">
        <v>40</v>
      </c>
      <c r="J81" s="41" t="s">
        <v>47</v>
      </c>
      <c r="K81" s="41" t="s">
        <v>5</v>
      </c>
      <c r="L81" s="41" t="s">
        <v>6</v>
      </c>
      <c r="M81" s="41" t="s">
        <v>7</v>
      </c>
      <c r="N81" s="41" t="s">
        <v>8</v>
      </c>
      <c r="O81" s="41" t="s">
        <v>9</v>
      </c>
      <c r="P81" s="41" t="s">
        <v>10</v>
      </c>
      <c r="Q81" s="41" t="s">
        <v>11</v>
      </c>
      <c r="R81" s="24" t="s">
        <v>40</v>
      </c>
      <c r="S81" s="41" t="s">
        <v>47</v>
      </c>
      <c r="T81" s="41" t="s">
        <v>5</v>
      </c>
      <c r="U81" s="41" t="s">
        <v>6</v>
      </c>
      <c r="V81" s="41" t="s">
        <v>7</v>
      </c>
      <c r="W81" s="41" t="s">
        <v>8</v>
      </c>
      <c r="X81" s="41" t="s">
        <v>9</v>
      </c>
      <c r="Y81" s="41" t="s">
        <v>10</v>
      </c>
      <c r="Z81" s="41" t="s">
        <v>11</v>
      </c>
      <c r="AA81" s="24" t="s">
        <v>40</v>
      </c>
      <c r="AB81" s="41" t="s">
        <v>47</v>
      </c>
      <c r="AC81" s="41" t="s">
        <v>5</v>
      </c>
      <c r="AD81" s="41" t="s">
        <v>6</v>
      </c>
      <c r="AE81" s="41" t="s">
        <v>7</v>
      </c>
      <c r="AF81" s="41" t="s">
        <v>8</v>
      </c>
      <c r="AG81" s="41" t="s">
        <v>9</v>
      </c>
      <c r="AH81" s="41" t="s">
        <v>10</v>
      </c>
      <c r="AI81" s="41" t="s">
        <v>11</v>
      </c>
      <c r="AJ81" s="24" t="s">
        <v>48</v>
      </c>
      <c r="AK81" s="42" t="s">
        <v>47</v>
      </c>
      <c r="AL81" s="41" t="s">
        <v>5</v>
      </c>
      <c r="AM81" s="41" t="s">
        <v>6</v>
      </c>
      <c r="AN81" s="41" t="s">
        <v>7</v>
      </c>
      <c r="AO81" s="41" t="s">
        <v>8</v>
      </c>
      <c r="AP81" s="41" t="s">
        <v>9</v>
      </c>
      <c r="AQ81" s="41" t="s">
        <v>10</v>
      </c>
      <c r="AR81" s="41" t="s">
        <v>11</v>
      </c>
      <c r="AS81" s="24" t="s">
        <v>40</v>
      </c>
    </row>
    <row r="82" spans="1:45" ht="12.75">
      <c r="A82" s="26" t="s">
        <v>12</v>
      </c>
      <c r="B82" s="27"/>
      <c r="C82" s="27"/>
      <c r="D82" s="26"/>
      <c r="E82" s="26"/>
      <c r="F82" s="26"/>
      <c r="G82" s="26"/>
      <c r="H82" s="26"/>
      <c r="I82" s="28" t="e">
        <f t="shared" ref="I82:I83" si="80">AVERAGE(D82:H82)</f>
        <v>#DIV/0!</v>
      </c>
      <c r="J82" s="26" t="s">
        <v>12</v>
      </c>
      <c r="K82" s="27"/>
      <c r="L82" s="27"/>
      <c r="M82" s="26"/>
      <c r="N82" s="26"/>
      <c r="O82" s="26"/>
      <c r="P82" s="26"/>
      <c r="Q82" s="26"/>
      <c r="R82" s="28" t="e">
        <f t="shared" ref="R82:R83" si="81">AVERAGE(M82:Q82)</f>
        <v>#DIV/0!</v>
      </c>
      <c r="S82" s="26" t="s">
        <v>12</v>
      </c>
      <c r="T82" s="27"/>
      <c r="U82" s="27"/>
      <c r="V82" s="26"/>
      <c r="W82" s="26"/>
      <c r="X82" s="26"/>
      <c r="Y82" s="26"/>
      <c r="Z82" s="26"/>
      <c r="AA82" s="28" t="e">
        <f t="shared" ref="AA82:AA83" si="82">AVERAGE(V82:Z82)</f>
        <v>#DIV/0!</v>
      </c>
      <c r="AB82" s="26" t="s">
        <v>12</v>
      </c>
      <c r="AC82" s="27"/>
      <c r="AD82" s="27"/>
      <c r="AE82" s="26"/>
      <c r="AF82" s="26"/>
      <c r="AG82" s="26">
        <v>6</v>
      </c>
      <c r="AH82" s="26">
        <v>2</v>
      </c>
      <c r="AI82" s="26">
        <v>4</v>
      </c>
      <c r="AJ82" s="28">
        <f t="shared" ref="AJ82:AJ83" si="83">AVERAGE(AE82:AI82)</f>
        <v>4</v>
      </c>
      <c r="AK82" s="29" t="s">
        <v>12</v>
      </c>
      <c r="AL82" s="27"/>
      <c r="AM82" s="27"/>
      <c r="AN82" s="26">
        <v>6</v>
      </c>
      <c r="AO82" s="26">
        <v>11</v>
      </c>
      <c r="AP82" s="26">
        <v>10</v>
      </c>
      <c r="AQ82" s="26">
        <v>7</v>
      </c>
      <c r="AR82" s="26">
        <v>3</v>
      </c>
      <c r="AS82" s="28">
        <f t="shared" ref="AS82:AS83" si="84">AVERAGE(AN82:AR82)</f>
        <v>7.4</v>
      </c>
    </row>
    <row r="83" spans="1:45" ht="12.75">
      <c r="A83" s="26" t="s">
        <v>19</v>
      </c>
      <c r="B83" s="27"/>
      <c r="C83" s="27"/>
      <c r="D83" s="26"/>
      <c r="E83" s="26"/>
      <c r="F83" s="26"/>
      <c r="G83" s="26"/>
      <c r="H83" s="26"/>
      <c r="I83" s="28" t="e">
        <f t="shared" si="80"/>
        <v>#DIV/0!</v>
      </c>
      <c r="J83" s="26" t="s">
        <v>19</v>
      </c>
      <c r="K83" s="27"/>
      <c r="L83" s="27"/>
      <c r="M83" s="26"/>
      <c r="N83" s="26"/>
      <c r="O83" s="26"/>
      <c r="P83" s="26"/>
      <c r="Q83" s="26"/>
      <c r="R83" s="28" t="e">
        <f t="shared" si="81"/>
        <v>#DIV/0!</v>
      </c>
      <c r="S83" s="26" t="s">
        <v>19</v>
      </c>
      <c r="T83" s="27"/>
      <c r="U83" s="27"/>
      <c r="V83" s="26"/>
      <c r="W83" s="26"/>
      <c r="X83" s="26"/>
      <c r="Y83" s="26"/>
      <c r="Z83" s="26"/>
      <c r="AA83" s="28" t="e">
        <f t="shared" si="82"/>
        <v>#DIV/0!</v>
      </c>
      <c r="AB83" s="26" t="s">
        <v>19</v>
      </c>
      <c r="AC83" s="27"/>
      <c r="AD83" s="27"/>
      <c r="AE83" s="26"/>
      <c r="AF83" s="26"/>
      <c r="AG83" s="26">
        <v>8</v>
      </c>
      <c r="AH83" s="26">
        <v>3</v>
      </c>
      <c r="AI83" s="26">
        <v>8</v>
      </c>
      <c r="AJ83" s="28">
        <f t="shared" si="83"/>
        <v>6.333333333333333</v>
      </c>
      <c r="AK83" s="29" t="s">
        <v>19</v>
      </c>
      <c r="AL83" s="27"/>
      <c r="AM83" s="27"/>
      <c r="AN83" s="26">
        <v>8</v>
      </c>
      <c r="AO83" s="26">
        <v>10</v>
      </c>
      <c r="AP83" s="26">
        <v>7</v>
      </c>
      <c r="AQ83" s="26">
        <v>4</v>
      </c>
      <c r="AR83" s="26">
        <v>4</v>
      </c>
      <c r="AS83" s="28">
        <f t="shared" si="84"/>
        <v>6.6</v>
      </c>
    </row>
    <row r="84" spans="1:45" ht="12.75">
      <c r="A84" s="26" t="s">
        <v>20</v>
      </c>
      <c r="B84" s="26"/>
      <c r="C84" s="27"/>
      <c r="D84" s="26"/>
      <c r="E84" s="26"/>
      <c r="F84" s="26"/>
      <c r="G84" s="26"/>
      <c r="H84" s="26"/>
      <c r="I84" s="28" t="e">
        <f>AVERAGE(B84,D84:H84)</f>
        <v>#DIV/0!</v>
      </c>
      <c r="J84" s="26" t="s">
        <v>20</v>
      </c>
      <c r="K84" s="26"/>
      <c r="L84" s="27"/>
      <c r="M84" s="26"/>
      <c r="N84" s="26"/>
      <c r="O84" s="26"/>
      <c r="P84" s="26"/>
      <c r="Q84" s="26"/>
      <c r="R84" s="28" t="e">
        <f>AVERAGE(K84,M84:Q84)</f>
        <v>#DIV/0!</v>
      </c>
      <c r="S84" s="26" t="s">
        <v>20</v>
      </c>
      <c r="T84" s="26"/>
      <c r="U84" s="27"/>
      <c r="V84" s="26"/>
      <c r="W84" s="26"/>
      <c r="X84" s="26"/>
      <c r="Y84" s="26"/>
      <c r="Z84" s="26"/>
      <c r="AA84" s="28" t="e">
        <f>AVERAGE(T84,V84:Z84)</f>
        <v>#DIV/0!</v>
      </c>
      <c r="AB84" s="26" t="s">
        <v>20</v>
      </c>
      <c r="AC84" s="26"/>
      <c r="AD84" s="27"/>
      <c r="AE84" s="26"/>
      <c r="AF84" s="26"/>
      <c r="AG84" s="26">
        <v>6</v>
      </c>
      <c r="AH84" s="26">
        <v>2</v>
      </c>
      <c r="AI84" s="26">
        <v>12</v>
      </c>
      <c r="AJ84" s="28">
        <f>AVERAGE(AC84,AE84:AI84)</f>
        <v>6.666666666666667</v>
      </c>
      <c r="AK84" s="29" t="s">
        <v>20</v>
      </c>
      <c r="AL84" s="26">
        <v>10</v>
      </c>
      <c r="AM84" s="27"/>
      <c r="AN84" s="26">
        <v>7</v>
      </c>
      <c r="AO84" s="26">
        <v>4</v>
      </c>
      <c r="AP84" s="26">
        <v>13</v>
      </c>
      <c r="AQ84" s="26">
        <v>10</v>
      </c>
      <c r="AR84" s="26">
        <v>5</v>
      </c>
      <c r="AS84" s="28">
        <f>AVERAGE(AL84,AN84:AR84)</f>
        <v>8.1666666666666661</v>
      </c>
    </row>
    <row r="85" spans="1:45" ht="12.75">
      <c r="A85" s="26" t="s">
        <v>21</v>
      </c>
      <c r="B85" s="26"/>
      <c r="C85" s="26"/>
      <c r="D85" s="26"/>
      <c r="E85" s="26"/>
      <c r="F85" s="26"/>
      <c r="G85" s="26"/>
      <c r="H85" s="26"/>
      <c r="I85" s="28" t="e">
        <f t="shared" ref="I85:I93" si="85">AVERAGE(B85:H85)</f>
        <v>#DIV/0!</v>
      </c>
      <c r="J85" s="26" t="s">
        <v>21</v>
      </c>
      <c r="K85" s="26"/>
      <c r="L85" s="26"/>
      <c r="M85" s="26"/>
      <c r="N85" s="26"/>
      <c r="O85" s="26"/>
      <c r="P85" s="26"/>
      <c r="Q85" s="26"/>
      <c r="R85" s="28" t="e">
        <f t="shared" ref="R85:R93" si="86">AVERAGE(K85:Q85)</f>
        <v>#DIV/0!</v>
      </c>
      <c r="S85" s="26" t="s">
        <v>21</v>
      </c>
      <c r="T85" s="26"/>
      <c r="U85" s="26"/>
      <c r="V85" s="26"/>
      <c r="W85" s="26"/>
      <c r="X85" s="26"/>
      <c r="Y85" s="26"/>
      <c r="Z85" s="26"/>
      <c r="AA85" s="28" t="e">
        <f t="shared" ref="AA85:AA93" si="87">AVERAGE(T85:Z85)</f>
        <v>#DIV/0!</v>
      </c>
      <c r="AB85" s="26" t="s">
        <v>21</v>
      </c>
      <c r="AC85" s="26"/>
      <c r="AD85" s="26"/>
      <c r="AE85" s="26"/>
      <c r="AF85" s="26">
        <v>8</v>
      </c>
      <c r="AG85" s="26">
        <v>6</v>
      </c>
      <c r="AH85" s="26">
        <v>4</v>
      </c>
      <c r="AI85" s="26"/>
      <c r="AJ85" s="28">
        <f t="shared" ref="AJ85:AJ93" si="88">AVERAGE(AC85:AI85)</f>
        <v>6</v>
      </c>
      <c r="AK85" s="29" t="s">
        <v>21</v>
      </c>
      <c r="AL85" s="26">
        <v>6</v>
      </c>
      <c r="AM85" s="26">
        <v>4</v>
      </c>
      <c r="AN85" s="26">
        <v>9</v>
      </c>
      <c r="AO85" s="26">
        <v>8</v>
      </c>
      <c r="AP85" s="26">
        <v>16</v>
      </c>
      <c r="AQ85" s="26">
        <v>6</v>
      </c>
      <c r="AR85" s="26">
        <v>7</v>
      </c>
      <c r="AS85" s="28">
        <f t="shared" ref="AS85:AS93" si="89">AVERAGE(AL85:AR85)</f>
        <v>8</v>
      </c>
    </row>
    <row r="86" spans="1:45" ht="12.75">
      <c r="A86" s="26" t="s">
        <v>22</v>
      </c>
      <c r="B86" s="26"/>
      <c r="C86" s="26"/>
      <c r="D86" s="26"/>
      <c r="E86" s="26"/>
      <c r="F86" s="26"/>
      <c r="G86" s="26"/>
      <c r="H86" s="26"/>
      <c r="I86" s="28" t="e">
        <f t="shared" si="85"/>
        <v>#DIV/0!</v>
      </c>
      <c r="J86" s="26" t="s">
        <v>22</v>
      </c>
      <c r="K86" s="26"/>
      <c r="L86" s="26"/>
      <c r="M86" s="26"/>
      <c r="N86" s="26"/>
      <c r="O86" s="26"/>
      <c r="P86" s="26"/>
      <c r="Q86" s="26"/>
      <c r="R86" s="28" t="e">
        <f t="shared" si="86"/>
        <v>#DIV/0!</v>
      </c>
      <c r="S86" s="26" t="s">
        <v>22</v>
      </c>
      <c r="T86" s="26"/>
      <c r="U86" s="26"/>
      <c r="V86" s="26"/>
      <c r="W86" s="26"/>
      <c r="X86" s="26"/>
      <c r="Y86" s="26"/>
      <c r="Z86" s="26"/>
      <c r="AA86" s="28" t="e">
        <f t="shared" si="87"/>
        <v>#DIV/0!</v>
      </c>
      <c r="AB86" s="26" t="s">
        <v>22</v>
      </c>
      <c r="AC86" s="26"/>
      <c r="AD86" s="26"/>
      <c r="AE86" s="26"/>
      <c r="AF86" s="26">
        <v>7</v>
      </c>
      <c r="AG86" s="26">
        <v>11</v>
      </c>
      <c r="AH86" s="26">
        <v>15</v>
      </c>
      <c r="AI86" s="26">
        <v>7</v>
      </c>
      <c r="AJ86" s="28">
        <f t="shared" si="88"/>
        <v>10</v>
      </c>
      <c r="AK86" s="29" t="s">
        <v>22</v>
      </c>
      <c r="AL86" s="26">
        <v>6</v>
      </c>
      <c r="AM86" s="26">
        <v>10</v>
      </c>
      <c r="AN86" s="26">
        <v>8</v>
      </c>
      <c r="AO86" s="26">
        <v>11</v>
      </c>
      <c r="AP86" s="26">
        <v>13</v>
      </c>
      <c r="AQ86" s="26">
        <v>16</v>
      </c>
      <c r="AR86" s="26">
        <v>8</v>
      </c>
      <c r="AS86" s="28">
        <f t="shared" si="89"/>
        <v>10.285714285714286</v>
      </c>
    </row>
    <row r="87" spans="1:45" ht="12.75">
      <c r="A87" s="26" t="s">
        <v>23</v>
      </c>
      <c r="B87" s="26"/>
      <c r="C87" s="26"/>
      <c r="D87" s="26"/>
      <c r="E87" s="26"/>
      <c r="F87" s="26"/>
      <c r="G87" s="26"/>
      <c r="H87" s="26"/>
      <c r="I87" s="28" t="e">
        <f t="shared" si="85"/>
        <v>#DIV/0!</v>
      </c>
      <c r="J87" s="26" t="s">
        <v>23</v>
      </c>
      <c r="K87" s="26"/>
      <c r="L87" s="26"/>
      <c r="M87" s="26"/>
      <c r="N87" s="26"/>
      <c r="O87" s="26"/>
      <c r="P87" s="26"/>
      <c r="Q87" s="26"/>
      <c r="R87" s="28" t="e">
        <f t="shared" si="86"/>
        <v>#DIV/0!</v>
      </c>
      <c r="S87" s="26" t="s">
        <v>23</v>
      </c>
      <c r="T87" s="26"/>
      <c r="U87" s="26"/>
      <c r="V87" s="26"/>
      <c r="W87" s="26"/>
      <c r="X87" s="26"/>
      <c r="Y87" s="26"/>
      <c r="Z87" s="26"/>
      <c r="AA87" s="28" t="e">
        <f t="shared" si="87"/>
        <v>#DIV/0!</v>
      </c>
      <c r="AB87" s="26" t="s">
        <v>23</v>
      </c>
      <c r="AC87" s="26"/>
      <c r="AD87" s="26"/>
      <c r="AE87" s="26"/>
      <c r="AF87" s="26"/>
      <c r="AG87" s="26">
        <v>17</v>
      </c>
      <c r="AH87" s="26">
        <v>14</v>
      </c>
      <c r="AI87" s="26"/>
      <c r="AJ87" s="28">
        <f t="shared" si="88"/>
        <v>15.5</v>
      </c>
      <c r="AK87" s="29" t="s">
        <v>23</v>
      </c>
      <c r="AL87" s="26">
        <v>10</v>
      </c>
      <c r="AM87" s="26">
        <v>9</v>
      </c>
      <c r="AN87" s="26">
        <v>7</v>
      </c>
      <c r="AO87" s="26">
        <v>9</v>
      </c>
      <c r="AP87" s="26">
        <v>19</v>
      </c>
      <c r="AQ87" s="26">
        <v>15</v>
      </c>
      <c r="AR87" s="26">
        <v>11</v>
      </c>
      <c r="AS87" s="28">
        <f t="shared" si="89"/>
        <v>11.428571428571429</v>
      </c>
    </row>
    <row r="88" spans="1:45" ht="12.75">
      <c r="A88" s="26" t="s">
        <v>24</v>
      </c>
      <c r="B88" s="26"/>
      <c r="C88" s="26"/>
      <c r="D88" s="26"/>
      <c r="E88" s="26"/>
      <c r="F88" s="26"/>
      <c r="G88" s="26"/>
      <c r="H88" s="26"/>
      <c r="I88" s="28" t="e">
        <f t="shared" si="85"/>
        <v>#DIV/0!</v>
      </c>
      <c r="J88" s="26" t="s">
        <v>24</v>
      </c>
      <c r="K88" s="26"/>
      <c r="L88" s="26"/>
      <c r="M88" s="26"/>
      <c r="N88" s="26"/>
      <c r="O88" s="26"/>
      <c r="P88" s="26"/>
      <c r="Q88" s="26"/>
      <c r="R88" s="28" t="e">
        <f t="shared" si="86"/>
        <v>#DIV/0!</v>
      </c>
      <c r="S88" s="26" t="s">
        <v>24</v>
      </c>
      <c r="T88" s="26"/>
      <c r="U88" s="26"/>
      <c r="V88" s="26"/>
      <c r="W88" s="26"/>
      <c r="X88" s="26"/>
      <c r="Y88" s="26"/>
      <c r="Z88" s="26"/>
      <c r="AA88" s="28" t="e">
        <f t="shared" si="87"/>
        <v>#DIV/0!</v>
      </c>
      <c r="AB88" s="26" t="s">
        <v>24</v>
      </c>
      <c r="AC88" s="26"/>
      <c r="AD88" s="26"/>
      <c r="AE88" s="26"/>
      <c r="AF88" s="26"/>
      <c r="AG88" s="26">
        <v>13</v>
      </c>
      <c r="AH88" s="26">
        <v>4</v>
      </c>
      <c r="AI88" s="26"/>
      <c r="AJ88" s="28">
        <f t="shared" si="88"/>
        <v>8.5</v>
      </c>
      <c r="AK88" s="29" t="s">
        <v>24</v>
      </c>
      <c r="AL88" s="26">
        <v>18</v>
      </c>
      <c r="AM88" s="26">
        <v>12</v>
      </c>
      <c r="AN88" s="26">
        <v>10</v>
      </c>
      <c r="AO88" s="26">
        <v>13</v>
      </c>
      <c r="AP88" s="26">
        <v>8</v>
      </c>
      <c r="AQ88" s="26">
        <v>7</v>
      </c>
      <c r="AR88" s="26">
        <v>10</v>
      </c>
      <c r="AS88" s="28">
        <f t="shared" si="89"/>
        <v>11.142857142857142</v>
      </c>
    </row>
    <row r="89" spans="1:45" ht="12.75">
      <c r="A89" s="26" t="s">
        <v>25</v>
      </c>
      <c r="B89" s="26"/>
      <c r="C89" s="26"/>
      <c r="D89" s="26"/>
      <c r="E89" s="26"/>
      <c r="F89" s="26"/>
      <c r="G89" s="26"/>
      <c r="H89" s="26"/>
      <c r="I89" s="28" t="e">
        <f t="shared" si="85"/>
        <v>#DIV/0!</v>
      </c>
      <c r="J89" s="26" t="s">
        <v>25</v>
      </c>
      <c r="K89" s="26"/>
      <c r="L89" s="26"/>
      <c r="M89" s="26"/>
      <c r="N89" s="26"/>
      <c r="O89" s="26"/>
      <c r="P89" s="26"/>
      <c r="Q89" s="26"/>
      <c r="R89" s="28" t="e">
        <f t="shared" si="86"/>
        <v>#DIV/0!</v>
      </c>
      <c r="S89" s="26" t="s">
        <v>25</v>
      </c>
      <c r="T89" s="26"/>
      <c r="U89" s="26"/>
      <c r="V89" s="26"/>
      <c r="W89" s="26"/>
      <c r="X89" s="26"/>
      <c r="Y89" s="26"/>
      <c r="Z89" s="26"/>
      <c r="AA89" s="28" t="e">
        <f t="shared" si="87"/>
        <v>#DIV/0!</v>
      </c>
      <c r="AB89" s="26" t="s">
        <v>25</v>
      </c>
      <c r="AC89" s="26"/>
      <c r="AD89" s="26"/>
      <c r="AE89" s="26"/>
      <c r="AF89" s="26">
        <v>10</v>
      </c>
      <c r="AG89" s="26">
        <v>7</v>
      </c>
      <c r="AH89" s="26">
        <v>15</v>
      </c>
      <c r="AI89" s="26">
        <v>10</v>
      </c>
      <c r="AJ89" s="28">
        <f t="shared" si="88"/>
        <v>10.5</v>
      </c>
      <c r="AK89" s="29" t="s">
        <v>25</v>
      </c>
      <c r="AL89" s="26">
        <v>13</v>
      </c>
      <c r="AM89" s="26">
        <v>13</v>
      </c>
      <c r="AN89" s="26">
        <v>78</v>
      </c>
      <c r="AO89" s="26">
        <v>2</v>
      </c>
      <c r="AP89" s="26">
        <v>7</v>
      </c>
      <c r="AQ89" s="26">
        <v>6</v>
      </c>
      <c r="AR89" s="26">
        <v>7</v>
      </c>
      <c r="AS89" s="28">
        <f t="shared" si="89"/>
        <v>18</v>
      </c>
    </row>
    <row r="90" spans="1:45" ht="12.75">
      <c r="A90" s="26" t="s">
        <v>27</v>
      </c>
      <c r="B90" s="26"/>
      <c r="C90" s="26"/>
      <c r="D90" s="26"/>
      <c r="E90" s="26"/>
      <c r="F90" s="26"/>
      <c r="G90" s="26"/>
      <c r="H90" s="26"/>
      <c r="I90" s="28" t="e">
        <f t="shared" si="85"/>
        <v>#DIV/0!</v>
      </c>
      <c r="J90" s="26" t="s">
        <v>27</v>
      </c>
      <c r="K90" s="26"/>
      <c r="L90" s="26"/>
      <c r="M90" s="26"/>
      <c r="N90" s="26"/>
      <c r="O90" s="26"/>
      <c r="P90" s="26"/>
      <c r="Q90" s="26"/>
      <c r="R90" s="28" t="e">
        <f t="shared" si="86"/>
        <v>#DIV/0!</v>
      </c>
      <c r="S90" s="26" t="s">
        <v>27</v>
      </c>
      <c r="T90" s="26"/>
      <c r="U90" s="26"/>
      <c r="V90" s="26"/>
      <c r="W90" s="26"/>
      <c r="X90" s="26"/>
      <c r="Y90" s="26"/>
      <c r="Z90" s="26"/>
      <c r="AA90" s="28" t="e">
        <f t="shared" si="87"/>
        <v>#DIV/0!</v>
      </c>
      <c r="AB90" s="26" t="s">
        <v>27</v>
      </c>
      <c r="AC90" s="26"/>
      <c r="AD90" s="26"/>
      <c r="AE90" s="26"/>
      <c r="AF90" s="26">
        <v>7</v>
      </c>
      <c r="AG90" s="26">
        <v>12</v>
      </c>
      <c r="AH90" s="26">
        <v>1</v>
      </c>
      <c r="AI90" s="26">
        <v>9</v>
      </c>
      <c r="AJ90" s="28">
        <f t="shared" si="88"/>
        <v>7.25</v>
      </c>
      <c r="AK90" s="29" t="s">
        <v>27</v>
      </c>
      <c r="AL90" s="26">
        <v>14</v>
      </c>
      <c r="AM90" s="26">
        <v>6</v>
      </c>
      <c r="AN90" s="26">
        <v>7</v>
      </c>
      <c r="AO90" s="26">
        <v>3</v>
      </c>
      <c r="AP90" s="26">
        <v>4</v>
      </c>
      <c r="AQ90" s="26">
        <v>6</v>
      </c>
      <c r="AR90" s="26">
        <v>3</v>
      </c>
      <c r="AS90" s="28">
        <f t="shared" si="89"/>
        <v>6.1428571428571432</v>
      </c>
    </row>
    <row r="91" spans="1:45" ht="12.75">
      <c r="A91" s="26" t="s">
        <v>28</v>
      </c>
      <c r="B91" s="26"/>
      <c r="C91" s="26"/>
      <c r="D91" s="26"/>
      <c r="E91" s="26"/>
      <c r="F91" s="26"/>
      <c r="G91" s="26"/>
      <c r="H91" s="26"/>
      <c r="I91" s="28" t="e">
        <f t="shared" si="85"/>
        <v>#DIV/0!</v>
      </c>
      <c r="J91" s="26" t="s">
        <v>28</v>
      </c>
      <c r="K91" s="26"/>
      <c r="L91" s="26"/>
      <c r="M91" s="26"/>
      <c r="N91" s="26"/>
      <c r="O91" s="26"/>
      <c r="P91" s="26"/>
      <c r="Q91" s="26"/>
      <c r="R91" s="28" t="e">
        <f t="shared" si="86"/>
        <v>#DIV/0!</v>
      </c>
      <c r="S91" s="26" t="s">
        <v>28</v>
      </c>
      <c r="T91" s="26"/>
      <c r="U91" s="26"/>
      <c r="V91" s="26"/>
      <c r="W91" s="26"/>
      <c r="X91" s="26"/>
      <c r="Y91" s="26"/>
      <c r="Z91" s="26"/>
      <c r="AA91" s="28" t="e">
        <f t="shared" si="87"/>
        <v>#DIV/0!</v>
      </c>
      <c r="AB91" s="26" t="s">
        <v>28</v>
      </c>
      <c r="AC91" s="26"/>
      <c r="AD91" s="26"/>
      <c r="AE91" s="26"/>
      <c r="AF91" s="26">
        <v>4</v>
      </c>
      <c r="AG91" s="26">
        <v>3</v>
      </c>
      <c r="AH91" s="26">
        <v>6</v>
      </c>
      <c r="AI91" s="26">
        <v>5</v>
      </c>
      <c r="AJ91" s="28">
        <f t="shared" si="88"/>
        <v>4.5</v>
      </c>
      <c r="AK91" s="29" t="s">
        <v>28</v>
      </c>
      <c r="AL91" s="26">
        <v>10</v>
      </c>
      <c r="AM91" s="26">
        <v>8</v>
      </c>
      <c r="AN91" s="26">
        <v>5</v>
      </c>
      <c r="AO91" s="26">
        <v>4</v>
      </c>
      <c r="AP91" s="26">
        <v>6</v>
      </c>
      <c r="AQ91" s="26">
        <v>9</v>
      </c>
      <c r="AR91" s="26">
        <v>5</v>
      </c>
      <c r="AS91" s="28">
        <f t="shared" si="89"/>
        <v>6.7142857142857144</v>
      </c>
    </row>
    <row r="92" spans="1:45" ht="12.75">
      <c r="A92" s="26" t="s">
        <v>29</v>
      </c>
      <c r="B92" s="26"/>
      <c r="C92" s="26"/>
      <c r="D92" s="26"/>
      <c r="E92" s="26"/>
      <c r="F92" s="26"/>
      <c r="G92" s="26"/>
      <c r="H92" s="26"/>
      <c r="I92" s="28" t="e">
        <f t="shared" si="85"/>
        <v>#DIV/0!</v>
      </c>
      <c r="J92" s="26" t="s">
        <v>29</v>
      </c>
      <c r="K92" s="26"/>
      <c r="L92" s="26"/>
      <c r="M92" s="26"/>
      <c r="N92" s="26"/>
      <c r="O92" s="26"/>
      <c r="P92" s="26"/>
      <c r="Q92" s="26"/>
      <c r="R92" s="28" t="e">
        <f t="shared" si="86"/>
        <v>#DIV/0!</v>
      </c>
      <c r="S92" s="26" t="s">
        <v>29</v>
      </c>
      <c r="T92" s="26"/>
      <c r="U92" s="26"/>
      <c r="V92" s="26"/>
      <c r="W92" s="26"/>
      <c r="X92" s="26"/>
      <c r="Y92" s="26"/>
      <c r="Z92" s="26"/>
      <c r="AA92" s="28" t="e">
        <f t="shared" si="87"/>
        <v>#DIV/0!</v>
      </c>
      <c r="AB92" s="26" t="s">
        <v>29</v>
      </c>
      <c r="AC92" s="26"/>
      <c r="AD92" s="26"/>
      <c r="AE92" s="26"/>
      <c r="AF92" s="26">
        <v>14</v>
      </c>
      <c r="AG92" s="26">
        <v>10</v>
      </c>
      <c r="AH92" s="26">
        <v>2</v>
      </c>
      <c r="AI92" s="26">
        <v>5</v>
      </c>
      <c r="AJ92" s="28">
        <f t="shared" si="88"/>
        <v>7.75</v>
      </c>
      <c r="AK92" s="29" t="s">
        <v>29</v>
      </c>
      <c r="AL92" s="26">
        <v>11</v>
      </c>
      <c r="AM92" s="26">
        <v>7</v>
      </c>
      <c r="AN92" s="26">
        <v>15</v>
      </c>
      <c r="AO92" s="26">
        <v>7</v>
      </c>
      <c r="AP92" s="26">
        <v>2</v>
      </c>
      <c r="AQ92" s="26">
        <v>7</v>
      </c>
      <c r="AR92" s="26">
        <v>5</v>
      </c>
      <c r="AS92" s="28">
        <f t="shared" si="89"/>
        <v>7.7142857142857144</v>
      </c>
    </row>
    <row r="93" spans="1:45" ht="12.75">
      <c r="A93" s="26" t="s">
        <v>30</v>
      </c>
      <c r="B93" s="26"/>
      <c r="C93" s="26"/>
      <c r="D93" s="26"/>
      <c r="E93" s="26"/>
      <c r="F93" s="26"/>
      <c r="G93" s="26"/>
      <c r="H93" s="26"/>
      <c r="I93" s="28" t="e">
        <f t="shared" si="85"/>
        <v>#DIV/0!</v>
      </c>
      <c r="J93" s="26" t="s">
        <v>30</v>
      </c>
      <c r="K93" s="26"/>
      <c r="L93" s="26"/>
      <c r="M93" s="26"/>
      <c r="N93" s="26"/>
      <c r="O93" s="26"/>
      <c r="P93" s="26"/>
      <c r="Q93" s="26"/>
      <c r="R93" s="28" t="e">
        <f t="shared" si="86"/>
        <v>#DIV/0!</v>
      </c>
      <c r="S93" s="26" t="s">
        <v>30</v>
      </c>
      <c r="T93" s="26"/>
      <c r="U93" s="26"/>
      <c r="V93" s="26"/>
      <c r="W93" s="26"/>
      <c r="X93" s="26"/>
      <c r="Y93" s="26"/>
      <c r="Z93" s="26"/>
      <c r="AA93" s="28" t="e">
        <f t="shared" si="87"/>
        <v>#DIV/0!</v>
      </c>
      <c r="AB93" s="26" t="s">
        <v>30</v>
      </c>
      <c r="AC93" s="26"/>
      <c r="AD93" s="26"/>
      <c r="AE93" s="26"/>
      <c r="AF93" s="26">
        <v>8</v>
      </c>
      <c r="AG93" s="26">
        <v>12</v>
      </c>
      <c r="AH93" s="26">
        <v>8</v>
      </c>
      <c r="AI93" s="26">
        <v>4</v>
      </c>
      <c r="AJ93" s="28">
        <f t="shared" si="88"/>
        <v>8</v>
      </c>
      <c r="AK93" s="29" t="s">
        <v>30</v>
      </c>
      <c r="AL93" s="26">
        <v>7</v>
      </c>
      <c r="AM93" s="26">
        <v>6</v>
      </c>
      <c r="AN93" s="26">
        <v>9</v>
      </c>
      <c r="AO93" s="26">
        <v>9</v>
      </c>
      <c r="AP93" s="26">
        <v>6</v>
      </c>
      <c r="AQ93" s="26">
        <v>12</v>
      </c>
      <c r="AR93" s="26">
        <v>4</v>
      </c>
      <c r="AS93" s="28">
        <f t="shared" si="89"/>
        <v>7.5714285714285712</v>
      </c>
    </row>
    <row r="94" spans="1:45" ht="12.75">
      <c r="A94" s="26" t="s">
        <v>31</v>
      </c>
      <c r="B94" s="26"/>
      <c r="C94" s="27"/>
      <c r="D94" s="26"/>
      <c r="E94" s="26"/>
      <c r="F94" s="26"/>
      <c r="G94" s="26"/>
      <c r="H94" s="26"/>
      <c r="I94" s="28" t="e">
        <f>AVERAGE(B94,D94:H94)</f>
        <v>#DIV/0!</v>
      </c>
      <c r="J94" s="26" t="s">
        <v>31</v>
      </c>
      <c r="K94" s="26"/>
      <c r="L94" s="27"/>
      <c r="M94" s="26"/>
      <c r="N94" s="26"/>
      <c r="O94" s="26"/>
      <c r="P94" s="26"/>
      <c r="Q94" s="26"/>
      <c r="R94" s="28" t="e">
        <f>AVERAGE(K94,M94:Q94)</f>
        <v>#DIV/0!</v>
      </c>
      <c r="S94" s="26" t="s">
        <v>31</v>
      </c>
      <c r="T94" s="26"/>
      <c r="U94" s="27"/>
      <c r="V94" s="26"/>
      <c r="W94" s="26"/>
      <c r="X94" s="26"/>
      <c r="Y94" s="26"/>
      <c r="Z94" s="26"/>
      <c r="AA94" s="28" t="e">
        <f>AVERAGE(T94,V94:Z94)</f>
        <v>#DIV/0!</v>
      </c>
      <c r="AB94" s="26" t="s">
        <v>31</v>
      </c>
      <c r="AC94" s="26"/>
      <c r="AD94" s="27"/>
      <c r="AE94" s="26"/>
      <c r="AF94" s="26">
        <v>10</v>
      </c>
      <c r="AG94" s="26">
        <v>17</v>
      </c>
      <c r="AH94" s="26">
        <v>13</v>
      </c>
      <c r="AI94" s="26">
        <v>6</v>
      </c>
      <c r="AJ94" s="28">
        <f>AVERAGE(AC94,AE94:AI94)</f>
        <v>11.5</v>
      </c>
      <c r="AK94" s="29" t="s">
        <v>31</v>
      </c>
      <c r="AL94" s="26"/>
      <c r="AM94" s="27"/>
      <c r="AN94" s="26">
        <v>9</v>
      </c>
      <c r="AO94" s="26">
        <v>12</v>
      </c>
      <c r="AP94" s="26">
        <v>9</v>
      </c>
      <c r="AQ94" s="26">
        <v>8</v>
      </c>
      <c r="AR94" s="26">
        <v>6</v>
      </c>
      <c r="AS94" s="28">
        <f>AVERAGE(AL94,AN94:AR94)</f>
        <v>8.8000000000000007</v>
      </c>
    </row>
    <row r="95" spans="1:45" ht="12.75">
      <c r="A95" s="26" t="s">
        <v>32</v>
      </c>
      <c r="B95" s="27"/>
      <c r="C95" s="27"/>
      <c r="D95" s="26"/>
      <c r="E95" s="26"/>
      <c r="F95" s="26"/>
      <c r="G95" s="26"/>
      <c r="H95" s="26"/>
      <c r="I95" s="28" t="e">
        <f t="shared" ref="I95:I97" si="90">AVERAGE(D95:H95)</f>
        <v>#DIV/0!</v>
      </c>
      <c r="J95" s="26" t="s">
        <v>32</v>
      </c>
      <c r="K95" s="27"/>
      <c r="L95" s="27"/>
      <c r="M95" s="26"/>
      <c r="N95" s="26"/>
      <c r="O95" s="26"/>
      <c r="P95" s="26"/>
      <c r="Q95" s="26"/>
      <c r="R95" s="28" t="e">
        <f t="shared" ref="R95:R97" si="91">AVERAGE(M95:Q95)</f>
        <v>#DIV/0!</v>
      </c>
      <c r="S95" s="26" t="s">
        <v>32</v>
      </c>
      <c r="T95" s="27"/>
      <c r="U95" s="27"/>
      <c r="V95" s="26"/>
      <c r="W95" s="26"/>
      <c r="X95" s="26"/>
      <c r="Y95" s="26"/>
      <c r="Z95" s="26"/>
      <c r="AA95" s="28" t="e">
        <f t="shared" ref="AA95:AA97" si="92">AVERAGE(V95:Z95)</f>
        <v>#DIV/0!</v>
      </c>
      <c r="AB95" s="26" t="s">
        <v>32</v>
      </c>
      <c r="AC95" s="27"/>
      <c r="AD95" s="27"/>
      <c r="AE95" s="26"/>
      <c r="AF95" s="26">
        <v>9</v>
      </c>
      <c r="AG95" s="26">
        <v>14</v>
      </c>
      <c r="AH95" s="26">
        <v>4</v>
      </c>
      <c r="AI95" s="26">
        <v>8</v>
      </c>
      <c r="AJ95" s="28">
        <f t="shared" ref="AJ95:AJ97" si="93">AVERAGE(AE95:AI95)</f>
        <v>8.75</v>
      </c>
      <c r="AK95" s="29" t="s">
        <v>32</v>
      </c>
      <c r="AL95" s="27"/>
      <c r="AM95" s="27"/>
      <c r="AN95" s="26">
        <v>12</v>
      </c>
      <c r="AO95" s="26">
        <v>9</v>
      </c>
      <c r="AP95" s="26">
        <v>8</v>
      </c>
      <c r="AQ95" s="26">
        <v>6</v>
      </c>
      <c r="AR95" s="26">
        <v>8</v>
      </c>
      <c r="AS95" s="28">
        <f t="shared" ref="AS95:AS97" si="94">AVERAGE(AN95:AR95)</f>
        <v>8.6</v>
      </c>
    </row>
    <row r="96" spans="1:45" ht="12.75">
      <c r="A96" s="26" t="s">
        <v>33</v>
      </c>
      <c r="B96" s="27"/>
      <c r="C96" s="27"/>
      <c r="D96" s="26"/>
      <c r="E96" s="26"/>
      <c r="F96" s="26"/>
      <c r="G96" s="26"/>
      <c r="H96" s="26"/>
      <c r="I96" s="28" t="e">
        <f t="shared" si="90"/>
        <v>#DIV/0!</v>
      </c>
      <c r="J96" s="26" t="s">
        <v>33</v>
      </c>
      <c r="K96" s="27"/>
      <c r="L96" s="27"/>
      <c r="M96" s="26"/>
      <c r="N96" s="26"/>
      <c r="O96" s="26"/>
      <c r="P96" s="26"/>
      <c r="Q96" s="26"/>
      <c r="R96" s="28" t="e">
        <f t="shared" si="91"/>
        <v>#DIV/0!</v>
      </c>
      <c r="S96" s="26" t="s">
        <v>33</v>
      </c>
      <c r="T96" s="27"/>
      <c r="U96" s="27"/>
      <c r="V96" s="26"/>
      <c r="W96" s="26"/>
      <c r="X96" s="26"/>
      <c r="Y96" s="26"/>
      <c r="Z96" s="26"/>
      <c r="AA96" s="28" t="e">
        <f t="shared" si="92"/>
        <v>#DIV/0!</v>
      </c>
      <c r="AB96" s="26" t="s">
        <v>33</v>
      </c>
      <c r="AC96" s="27"/>
      <c r="AD96" s="27"/>
      <c r="AE96" s="26"/>
      <c r="AF96" s="26">
        <v>6</v>
      </c>
      <c r="AG96" s="26">
        <v>12</v>
      </c>
      <c r="AH96" s="26">
        <v>6</v>
      </c>
      <c r="AI96" s="26">
        <v>4</v>
      </c>
      <c r="AJ96" s="28">
        <f t="shared" si="93"/>
        <v>7</v>
      </c>
      <c r="AK96" s="29" t="s">
        <v>33</v>
      </c>
      <c r="AL96" s="27"/>
      <c r="AM96" s="27"/>
      <c r="AN96" s="26">
        <v>10</v>
      </c>
      <c r="AO96" s="26">
        <v>10</v>
      </c>
      <c r="AP96" s="26">
        <v>5</v>
      </c>
      <c r="AQ96" s="26">
        <v>5</v>
      </c>
      <c r="AR96" s="26">
        <v>4</v>
      </c>
      <c r="AS96" s="28">
        <f t="shared" si="94"/>
        <v>6.8</v>
      </c>
    </row>
    <row r="97" spans="1:45" ht="12.75">
      <c r="A97" s="26" t="s">
        <v>34</v>
      </c>
      <c r="B97" s="27"/>
      <c r="C97" s="27"/>
      <c r="D97" s="26"/>
      <c r="E97" s="26"/>
      <c r="F97" s="26"/>
      <c r="G97" s="26"/>
      <c r="H97" s="26"/>
      <c r="I97" s="28" t="e">
        <f t="shared" si="90"/>
        <v>#DIV/0!</v>
      </c>
      <c r="J97" s="26" t="s">
        <v>34</v>
      </c>
      <c r="K97" s="27"/>
      <c r="L97" s="27"/>
      <c r="M97" s="26"/>
      <c r="N97" s="26"/>
      <c r="O97" s="26"/>
      <c r="P97" s="26"/>
      <c r="Q97" s="26"/>
      <c r="R97" s="28" t="e">
        <f t="shared" si="91"/>
        <v>#DIV/0!</v>
      </c>
      <c r="S97" s="26" t="s">
        <v>34</v>
      </c>
      <c r="T97" s="27"/>
      <c r="U97" s="27"/>
      <c r="V97" s="26"/>
      <c r="W97" s="26"/>
      <c r="X97" s="26"/>
      <c r="Y97" s="26"/>
      <c r="Z97" s="26"/>
      <c r="AA97" s="28" t="e">
        <f t="shared" si="92"/>
        <v>#DIV/0!</v>
      </c>
      <c r="AB97" s="26" t="s">
        <v>34</v>
      </c>
      <c r="AC97" s="27"/>
      <c r="AD97" s="27"/>
      <c r="AE97" s="26"/>
      <c r="AF97" s="26">
        <v>4</v>
      </c>
      <c r="AG97" s="26">
        <v>4</v>
      </c>
      <c r="AH97" s="26">
        <v>1</v>
      </c>
      <c r="AI97" s="26">
        <v>5</v>
      </c>
      <c r="AJ97" s="28">
        <f t="shared" si="93"/>
        <v>3.5</v>
      </c>
      <c r="AK97" s="29" t="s">
        <v>34</v>
      </c>
      <c r="AL97" s="27"/>
      <c r="AM97" s="27"/>
      <c r="AN97" s="26">
        <v>7</v>
      </c>
      <c r="AO97" s="26">
        <v>6</v>
      </c>
      <c r="AP97" s="26">
        <v>3</v>
      </c>
      <c r="AQ97" s="26">
        <v>3</v>
      </c>
      <c r="AR97" s="26">
        <v>1</v>
      </c>
      <c r="AS97" s="28">
        <f t="shared" si="94"/>
        <v>4</v>
      </c>
    </row>
    <row r="98" spans="1:45" ht="12.75">
      <c r="A98" s="30" t="s">
        <v>42</v>
      </c>
      <c r="B98" s="8">
        <f t="shared" ref="B98:H98" si="95">SUM(B82:B97)</f>
        <v>0</v>
      </c>
      <c r="C98" s="8">
        <f t="shared" si="95"/>
        <v>0</v>
      </c>
      <c r="D98" s="8">
        <f t="shared" si="95"/>
        <v>0</v>
      </c>
      <c r="E98" s="8">
        <f t="shared" si="95"/>
        <v>0</v>
      </c>
      <c r="F98" s="8">
        <f t="shared" si="95"/>
        <v>0</v>
      </c>
      <c r="G98" s="8">
        <f t="shared" si="95"/>
        <v>0</v>
      </c>
      <c r="H98" s="8">
        <f t="shared" si="95"/>
        <v>0</v>
      </c>
      <c r="I98" s="28">
        <f>AVERAGE(B98:H98)</f>
        <v>0</v>
      </c>
      <c r="J98" s="30" t="s">
        <v>42</v>
      </c>
      <c r="K98" s="8">
        <f t="shared" ref="K98:Q98" si="96">SUM(K82:K97)</f>
        <v>0</v>
      </c>
      <c r="L98" s="8">
        <f t="shared" si="96"/>
        <v>0</v>
      </c>
      <c r="M98" s="8">
        <f t="shared" si="96"/>
        <v>0</v>
      </c>
      <c r="N98" s="8">
        <f t="shared" si="96"/>
        <v>0</v>
      </c>
      <c r="O98" s="8">
        <f t="shared" si="96"/>
        <v>0</v>
      </c>
      <c r="P98" s="8">
        <f t="shared" si="96"/>
        <v>0</v>
      </c>
      <c r="Q98" s="8">
        <f t="shared" si="96"/>
        <v>0</v>
      </c>
      <c r="R98" s="28">
        <f>AVERAGE(K98:Q98)</f>
        <v>0</v>
      </c>
      <c r="S98" s="30" t="s">
        <v>42</v>
      </c>
      <c r="T98" s="8">
        <f t="shared" ref="T98:Z98" si="97">SUM(T82:T97)</f>
        <v>0</v>
      </c>
      <c r="U98" s="8">
        <f t="shared" si="97"/>
        <v>0</v>
      </c>
      <c r="V98" s="8">
        <f t="shared" si="97"/>
        <v>0</v>
      </c>
      <c r="W98" s="8">
        <f t="shared" si="97"/>
        <v>0</v>
      </c>
      <c r="X98" s="8">
        <f t="shared" si="97"/>
        <v>0</v>
      </c>
      <c r="Y98" s="8">
        <f t="shared" si="97"/>
        <v>0</v>
      </c>
      <c r="Z98" s="8">
        <f t="shared" si="97"/>
        <v>0</v>
      </c>
      <c r="AA98" s="28">
        <f>AVERAGE(T98:Z98)</f>
        <v>0</v>
      </c>
      <c r="AB98" s="30" t="s">
        <v>42</v>
      </c>
      <c r="AC98" s="8">
        <f t="shared" ref="AC98:AI98" si="98">SUM(AC82:AC97)</f>
        <v>0</v>
      </c>
      <c r="AD98" s="8">
        <f t="shared" si="98"/>
        <v>0</v>
      </c>
      <c r="AE98" s="8">
        <f t="shared" si="98"/>
        <v>0</v>
      </c>
      <c r="AF98" s="8">
        <f t="shared" si="98"/>
        <v>87</v>
      </c>
      <c r="AG98" s="8">
        <f t="shared" si="98"/>
        <v>158</v>
      </c>
      <c r="AH98" s="8">
        <f t="shared" si="98"/>
        <v>100</v>
      </c>
      <c r="AI98" s="8">
        <f t="shared" si="98"/>
        <v>87</v>
      </c>
      <c r="AJ98" s="28">
        <f>AVERAGE(AC98:AI98)</f>
        <v>61.714285714285715</v>
      </c>
      <c r="AK98" s="31" t="s">
        <v>42</v>
      </c>
      <c r="AL98" s="8">
        <f t="shared" ref="AL98:AR98" si="99">SUM(AL82:AL97)</f>
        <v>105</v>
      </c>
      <c r="AM98" s="8">
        <f t="shared" si="99"/>
        <v>75</v>
      </c>
      <c r="AN98" s="8">
        <f t="shared" si="99"/>
        <v>207</v>
      </c>
      <c r="AO98" s="8">
        <f t="shared" si="99"/>
        <v>128</v>
      </c>
      <c r="AP98" s="8">
        <f t="shared" si="99"/>
        <v>136</v>
      </c>
      <c r="AQ98" s="8">
        <f t="shared" si="99"/>
        <v>127</v>
      </c>
      <c r="AR98" s="8">
        <f t="shared" si="99"/>
        <v>91</v>
      </c>
      <c r="AS98" s="28">
        <f>AVERAGE(AL98:AR98)</f>
        <v>124.14285714285714</v>
      </c>
    </row>
    <row r="99" spans="1:45" ht="12.75">
      <c r="A99" s="32" t="s">
        <v>43</v>
      </c>
      <c r="B99" s="33">
        <f>SUM(B98:H98)</f>
        <v>0</v>
      </c>
      <c r="I99" s="20"/>
      <c r="J99" s="32" t="s">
        <v>43</v>
      </c>
      <c r="K99" s="33">
        <f>SUM(K98:Q98)</f>
        <v>0</v>
      </c>
      <c r="R99" s="20"/>
      <c r="S99" s="32" t="s">
        <v>43</v>
      </c>
      <c r="T99" s="33">
        <f>SUM(T98:Z98)</f>
        <v>0</v>
      </c>
      <c r="AA99" s="20"/>
      <c r="AB99" s="32" t="s">
        <v>43</v>
      </c>
      <c r="AC99" s="33">
        <f>SUM(AC98:AI98)</f>
        <v>432</v>
      </c>
      <c r="AJ99" s="20"/>
      <c r="AK99" s="34" t="s">
        <v>43</v>
      </c>
      <c r="AL99" s="33">
        <f>SUM(AL98:AR98)</f>
        <v>869</v>
      </c>
      <c r="AS99" s="20"/>
    </row>
    <row r="100" spans="1:45" ht="12.75">
      <c r="A100" s="43" t="s">
        <v>18</v>
      </c>
      <c r="B100" s="43" t="s">
        <v>5</v>
      </c>
      <c r="C100" s="43" t="s">
        <v>6</v>
      </c>
      <c r="D100" s="43" t="s">
        <v>7</v>
      </c>
      <c r="E100" s="43" t="s">
        <v>8</v>
      </c>
      <c r="F100" s="43" t="s">
        <v>9</v>
      </c>
      <c r="G100" s="43" t="s">
        <v>10</v>
      </c>
      <c r="H100" s="43" t="s">
        <v>11</v>
      </c>
      <c r="I100" s="24" t="s">
        <v>40</v>
      </c>
      <c r="J100" s="43" t="s">
        <v>18</v>
      </c>
      <c r="K100" s="43" t="s">
        <v>5</v>
      </c>
      <c r="L100" s="43" t="s">
        <v>6</v>
      </c>
      <c r="M100" s="43" t="s">
        <v>7</v>
      </c>
      <c r="N100" s="43" t="s">
        <v>8</v>
      </c>
      <c r="O100" s="43" t="s">
        <v>9</v>
      </c>
      <c r="P100" s="43" t="s">
        <v>10</v>
      </c>
      <c r="Q100" s="43" t="s">
        <v>11</v>
      </c>
      <c r="R100" s="24" t="s">
        <v>40</v>
      </c>
      <c r="S100" s="43" t="s">
        <v>18</v>
      </c>
      <c r="T100" s="43" t="s">
        <v>5</v>
      </c>
      <c r="U100" s="43" t="s">
        <v>6</v>
      </c>
      <c r="V100" s="43" t="s">
        <v>7</v>
      </c>
      <c r="W100" s="43" t="s">
        <v>8</v>
      </c>
      <c r="X100" s="43" t="s">
        <v>9</v>
      </c>
      <c r="Y100" s="43" t="s">
        <v>10</v>
      </c>
      <c r="Z100" s="43" t="s">
        <v>11</v>
      </c>
      <c r="AA100" s="24" t="s">
        <v>40</v>
      </c>
      <c r="AB100" s="43" t="s">
        <v>18</v>
      </c>
      <c r="AC100" s="43" t="s">
        <v>5</v>
      </c>
      <c r="AD100" s="43" t="s">
        <v>6</v>
      </c>
      <c r="AE100" s="43" t="s">
        <v>7</v>
      </c>
      <c r="AF100" s="43" t="s">
        <v>8</v>
      </c>
      <c r="AG100" s="43" t="s">
        <v>9</v>
      </c>
      <c r="AH100" s="43" t="s">
        <v>10</v>
      </c>
      <c r="AI100" s="43" t="s">
        <v>11</v>
      </c>
      <c r="AJ100" s="24" t="s">
        <v>49</v>
      </c>
      <c r="AK100" s="44" t="s">
        <v>18</v>
      </c>
      <c r="AL100" s="43" t="s">
        <v>5</v>
      </c>
      <c r="AM100" s="43" t="s">
        <v>6</v>
      </c>
      <c r="AN100" s="43" t="s">
        <v>7</v>
      </c>
      <c r="AO100" s="43" t="s">
        <v>8</v>
      </c>
      <c r="AP100" s="43" t="s">
        <v>9</v>
      </c>
      <c r="AQ100" s="43" t="s">
        <v>10</v>
      </c>
      <c r="AR100" s="43" t="s">
        <v>11</v>
      </c>
      <c r="AS100" s="24" t="s">
        <v>40</v>
      </c>
    </row>
    <row r="101" spans="1:45" ht="12.75">
      <c r="A101" s="26" t="s">
        <v>12</v>
      </c>
      <c r="B101" s="27"/>
      <c r="C101" s="27"/>
      <c r="D101" s="26"/>
      <c r="E101" s="26"/>
      <c r="F101" s="26"/>
      <c r="G101" s="26"/>
      <c r="H101" s="26"/>
      <c r="I101" s="28" t="e">
        <f t="shared" ref="I101:I102" si="100">AVERAGE(D101:H101)</f>
        <v>#DIV/0!</v>
      </c>
      <c r="J101" s="26" t="s">
        <v>12</v>
      </c>
      <c r="K101" s="27"/>
      <c r="L101" s="27"/>
      <c r="M101" s="26"/>
      <c r="N101" s="26"/>
      <c r="O101" s="26"/>
      <c r="P101" s="26"/>
      <c r="Q101" s="26"/>
      <c r="R101" s="28" t="e">
        <f t="shared" ref="R101:R102" si="101">AVERAGE(M101:Q101)</f>
        <v>#DIV/0!</v>
      </c>
      <c r="S101" s="26" t="s">
        <v>12</v>
      </c>
      <c r="T101" s="27"/>
      <c r="U101" s="27"/>
      <c r="V101" s="26"/>
      <c r="W101" s="26"/>
      <c r="X101" s="26"/>
      <c r="Y101" s="26"/>
      <c r="Z101" s="26"/>
      <c r="AA101" s="28" t="e">
        <f t="shared" ref="AA101:AA102" si="102">AVERAGE(V101:Z101)</f>
        <v>#DIV/0!</v>
      </c>
      <c r="AB101" s="26" t="s">
        <v>12</v>
      </c>
      <c r="AC101" s="27"/>
      <c r="AD101" s="27"/>
      <c r="AE101" s="26"/>
      <c r="AF101" s="26"/>
      <c r="AG101" s="26">
        <v>16</v>
      </c>
      <c r="AH101" s="26">
        <v>8</v>
      </c>
      <c r="AI101" s="26">
        <v>6</v>
      </c>
      <c r="AJ101" s="28">
        <f t="shared" ref="AJ101:AJ102" si="103">AVERAGE(AE101:AI101)</f>
        <v>10</v>
      </c>
      <c r="AK101" s="29" t="s">
        <v>12</v>
      </c>
      <c r="AL101" s="27"/>
      <c r="AM101" s="27"/>
      <c r="AN101" s="26">
        <v>6</v>
      </c>
      <c r="AO101" s="26">
        <v>4</v>
      </c>
      <c r="AP101" s="26"/>
      <c r="AQ101" s="26">
        <v>6</v>
      </c>
      <c r="AR101" s="26">
        <v>9</v>
      </c>
      <c r="AS101" s="28">
        <f t="shared" ref="AS101:AS102" si="104">AVERAGE(AN101:AR101)</f>
        <v>6.25</v>
      </c>
    </row>
    <row r="102" spans="1:45" ht="12.75">
      <c r="A102" s="26" t="s">
        <v>19</v>
      </c>
      <c r="B102" s="27"/>
      <c r="C102" s="27"/>
      <c r="D102" s="26"/>
      <c r="E102" s="26"/>
      <c r="F102" s="26"/>
      <c r="G102" s="26"/>
      <c r="H102" s="26"/>
      <c r="I102" s="28" t="e">
        <f t="shared" si="100"/>
        <v>#DIV/0!</v>
      </c>
      <c r="J102" s="26" t="s">
        <v>19</v>
      </c>
      <c r="K102" s="27"/>
      <c r="L102" s="27"/>
      <c r="M102" s="26"/>
      <c r="N102" s="26"/>
      <c r="O102" s="26"/>
      <c r="P102" s="26"/>
      <c r="Q102" s="26"/>
      <c r="R102" s="28" t="e">
        <f t="shared" si="101"/>
        <v>#DIV/0!</v>
      </c>
      <c r="S102" s="26" t="s">
        <v>19</v>
      </c>
      <c r="T102" s="27"/>
      <c r="U102" s="27"/>
      <c r="V102" s="26"/>
      <c r="W102" s="26"/>
      <c r="X102" s="26"/>
      <c r="Y102" s="26"/>
      <c r="Z102" s="26"/>
      <c r="AA102" s="28" t="e">
        <f t="shared" si="102"/>
        <v>#DIV/0!</v>
      </c>
      <c r="AB102" s="26" t="s">
        <v>19</v>
      </c>
      <c r="AC102" s="27"/>
      <c r="AD102" s="27"/>
      <c r="AE102" s="26"/>
      <c r="AF102" s="26"/>
      <c r="AG102" s="26">
        <v>10</v>
      </c>
      <c r="AH102" s="26">
        <v>7</v>
      </c>
      <c r="AI102" s="26">
        <v>10</v>
      </c>
      <c r="AJ102" s="28">
        <f t="shared" si="103"/>
        <v>9</v>
      </c>
      <c r="AK102" s="29" t="s">
        <v>19</v>
      </c>
      <c r="AL102" s="27"/>
      <c r="AM102" s="27"/>
      <c r="AN102" s="26">
        <v>10</v>
      </c>
      <c r="AO102" s="26">
        <v>8</v>
      </c>
      <c r="AP102" s="26">
        <v>6</v>
      </c>
      <c r="AQ102" s="26">
        <v>5</v>
      </c>
      <c r="AR102" s="26">
        <v>7</v>
      </c>
      <c r="AS102" s="28">
        <f t="shared" si="104"/>
        <v>7.2</v>
      </c>
    </row>
    <row r="103" spans="1:45" ht="12.75">
      <c r="A103" s="26" t="s">
        <v>20</v>
      </c>
      <c r="B103" s="26"/>
      <c r="C103" s="27"/>
      <c r="D103" s="26"/>
      <c r="E103" s="26"/>
      <c r="F103" s="26"/>
      <c r="G103" s="26"/>
      <c r="H103" s="26"/>
      <c r="I103" s="28" t="e">
        <f>AVERAGE(B103,D103:H103)</f>
        <v>#DIV/0!</v>
      </c>
      <c r="J103" s="26" t="s">
        <v>20</v>
      </c>
      <c r="K103" s="26"/>
      <c r="L103" s="27"/>
      <c r="M103" s="26"/>
      <c r="N103" s="26"/>
      <c r="O103" s="26"/>
      <c r="P103" s="26"/>
      <c r="Q103" s="26"/>
      <c r="R103" s="28" t="e">
        <f>AVERAGE(K103,M103:Q103)</f>
        <v>#DIV/0!</v>
      </c>
      <c r="S103" s="26" t="s">
        <v>20</v>
      </c>
      <c r="T103" s="26"/>
      <c r="U103" s="27"/>
      <c r="V103" s="26"/>
      <c r="W103" s="26"/>
      <c r="X103" s="26"/>
      <c r="Y103" s="26"/>
      <c r="Z103" s="26"/>
      <c r="AA103" s="28" t="e">
        <f>AVERAGE(T103,V103:Z103)</f>
        <v>#DIV/0!</v>
      </c>
      <c r="AB103" s="26" t="s">
        <v>20</v>
      </c>
      <c r="AC103" s="26"/>
      <c r="AD103" s="27"/>
      <c r="AE103" s="26"/>
      <c r="AF103" s="26"/>
      <c r="AG103" s="26">
        <v>2</v>
      </c>
      <c r="AH103" s="26">
        <v>6</v>
      </c>
      <c r="AI103" s="26">
        <v>5</v>
      </c>
      <c r="AJ103" s="28">
        <f>AVERAGE(AC103,AE103:AI103)</f>
        <v>4.333333333333333</v>
      </c>
      <c r="AK103" s="29" t="s">
        <v>20</v>
      </c>
      <c r="AL103" s="26">
        <v>4</v>
      </c>
      <c r="AM103" s="27"/>
      <c r="AN103" s="26">
        <v>10</v>
      </c>
      <c r="AO103" s="26">
        <v>6</v>
      </c>
      <c r="AP103" s="26">
        <v>6</v>
      </c>
      <c r="AQ103" s="26">
        <v>6</v>
      </c>
      <c r="AR103" s="26">
        <v>6</v>
      </c>
      <c r="AS103" s="28">
        <f>AVERAGE(AL103,AN103:AR103)</f>
        <v>6.333333333333333</v>
      </c>
    </row>
    <row r="104" spans="1:45" ht="12.75">
      <c r="A104" s="26" t="s">
        <v>21</v>
      </c>
      <c r="B104" s="26"/>
      <c r="C104" s="26"/>
      <c r="D104" s="26"/>
      <c r="E104" s="26"/>
      <c r="F104" s="26"/>
      <c r="G104" s="26"/>
      <c r="H104" s="26"/>
      <c r="I104" s="28" t="e">
        <f t="shared" ref="I104:I112" si="105">AVERAGE(B104:H104)</f>
        <v>#DIV/0!</v>
      </c>
      <c r="J104" s="26" t="s">
        <v>21</v>
      </c>
      <c r="K104" s="26"/>
      <c r="L104" s="26"/>
      <c r="M104" s="26"/>
      <c r="N104" s="26"/>
      <c r="O104" s="26"/>
      <c r="P104" s="26"/>
      <c r="Q104" s="26"/>
      <c r="R104" s="28" t="e">
        <f t="shared" ref="R104:R112" si="106">AVERAGE(K104:Q104)</f>
        <v>#DIV/0!</v>
      </c>
      <c r="S104" s="26" t="s">
        <v>21</v>
      </c>
      <c r="T104" s="26"/>
      <c r="U104" s="26"/>
      <c r="V104" s="26"/>
      <c r="W104" s="26"/>
      <c r="X104" s="26"/>
      <c r="Y104" s="26"/>
      <c r="Z104" s="26"/>
      <c r="AA104" s="28" t="e">
        <f t="shared" ref="AA104:AA112" si="107">AVERAGE(T104:Z104)</f>
        <v>#DIV/0!</v>
      </c>
      <c r="AB104" s="26" t="s">
        <v>21</v>
      </c>
      <c r="AC104" s="26"/>
      <c r="AD104" s="26"/>
      <c r="AE104" s="26"/>
      <c r="AF104" s="26">
        <v>5</v>
      </c>
      <c r="AG104" s="26">
        <v>3</v>
      </c>
      <c r="AH104" s="26"/>
      <c r="AI104" s="26"/>
      <c r="AJ104" s="28">
        <f t="shared" ref="AJ104:AJ112" si="108">AVERAGE(AC104:AI104)</f>
        <v>4</v>
      </c>
      <c r="AK104" s="29" t="s">
        <v>21</v>
      </c>
      <c r="AL104" s="26">
        <v>4</v>
      </c>
      <c r="AM104" s="26">
        <v>4</v>
      </c>
      <c r="AN104" s="26">
        <v>11</v>
      </c>
      <c r="AO104" s="26">
        <v>7</v>
      </c>
      <c r="AP104" s="26">
        <v>10</v>
      </c>
      <c r="AQ104" s="26">
        <v>2</v>
      </c>
      <c r="AR104" s="26">
        <v>8</v>
      </c>
      <c r="AS104" s="28">
        <f t="shared" ref="AS104:AS112" si="109">AVERAGE(AL104:AR104)</f>
        <v>6.5714285714285712</v>
      </c>
    </row>
    <row r="105" spans="1:45" ht="12.75">
      <c r="A105" s="26" t="s">
        <v>22</v>
      </c>
      <c r="B105" s="26"/>
      <c r="C105" s="26"/>
      <c r="D105" s="26"/>
      <c r="E105" s="26"/>
      <c r="F105" s="26"/>
      <c r="G105" s="26"/>
      <c r="H105" s="26"/>
      <c r="I105" s="28" t="e">
        <f t="shared" si="105"/>
        <v>#DIV/0!</v>
      </c>
      <c r="J105" s="26" t="s">
        <v>22</v>
      </c>
      <c r="K105" s="26"/>
      <c r="L105" s="26"/>
      <c r="M105" s="26"/>
      <c r="N105" s="26"/>
      <c r="O105" s="26"/>
      <c r="P105" s="26"/>
      <c r="Q105" s="26"/>
      <c r="R105" s="28" t="e">
        <f t="shared" si="106"/>
        <v>#DIV/0!</v>
      </c>
      <c r="S105" s="26" t="s">
        <v>22</v>
      </c>
      <c r="T105" s="26"/>
      <c r="U105" s="26"/>
      <c r="V105" s="26"/>
      <c r="W105" s="26"/>
      <c r="X105" s="26"/>
      <c r="Y105" s="26"/>
      <c r="Z105" s="26"/>
      <c r="AA105" s="28" t="e">
        <f t="shared" si="107"/>
        <v>#DIV/0!</v>
      </c>
      <c r="AB105" s="26" t="s">
        <v>22</v>
      </c>
      <c r="AC105" s="26"/>
      <c r="AD105" s="26"/>
      <c r="AE105" s="26"/>
      <c r="AF105" s="26">
        <v>6</v>
      </c>
      <c r="AG105" s="26">
        <v>10</v>
      </c>
      <c r="AH105" s="26">
        <v>9</v>
      </c>
      <c r="AI105" s="26">
        <v>13</v>
      </c>
      <c r="AJ105" s="28">
        <f t="shared" si="108"/>
        <v>9.5</v>
      </c>
      <c r="AK105" s="29" t="s">
        <v>22</v>
      </c>
      <c r="AL105" s="26">
        <v>12</v>
      </c>
      <c r="AM105" s="26">
        <v>4</v>
      </c>
      <c r="AN105" s="26">
        <v>23</v>
      </c>
      <c r="AO105" s="26">
        <v>12</v>
      </c>
      <c r="AP105" s="26">
        <v>15</v>
      </c>
      <c r="AQ105" s="26">
        <v>9</v>
      </c>
      <c r="AR105" s="26">
        <v>5</v>
      </c>
      <c r="AS105" s="28">
        <f t="shared" si="109"/>
        <v>11.428571428571429</v>
      </c>
    </row>
    <row r="106" spans="1:45" ht="12.75">
      <c r="A106" s="26" t="s">
        <v>23</v>
      </c>
      <c r="B106" s="26"/>
      <c r="C106" s="26"/>
      <c r="D106" s="26"/>
      <c r="E106" s="26"/>
      <c r="F106" s="26"/>
      <c r="G106" s="26"/>
      <c r="H106" s="26"/>
      <c r="I106" s="28" t="e">
        <f t="shared" si="105"/>
        <v>#DIV/0!</v>
      </c>
      <c r="J106" s="26" t="s">
        <v>23</v>
      </c>
      <c r="K106" s="26"/>
      <c r="L106" s="26"/>
      <c r="M106" s="26"/>
      <c r="N106" s="26"/>
      <c r="O106" s="26"/>
      <c r="P106" s="26"/>
      <c r="Q106" s="26"/>
      <c r="R106" s="28" t="e">
        <f t="shared" si="106"/>
        <v>#DIV/0!</v>
      </c>
      <c r="S106" s="26" t="s">
        <v>23</v>
      </c>
      <c r="T106" s="26"/>
      <c r="U106" s="26"/>
      <c r="V106" s="26"/>
      <c r="W106" s="26"/>
      <c r="X106" s="26"/>
      <c r="Y106" s="26"/>
      <c r="Z106" s="26"/>
      <c r="AA106" s="28" t="e">
        <f t="shared" si="107"/>
        <v>#DIV/0!</v>
      </c>
      <c r="AB106" s="26" t="s">
        <v>23</v>
      </c>
      <c r="AC106" s="26"/>
      <c r="AD106" s="26"/>
      <c r="AE106" s="26"/>
      <c r="AF106" s="26"/>
      <c r="AG106" s="26">
        <v>15</v>
      </c>
      <c r="AH106" s="26">
        <v>5</v>
      </c>
      <c r="AI106" s="26"/>
      <c r="AJ106" s="28">
        <f t="shared" si="108"/>
        <v>10</v>
      </c>
      <c r="AK106" s="29" t="s">
        <v>23</v>
      </c>
      <c r="AL106" s="26">
        <v>12</v>
      </c>
      <c r="AM106" s="26">
        <v>5</v>
      </c>
      <c r="AN106" s="26">
        <v>20</v>
      </c>
      <c r="AO106" s="26">
        <v>8</v>
      </c>
      <c r="AP106" s="26">
        <v>12</v>
      </c>
      <c r="AQ106" s="26">
        <v>9</v>
      </c>
      <c r="AR106" s="26">
        <v>17</v>
      </c>
      <c r="AS106" s="28">
        <f t="shared" si="109"/>
        <v>11.857142857142858</v>
      </c>
    </row>
    <row r="107" spans="1:45" ht="12.75">
      <c r="A107" s="26" t="s">
        <v>24</v>
      </c>
      <c r="B107" s="26"/>
      <c r="C107" s="26"/>
      <c r="D107" s="26"/>
      <c r="E107" s="26"/>
      <c r="F107" s="26"/>
      <c r="G107" s="26"/>
      <c r="H107" s="26"/>
      <c r="I107" s="28" t="e">
        <f t="shared" si="105"/>
        <v>#DIV/0!</v>
      </c>
      <c r="J107" s="26" t="s">
        <v>24</v>
      </c>
      <c r="K107" s="26"/>
      <c r="L107" s="26"/>
      <c r="M107" s="26"/>
      <c r="N107" s="26"/>
      <c r="O107" s="26"/>
      <c r="P107" s="26"/>
      <c r="Q107" s="26"/>
      <c r="R107" s="28" t="e">
        <f t="shared" si="106"/>
        <v>#DIV/0!</v>
      </c>
      <c r="S107" s="26" t="s">
        <v>24</v>
      </c>
      <c r="T107" s="26"/>
      <c r="U107" s="26"/>
      <c r="V107" s="26"/>
      <c r="W107" s="26"/>
      <c r="X107" s="26"/>
      <c r="Y107" s="26"/>
      <c r="Z107" s="26"/>
      <c r="AA107" s="28" t="e">
        <f t="shared" si="107"/>
        <v>#DIV/0!</v>
      </c>
      <c r="AB107" s="26" t="s">
        <v>24</v>
      </c>
      <c r="AC107" s="26"/>
      <c r="AD107" s="26"/>
      <c r="AE107" s="26"/>
      <c r="AF107" s="26"/>
      <c r="AG107" s="26">
        <v>15</v>
      </c>
      <c r="AH107" s="26">
        <v>12</v>
      </c>
      <c r="AI107" s="26"/>
      <c r="AJ107" s="28">
        <f t="shared" si="108"/>
        <v>13.5</v>
      </c>
      <c r="AK107" s="29" t="s">
        <v>24</v>
      </c>
      <c r="AL107" s="26">
        <v>17</v>
      </c>
      <c r="AM107" s="26">
        <v>11</v>
      </c>
      <c r="AN107" s="26">
        <v>14</v>
      </c>
      <c r="AO107" s="26">
        <v>12</v>
      </c>
      <c r="AP107" s="26">
        <v>16</v>
      </c>
      <c r="AQ107" s="26">
        <v>12</v>
      </c>
      <c r="AR107" s="26">
        <v>21</v>
      </c>
      <c r="AS107" s="28">
        <f t="shared" si="109"/>
        <v>14.714285714285714</v>
      </c>
    </row>
    <row r="108" spans="1:45" ht="12.75">
      <c r="A108" s="26" t="s">
        <v>25</v>
      </c>
      <c r="B108" s="26"/>
      <c r="C108" s="26"/>
      <c r="D108" s="26"/>
      <c r="E108" s="26"/>
      <c r="F108" s="26"/>
      <c r="G108" s="26"/>
      <c r="H108" s="26"/>
      <c r="I108" s="28" t="e">
        <f t="shared" si="105"/>
        <v>#DIV/0!</v>
      </c>
      <c r="J108" s="26" t="s">
        <v>25</v>
      </c>
      <c r="K108" s="26"/>
      <c r="L108" s="26"/>
      <c r="M108" s="26"/>
      <c r="N108" s="26"/>
      <c r="O108" s="26"/>
      <c r="P108" s="26"/>
      <c r="Q108" s="26"/>
      <c r="R108" s="28" t="e">
        <f t="shared" si="106"/>
        <v>#DIV/0!</v>
      </c>
      <c r="S108" s="26" t="s">
        <v>25</v>
      </c>
      <c r="T108" s="26"/>
      <c r="U108" s="26"/>
      <c r="V108" s="26"/>
      <c r="W108" s="26"/>
      <c r="X108" s="26"/>
      <c r="Y108" s="26"/>
      <c r="Z108" s="26"/>
      <c r="AA108" s="28" t="e">
        <f t="shared" si="107"/>
        <v>#DIV/0!</v>
      </c>
      <c r="AB108" s="26" t="s">
        <v>25</v>
      </c>
      <c r="AC108" s="26"/>
      <c r="AD108" s="26"/>
      <c r="AE108" s="26"/>
      <c r="AF108" s="26">
        <v>4</v>
      </c>
      <c r="AG108" s="26">
        <v>3</v>
      </c>
      <c r="AH108" s="26">
        <v>7</v>
      </c>
      <c r="AI108" s="26">
        <v>16</v>
      </c>
      <c r="AJ108" s="28">
        <f t="shared" si="108"/>
        <v>7.5</v>
      </c>
      <c r="AK108" s="29" t="s">
        <v>25</v>
      </c>
      <c r="AL108" s="26">
        <v>6</v>
      </c>
      <c r="AM108" s="26">
        <v>7</v>
      </c>
      <c r="AN108" s="26">
        <v>6</v>
      </c>
      <c r="AO108" s="26">
        <v>5</v>
      </c>
      <c r="AP108" s="26">
        <v>12</v>
      </c>
      <c r="AQ108" s="26">
        <v>4</v>
      </c>
      <c r="AR108" s="26">
        <v>4</v>
      </c>
      <c r="AS108" s="28">
        <f t="shared" si="109"/>
        <v>6.2857142857142856</v>
      </c>
    </row>
    <row r="109" spans="1:45" ht="12.75">
      <c r="A109" s="26" t="s">
        <v>27</v>
      </c>
      <c r="B109" s="26"/>
      <c r="C109" s="26"/>
      <c r="D109" s="26"/>
      <c r="E109" s="26"/>
      <c r="F109" s="26"/>
      <c r="G109" s="26"/>
      <c r="H109" s="26"/>
      <c r="I109" s="28" t="e">
        <f t="shared" si="105"/>
        <v>#DIV/0!</v>
      </c>
      <c r="J109" s="26" t="s">
        <v>27</v>
      </c>
      <c r="K109" s="26"/>
      <c r="L109" s="26"/>
      <c r="M109" s="26"/>
      <c r="N109" s="26"/>
      <c r="O109" s="26"/>
      <c r="P109" s="26"/>
      <c r="Q109" s="26"/>
      <c r="R109" s="28" t="e">
        <f t="shared" si="106"/>
        <v>#DIV/0!</v>
      </c>
      <c r="S109" s="26" t="s">
        <v>27</v>
      </c>
      <c r="T109" s="26"/>
      <c r="U109" s="26"/>
      <c r="V109" s="26"/>
      <c r="W109" s="26"/>
      <c r="X109" s="26"/>
      <c r="Y109" s="26"/>
      <c r="Z109" s="26"/>
      <c r="AA109" s="28" t="e">
        <f t="shared" si="107"/>
        <v>#DIV/0!</v>
      </c>
      <c r="AB109" s="26" t="s">
        <v>27</v>
      </c>
      <c r="AC109" s="26"/>
      <c r="AD109" s="26"/>
      <c r="AE109" s="26"/>
      <c r="AF109" s="26">
        <v>4</v>
      </c>
      <c r="AG109" s="26">
        <v>5</v>
      </c>
      <c r="AH109" s="26">
        <v>6</v>
      </c>
      <c r="AI109" s="26">
        <v>9</v>
      </c>
      <c r="AJ109" s="28">
        <f t="shared" si="108"/>
        <v>6</v>
      </c>
      <c r="AK109" s="29" t="s">
        <v>27</v>
      </c>
      <c r="AL109" s="26">
        <v>10</v>
      </c>
      <c r="AM109" s="26">
        <v>6</v>
      </c>
      <c r="AN109" s="26">
        <v>8</v>
      </c>
      <c r="AO109" s="26">
        <v>13</v>
      </c>
      <c r="AP109" s="26">
        <v>3</v>
      </c>
      <c r="AQ109" s="26">
        <v>4</v>
      </c>
      <c r="AR109" s="26">
        <v>9</v>
      </c>
      <c r="AS109" s="28">
        <f t="shared" si="109"/>
        <v>7.5714285714285712</v>
      </c>
    </row>
    <row r="110" spans="1:45" ht="12.75">
      <c r="A110" s="26" t="s">
        <v>28</v>
      </c>
      <c r="B110" s="26"/>
      <c r="C110" s="26"/>
      <c r="D110" s="26"/>
      <c r="E110" s="26"/>
      <c r="F110" s="26"/>
      <c r="G110" s="26"/>
      <c r="H110" s="26"/>
      <c r="I110" s="28" t="e">
        <f t="shared" si="105"/>
        <v>#DIV/0!</v>
      </c>
      <c r="J110" s="26" t="s">
        <v>28</v>
      </c>
      <c r="K110" s="26"/>
      <c r="L110" s="26"/>
      <c r="M110" s="26"/>
      <c r="N110" s="26"/>
      <c r="O110" s="26"/>
      <c r="P110" s="26"/>
      <c r="Q110" s="26"/>
      <c r="R110" s="28" t="e">
        <f t="shared" si="106"/>
        <v>#DIV/0!</v>
      </c>
      <c r="S110" s="26" t="s">
        <v>28</v>
      </c>
      <c r="T110" s="26"/>
      <c r="U110" s="26"/>
      <c r="V110" s="26"/>
      <c r="W110" s="26"/>
      <c r="X110" s="26"/>
      <c r="Y110" s="26"/>
      <c r="Z110" s="26"/>
      <c r="AA110" s="28" t="e">
        <f t="shared" si="107"/>
        <v>#DIV/0!</v>
      </c>
      <c r="AB110" s="26" t="s">
        <v>28</v>
      </c>
      <c r="AC110" s="26"/>
      <c r="AD110" s="26"/>
      <c r="AE110" s="26"/>
      <c r="AF110" s="26">
        <v>5</v>
      </c>
      <c r="AG110" s="26">
        <v>5</v>
      </c>
      <c r="AH110" s="26">
        <v>7</v>
      </c>
      <c r="AI110" s="26">
        <v>5</v>
      </c>
      <c r="AJ110" s="28">
        <f t="shared" si="108"/>
        <v>5.5</v>
      </c>
      <c r="AK110" s="29" t="s">
        <v>28</v>
      </c>
      <c r="AL110" s="26">
        <v>8</v>
      </c>
      <c r="AM110" s="26">
        <v>14</v>
      </c>
      <c r="AN110" s="26">
        <v>5</v>
      </c>
      <c r="AO110" s="26">
        <v>1</v>
      </c>
      <c r="AP110" s="26">
        <v>5</v>
      </c>
      <c r="AQ110" s="26">
        <v>4</v>
      </c>
      <c r="AR110" s="26">
        <v>5</v>
      </c>
      <c r="AS110" s="28">
        <f t="shared" si="109"/>
        <v>6</v>
      </c>
    </row>
    <row r="111" spans="1:45" ht="12.75">
      <c r="A111" s="26" t="s">
        <v>29</v>
      </c>
      <c r="B111" s="26"/>
      <c r="C111" s="26"/>
      <c r="D111" s="26"/>
      <c r="E111" s="26"/>
      <c r="F111" s="26"/>
      <c r="G111" s="26"/>
      <c r="H111" s="26"/>
      <c r="I111" s="28" t="e">
        <f t="shared" si="105"/>
        <v>#DIV/0!</v>
      </c>
      <c r="J111" s="26" t="s">
        <v>29</v>
      </c>
      <c r="K111" s="26"/>
      <c r="L111" s="26"/>
      <c r="M111" s="26"/>
      <c r="N111" s="26"/>
      <c r="O111" s="26"/>
      <c r="P111" s="26"/>
      <c r="Q111" s="26"/>
      <c r="R111" s="28" t="e">
        <f t="shared" si="106"/>
        <v>#DIV/0!</v>
      </c>
      <c r="S111" s="26" t="s">
        <v>29</v>
      </c>
      <c r="T111" s="26"/>
      <c r="U111" s="26"/>
      <c r="V111" s="26"/>
      <c r="W111" s="26"/>
      <c r="X111" s="26"/>
      <c r="Y111" s="26"/>
      <c r="Z111" s="26"/>
      <c r="AA111" s="28" t="e">
        <f t="shared" si="107"/>
        <v>#DIV/0!</v>
      </c>
      <c r="AB111" s="26" t="s">
        <v>29</v>
      </c>
      <c r="AC111" s="26"/>
      <c r="AD111" s="26"/>
      <c r="AE111" s="26"/>
      <c r="AF111" s="26">
        <v>5</v>
      </c>
      <c r="AG111" s="26">
        <v>6</v>
      </c>
      <c r="AH111" s="26">
        <v>3</v>
      </c>
      <c r="AI111" s="26">
        <v>3</v>
      </c>
      <c r="AJ111" s="28">
        <f t="shared" si="108"/>
        <v>4.25</v>
      </c>
      <c r="AK111" s="29" t="s">
        <v>29</v>
      </c>
      <c r="AL111" s="26">
        <v>7</v>
      </c>
      <c r="AM111" s="26">
        <v>13</v>
      </c>
      <c r="AN111" s="26">
        <v>10</v>
      </c>
      <c r="AO111" s="26">
        <v>4</v>
      </c>
      <c r="AP111" s="26">
        <v>11</v>
      </c>
      <c r="AQ111" s="26">
        <v>4</v>
      </c>
      <c r="AR111" s="26">
        <v>3</v>
      </c>
      <c r="AS111" s="28">
        <f t="shared" si="109"/>
        <v>7.4285714285714288</v>
      </c>
    </row>
    <row r="112" spans="1:45" ht="12.75">
      <c r="A112" s="26" t="s">
        <v>30</v>
      </c>
      <c r="B112" s="26"/>
      <c r="C112" s="26"/>
      <c r="D112" s="26"/>
      <c r="E112" s="26"/>
      <c r="F112" s="26"/>
      <c r="G112" s="26"/>
      <c r="H112" s="26"/>
      <c r="I112" s="28" t="e">
        <f t="shared" si="105"/>
        <v>#DIV/0!</v>
      </c>
      <c r="J112" s="26" t="s">
        <v>30</v>
      </c>
      <c r="K112" s="26"/>
      <c r="L112" s="26"/>
      <c r="M112" s="26"/>
      <c r="N112" s="26"/>
      <c r="O112" s="26"/>
      <c r="P112" s="26"/>
      <c r="Q112" s="26"/>
      <c r="R112" s="28" t="e">
        <f t="shared" si="106"/>
        <v>#DIV/0!</v>
      </c>
      <c r="S112" s="26" t="s">
        <v>30</v>
      </c>
      <c r="T112" s="26"/>
      <c r="U112" s="26"/>
      <c r="V112" s="26"/>
      <c r="W112" s="26"/>
      <c r="X112" s="26"/>
      <c r="Y112" s="26"/>
      <c r="Z112" s="26"/>
      <c r="AA112" s="28" t="e">
        <f t="shared" si="107"/>
        <v>#DIV/0!</v>
      </c>
      <c r="AB112" s="26" t="s">
        <v>30</v>
      </c>
      <c r="AC112" s="26"/>
      <c r="AD112" s="26"/>
      <c r="AE112" s="26"/>
      <c r="AF112" s="26">
        <v>9</v>
      </c>
      <c r="AG112" s="26">
        <v>10</v>
      </c>
      <c r="AH112" s="26">
        <v>11</v>
      </c>
      <c r="AI112" s="26">
        <v>8</v>
      </c>
      <c r="AJ112" s="28">
        <f t="shared" si="108"/>
        <v>9.5</v>
      </c>
      <c r="AK112" s="29" t="s">
        <v>30</v>
      </c>
      <c r="AL112" s="26">
        <v>10</v>
      </c>
      <c r="AM112" s="26">
        <v>8</v>
      </c>
      <c r="AN112" s="26">
        <v>8</v>
      </c>
      <c r="AO112" s="26">
        <v>12</v>
      </c>
      <c r="AP112" s="26">
        <v>8</v>
      </c>
      <c r="AQ112" s="26">
        <v>5</v>
      </c>
      <c r="AR112" s="26">
        <v>8</v>
      </c>
      <c r="AS112" s="28">
        <f t="shared" si="109"/>
        <v>8.4285714285714288</v>
      </c>
    </row>
    <row r="113" spans="1:45" ht="12.75">
      <c r="A113" s="26" t="s">
        <v>31</v>
      </c>
      <c r="B113" s="26"/>
      <c r="C113" s="27"/>
      <c r="D113" s="26"/>
      <c r="E113" s="26"/>
      <c r="F113" s="26"/>
      <c r="G113" s="26"/>
      <c r="H113" s="26"/>
      <c r="I113" s="28" t="e">
        <f>AVERAGE(B113,D113:H113)</f>
        <v>#DIV/0!</v>
      </c>
      <c r="J113" s="26" t="s">
        <v>31</v>
      </c>
      <c r="K113" s="26"/>
      <c r="L113" s="27"/>
      <c r="M113" s="26"/>
      <c r="N113" s="26"/>
      <c r="O113" s="26"/>
      <c r="P113" s="26"/>
      <c r="Q113" s="26"/>
      <c r="R113" s="28" t="e">
        <f>AVERAGE(K113,M113:Q113)</f>
        <v>#DIV/0!</v>
      </c>
      <c r="S113" s="26" t="s">
        <v>31</v>
      </c>
      <c r="T113" s="26"/>
      <c r="U113" s="27"/>
      <c r="V113" s="26"/>
      <c r="W113" s="26"/>
      <c r="X113" s="26"/>
      <c r="Y113" s="26"/>
      <c r="Z113" s="26"/>
      <c r="AA113" s="28" t="e">
        <f>AVERAGE(T113,V113:Z113)</f>
        <v>#DIV/0!</v>
      </c>
      <c r="AB113" s="26" t="s">
        <v>31</v>
      </c>
      <c r="AC113" s="26"/>
      <c r="AD113" s="27"/>
      <c r="AE113" s="26"/>
      <c r="AF113" s="26">
        <v>10</v>
      </c>
      <c r="AG113" s="26">
        <v>12</v>
      </c>
      <c r="AH113" s="26">
        <v>8</v>
      </c>
      <c r="AI113" s="26">
        <v>4</v>
      </c>
      <c r="AJ113" s="28">
        <f>AVERAGE(AC113,AE113:AI113)</f>
        <v>8.5</v>
      </c>
      <c r="AK113" s="29" t="s">
        <v>31</v>
      </c>
      <c r="AL113" s="26">
        <v>5</v>
      </c>
      <c r="AM113" s="27"/>
      <c r="AN113" s="26">
        <v>9</v>
      </c>
      <c r="AO113" s="26">
        <v>18</v>
      </c>
      <c r="AP113" s="26">
        <v>14</v>
      </c>
      <c r="AQ113" s="26">
        <v>10</v>
      </c>
      <c r="AR113" s="26">
        <v>4</v>
      </c>
      <c r="AS113" s="28">
        <f>AVERAGE(AL113,AN113:AR113)</f>
        <v>10</v>
      </c>
    </row>
    <row r="114" spans="1:45" ht="12.75">
      <c r="A114" s="26" t="s">
        <v>32</v>
      </c>
      <c r="B114" s="27"/>
      <c r="C114" s="27"/>
      <c r="D114" s="26"/>
      <c r="E114" s="26"/>
      <c r="F114" s="26"/>
      <c r="G114" s="26"/>
      <c r="H114" s="26"/>
      <c r="I114" s="28" t="e">
        <f t="shared" ref="I114:I116" si="110">AVERAGE(D114:H114)</f>
        <v>#DIV/0!</v>
      </c>
      <c r="J114" s="26" t="s">
        <v>32</v>
      </c>
      <c r="K114" s="27"/>
      <c r="L114" s="27"/>
      <c r="M114" s="26"/>
      <c r="N114" s="26"/>
      <c r="O114" s="26"/>
      <c r="P114" s="26"/>
      <c r="Q114" s="26"/>
      <c r="R114" s="28" t="e">
        <f t="shared" ref="R114:R116" si="111">AVERAGE(M114:Q114)</f>
        <v>#DIV/0!</v>
      </c>
      <c r="S114" s="26" t="s">
        <v>32</v>
      </c>
      <c r="T114" s="27"/>
      <c r="U114" s="27"/>
      <c r="V114" s="26"/>
      <c r="W114" s="26"/>
      <c r="X114" s="26"/>
      <c r="Y114" s="26"/>
      <c r="Z114" s="26"/>
      <c r="AA114" s="28" t="e">
        <f t="shared" ref="AA114:AA116" si="112">AVERAGE(V114:Z114)</f>
        <v>#DIV/0!</v>
      </c>
      <c r="AB114" s="26" t="s">
        <v>32</v>
      </c>
      <c r="AC114" s="27"/>
      <c r="AD114" s="27"/>
      <c r="AE114" s="26"/>
      <c r="AF114" s="26">
        <v>19</v>
      </c>
      <c r="AG114" s="26">
        <v>9</v>
      </c>
      <c r="AH114" s="26">
        <v>15</v>
      </c>
      <c r="AI114" s="26">
        <v>9</v>
      </c>
      <c r="AJ114" s="28">
        <f t="shared" ref="AJ114:AJ116" si="113">AVERAGE(AE114:AI114)</f>
        <v>13</v>
      </c>
      <c r="AK114" s="29" t="s">
        <v>32</v>
      </c>
      <c r="AL114" s="27"/>
      <c r="AM114" s="27"/>
      <c r="AN114" s="26">
        <v>17</v>
      </c>
      <c r="AO114" s="26">
        <v>12</v>
      </c>
      <c r="AP114" s="26">
        <v>13</v>
      </c>
      <c r="AQ114" s="26">
        <v>20</v>
      </c>
      <c r="AR114" s="26">
        <v>9</v>
      </c>
      <c r="AS114" s="28">
        <f t="shared" ref="AS114:AS116" si="114">AVERAGE(AN114:AR114)</f>
        <v>14.2</v>
      </c>
    </row>
    <row r="115" spans="1:45" ht="12.75">
      <c r="A115" s="26" t="s">
        <v>33</v>
      </c>
      <c r="B115" s="27"/>
      <c r="C115" s="27"/>
      <c r="D115" s="26"/>
      <c r="E115" s="26"/>
      <c r="F115" s="26"/>
      <c r="G115" s="26"/>
      <c r="H115" s="26"/>
      <c r="I115" s="28" t="e">
        <f t="shared" si="110"/>
        <v>#DIV/0!</v>
      </c>
      <c r="J115" s="26" t="s">
        <v>33</v>
      </c>
      <c r="K115" s="27"/>
      <c r="L115" s="27"/>
      <c r="M115" s="26"/>
      <c r="N115" s="26"/>
      <c r="O115" s="26"/>
      <c r="P115" s="26"/>
      <c r="Q115" s="26"/>
      <c r="R115" s="28" t="e">
        <f t="shared" si="111"/>
        <v>#DIV/0!</v>
      </c>
      <c r="S115" s="26" t="s">
        <v>33</v>
      </c>
      <c r="T115" s="27"/>
      <c r="U115" s="27"/>
      <c r="V115" s="26"/>
      <c r="W115" s="26"/>
      <c r="X115" s="26"/>
      <c r="Y115" s="26"/>
      <c r="Z115" s="26"/>
      <c r="AA115" s="28" t="e">
        <f t="shared" si="112"/>
        <v>#DIV/0!</v>
      </c>
      <c r="AB115" s="26" t="s">
        <v>33</v>
      </c>
      <c r="AC115" s="27"/>
      <c r="AD115" s="27"/>
      <c r="AE115" s="26"/>
      <c r="AF115" s="26">
        <v>4</v>
      </c>
      <c r="AG115" s="26">
        <v>10</v>
      </c>
      <c r="AH115" s="26">
        <v>14</v>
      </c>
      <c r="AI115" s="26">
        <v>1</v>
      </c>
      <c r="AJ115" s="28">
        <f t="shared" si="113"/>
        <v>7.25</v>
      </c>
      <c r="AK115" s="29" t="s">
        <v>33</v>
      </c>
      <c r="AL115" s="27"/>
      <c r="AM115" s="27"/>
      <c r="AN115" s="26">
        <v>16</v>
      </c>
      <c r="AO115" s="26">
        <v>11</v>
      </c>
      <c r="AP115" s="26">
        <v>6</v>
      </c>
      <c r="AQ115" s="26">
        <v>8</v>
      </c>
      <c r="AR115" s="26">
        <v>1</v>
      </c>
      <c r="AS115" s="28">
        <f t="shared" si="114"/>
        <v>8.4</v>
      </c>
    </row>
    <row r="116" spans="1:45" ht="12.75">
      <c r="A116" s="26" t="s">
        <v>34</v>
      </c>
      <c r="B116" s="27"/>
      <c r="C116" s="27"/>
      <c r="D116" s="26"/>
      <c r="E116" s="26"/>
      <c r="F116" s="26"/>
      <c r="G116" s="26"/>
      <c r="H116" s="26"/>
      <c r="I116" s="28" t="e">
        <f t="shared" si="110"/>
        <v>#DIV/0!</v>
      </c>
      <c r="J116" s="26" t="s">
        <v>34</v>
      </c>
      <c r="K116" s="27"/>
      <c r="L116" s="27"/>
      <c r="M116" s="26"/>
      <c r="N116" s="26"/>
      <c r="O116" s="26"/>
      <c r="P116" s="26"/>
      <c r="Q116" s="26"/>
      <c r="R116" s="28" t="e">
        <f t="shared" si="111"/>
        <v>#DIV/0!</v>
      </c>
      <c r="S116" s="26" t="s">
        <v>34</v>
      </c>
      <c r="T116" s="27"/>
      <c r="U116" s="27"/>
      <c r="V116" s="26"/>
      <c r="W116" s="26"/>
      <c r="X116" s="26"/>
      <c r="Y116" s="26"/>
      <c r="Z116" s="26"/>
      <c r="AA116" s="28" t="e">
        <f t="shared" si="112"/>
        <v>#DIV/0!</v>
      </c>
      <c r="AB116" s="26" t="s">
        <v>34</v>
      </c>
      <c r="AC116" s="27"/>
      <c r="AD116" s="27"/>
      <c r="AE116" s="26"/>
      <c r="AF116" s="26">
        <v>5</v>
      </c>
      <c r="AG116" s="26">
        <v>6</v>
      </c>
      <c r="AH116" s="26">
        <v>5</v>
      </c>
      <c r="AI116" s="26">
        <v>1</v>
      </c>
      <c r="AJ116" s="28">
        <f t="shared" si="113"/>
        <v>4.25</v>
      </c>
      <c r="AK116" s="29" t="s">
        <v>34</v>
      </c>
      <c r="AL116" s="27"/>
      <c r="AM116" s="27"/>
      <c r="AN116" s="26">
        <v>4</v>
      </c>
      <c r="AO116" s="26">
        <v>7</v>
      </c>
      <c r="AP116" s="26">
        <v>4</v>
      </c>
      <c r="AQ116" s="26">
        <v>6</v>
      </c>
      <c r="AR116" s="26">
        <v>1</v>
      </c>
      <c r="AS116" s="28">
        <f t="shared" si="114"/>
        <v>4.4000000000000004</v>
      </c>
    </row>
    <row r="117" spans="1:45" ht="12.75">
      <c r="A117" s="30" t="s">
        <v>42</v>
      </c>
      <c r="B117" s="8">
        <f t="shared" ref="B117:H117" si="115">SUM(B101:B116)</f>
        <v>0</v>
      </c>
      <c r="C117" s="8">
        <f t="shared" si="115"/>
        <v>0</v>
      </c>
      <c r="D117" s="8">
        <f t="shared" si="115"/>
        <v>0</v>
      </c>
      <c r="E117" s="8">
        <f t="shared" si="115"/>
        <v>0</v>
      </c>
      <c r="F117" s="8">
        <f t="shared" si="115"/>
        <v>0</v>
      </c>
      <c r="G117" s="8">
        <f t="shared" si="115"/>
        <v>0</v>
      </c>
      <c r="H117" s="8">
        <f t="shared" si="115"/>
        <v>0</v>
      </c>
      <c r="I117" s="28">
        <f>AVERAGE(B117:H117)</f>
        <v>0</v>
      </c>
      <c r="J117" s="30" t="s">
        <v>42</v>
      </c>
      <c r="K117" s="8">
        <f t="shared" ref="K117:Q117" si="116">SUM(K101:K116)</f>
        <v>0</v>
      </c>
      <c r="L117" s="8">
        <f t="shared" si="116"/>
        <v>0</v>
      </c>
      <c r="M117" s="8">
        <f t="shared" si="116"/>
        <v>0</v>
      </c>
      <c r="N117" s="8">
        <f t="shared" si="116"/>
        <v>0</v>
      </c>
      <c r="O117" s="8">
        <f t="shared" si="116"/>
        <v>0</v>
      </c>
      <c r="P117" s="8">
        <f t="shared" si="116"/>
        <v>0</v>
      </c>
      <c r="Q117" s="8">
        <f t="shared" si="116"/>
        <v>0</v>
      </c>
      <c r="R117" s="28">
        <f>AVERAGE(K117:Q117)</f>
        <v>0</v>
      </c>
      <c r="S117" s="30" t="s">
        <v>42</v>
      </c>
      <c r="T117" s="8">
        <f t="shared" ref="T117:Z117" si="117">SUM(T101:T116)</f>
        <v>0</v>
      </c>
      <c r="U117" s="8">
        <f t="shared" si="117"/>
        <v>0</v>
      </c>
      <c r="V117" s="8">
        <f t="shared" si="117"/>
        <v>0</v>
      </c>
      <c r="W117" s="8">
        <f t="shared" si="117"/>
        <v>0</v>
      </c>
      <c r="X117" s="8">
        <f t="shared" si="117"/>
        <v>0</v>
      </c>
      <c r="Y117" s="8">
        <f t="shared" si="117"/>
        <v>0</v>
      </c>
      <c r="Z117" s="8">
        <f t="shared" si="117"/>
        <v>0</v>
      </c>
      <c r="AA117" s="28">
        <f>AVERAGE(T117:Z117)</f>
        <v>0</v>
      </c>
      <c r="AB117" s="30" t="s">
        <v>42</v>
      </c>
      <c r="AC117" s="8">
        <f t="shared" ref="AC117:AI117" si="118">SUM(AC101:AC116)</f>
        <v>0</v>
      </c>
      <c r="AD117" s="8">
        <f t="shared" si="118"/>
        <v>0</v>
      </c>
      <c r="AE117" s="8">
        <f t="shared" si="118"/>
        <v>0</v>
      </c>
      <c r="AF117" s="8">
        <f t="shared" si="118"/>
        <v>76</v>
      </c>
      <c r="AG117" s="8">
        <f t="shared" si="118"/>
        <v>137</v>
      </c>
      <c r="AH117" s="8">
        <f t="shared" si="118"/>
        <v>123</v>
      </c>
      <c r="AI117" s="8">
        <f t="shared" si="118"/>
        <v>90</v>
      </c>
      <c r="AJ117" s="28">
        <f>AVERAGE(AC117:AI117)</f>
        <v>60.857142857142854</v>
      </c>
      <c r="AK117" s="31" t="s">
        <v>42</v>
      </c>
      <c r="AL117" s="8">
        <f t="shared" ref="AL117:AR117" si="119">SUM(AL101:AL116)</f>
        <v>95</v>
      </c>
      <c r="AM117" s="8">
        <f t="shared" si="119"/>
        <v>72</v>
      </c>
      <c r="AN117" s="8">
        <f t="shared" si="119"/>
        <v>177</v>
      </c>
      <c r="AO117" s="8">
        <f t="shared" si="119"/>
        <v>140</v>
      </c>
      <c r="AP117" s="8">
        <f t="shared" si="119"/>
        <v>141</v>
      </c>
      <c r="AQ117" s="8">
        <f t="shared" si="119"/>
        <v>114</v>
      </c>
      <c r="AR117" s="8">
        <f t="shared" si="119"/>
        <v>117</v>
      </c>
      <c r="AS117" s="28">
        <f>AVERAGE(AL117:AR117)</f>
        <v>122.28571428571429</v>
      </c>
    </row>
    <row r="118" spans="1:45" ht="12.75">
      <c r="A118" s="32" t="s">
        <v>43</v>
      </c>
      <c r="B118" s="33">
        <f>SUM(B117:H117)</f>
        <v>0</v>
      </c>
      <c r="I118" s="20"/>
      <c r="J118" s="32" t="s">
        <v>43</v>
      </c>
      <c r="K118" s="33">
        <f>SUM(K117:Q117)</f>
        <v>0</v>
      </c>
      <c r="R118" s="20"/>
      <c r="S118" s="32" t="s">
        <v>43</v>
      </c>
      <c r="T118" s="33">
        <f>SUM(T117:Z117)</f>
        <v>0</v>
      </c>
      <c r="AA118" s="20"/>
      <c r="AB118" s="32" t="s">
        <v>43</v>
      </c>
      <c r="AC118" s="33">
        <f>SUM(AC117:AI117)</f>
        <v>426</v>
      </c>
      <c r="AJ118" s="20"/>
      <c r="AK118" s="34" t="s">
        <v>43</v>
      </c>
      <c r="AL118" s="33">
        <f>SUM(AL117:AR117)</f>
        <v>856</v>
      </c>
      <c r="AS118" s="20"/>
    </row>
    <row r="119" spans="1:45" ht="12.75">
      <c r="A119" s="23" t="s">
        <v>50</v>
      </c>
      <c r="B119" s="23" t="s">
        <v>5</v>
      </c>
      <c r="C119" s="23" t="s">
        <v>6</v>
      </c>
      <c r="D119" s="23" t="s">
        <v>7</v>
      </c>
      <c r="E119" s="23" t="s">
        <v>8</v>
      </c>
      <c r="F119" s="23" t="s">
        <v>9</v>
      </c>
      <c r="G119" s="23" t="s">
        <v>10</v>
      </c>
      <c r="H119" s="23" t="s">
        <v>11</v>
      </c>
      <c r="I119" s="24" t="s">
        <v>51</v>
      </c>
      <c r="J119" s="23" t="s">
        <v>50</v>
      </c>
      <c r="K119" s="23" t="s">
        <v>5</v>
      </c>
      <c r="L119" s="23" t="s">
        <v>6</v>
      </c>
      <c r="M119" s="23" t="s">
        <v>7</v>
      </c>
      <c r="N119" s="23" t="s">
        <v>8</v>
      </c>
      <c r="O119" s="23" t="s">
        <v>9</v>
      </c>
      <c r="P119" s="23" t="s">
        <v>10</v>
      </c>
      <c r="Q119" s="23" t="s">
        <v>11</v>
      </c>
      <c r="R119" s="24" t="s">
        <v>51</v>
      </c>
      <c r="S119" s="23" t="s">
        <v>50</v>
      </c>
      <c r="T119" s="23" t="s">
        <v>5</v>
      </c>
      <c r="U119" s="23" t="s">
        <v>6</v>
      </c>
      <c r="V119" s="23" t="s">
        <v>7</v>
      </c>
      <c r="W119" s="23" t="s">
        <v>8</v>
      </c>
      <c r="X119" s="23" t="s">
        <v>9</v>
      </c>
      <c r="Y119" s="23" t="s">
        <v>10</v>
      </c>
      <c r="Z119" s="23" t="s">
        <v>11</v>
      </c>
      <c r="AA119" s="24" t="s">
        <v>51</v>
      </c>
      <c r="AB119" s="23" t="s">
        <v>50</v>
      </c>
      <c r="AC119" s="23" t="s">
        <v>5</v>
      </c>
      <c r="AD119" s="23" t="s">
        <v>6</v>
      </c>
      <c r="AE119" s="23" t="s">
        <v>7</v>
      </c>
      <c r="AF119" s="23" t="s">
        <v>8</v>
      </c>
      <c r="AG119" s="23" t="s">
        <v>9</v>
      </c>
      <c r="AH119" s="23" t="s">
        <v>10</v>
      </c>
      <c r="AI119" s="23" t="s">
        <v>11</v>
      </c>
      <c r="AJ119" s="24" t="s">
        <v>51</v>
      </c>
      <c r="AK119" s="23" t="s">
        <v>50</v>
      </c>
      <c r="AL119" s="23" t="s">
        <v>5</v>
      </c>
      <c r="AM119" s="23" t="s">
        <v>6</v>
      </c>
      <c r="AN119" s="23" t="s">
        <v>7</v>
      </c>
      <c r="AO119" s="23" t="s">
        <v>8</v>
      </c>
      <c r="AP119" s="23" t="s">
        <v>9</v>
      </c>
      <c r="AQ119" s="23" t="s">
        <v>10</v>
      </c>
      <c r="AR119" s="23" t="s">
        <v>11</v>
      </c>
      <c r="AS119" s="24" t="s">
        <v>51</v>
      </c>
    </row>
    <row r="120" spans="1:45" ht="12.75">
      <c r="A120" s="26" t="s">
        <v>12</v>
      </c>
      <c r="B120" s="27"/>
      <c r="C120" s="27"/>
      <c r="D120" s="26">
        <f t="shared" ref="D120:H120" si="120">SUM(D5,D25,D44,D63,D82,D101)</f>
        <v>0</v>
      </c>
      <c r="E120" s="26">
        <f t="shared" si="120"/>
        <v>0</v>
      </c>
      <c r="F120" s="26">
        <f t="shared" si="120"/>
        <v>0</v>
      </c>
      <c r="G120" s="26">
        <f t="shared" si="120"/>
        <v>0</v>
      </c>
      <c r="H120" s="26">
        <f t="shared" si="120"/>
        <v>0</v>
      </c>
      <c r="I120" s="28">
        <f t="shared" ref="I120:I121" si="121">AVERAGE(D120:H120)</f>
        <v>0</v>
      </c>
      <c r="J120" s="26" t="s">
        <v>12</v>
      </c>
      <c r="K120" s="27"/>
      <c r="L120" s="27"/>
      <c r="M120" s="26">
        <f t="shared" ref="M120:Q120" si="122">SUM(M5,M25,M44,M63,M82,M101)</f>
        <v>0</v>
      </c>
      <c r="N120" s="26">
        <f t="shared" si="122"/>
        <v>0</v>
      </c>
      <c r="O120" s="26">
        <f t="shared" si="122"/>
        <v>0</v>
      </c>
      <c r="P120" s="26">
        <f t="shared" si="122"/>
        <v>0</v>
      </c>
      <c r="Q120" s="26">
        <f t="shared" si="122"/>
        <v>0</v>
      </c>
      <c r="R120" s="28">
        <f t="shared" ref="R120:R121" si="123">AVERAGE(M120:Q120)</f>
        <v>0</v>
      </c>
      <c r="S120" s="26" t="s">
        <v>12</v>
      </c>
      <c r="T120" s="27"/>
      <c r="U120" s="27"/>
      <c r="V120" s="26">
        <f t="shared" ref="V120:Z120" si="124">SUM(V5,V25,V44,V63,V82,V101)</f>
        <v>0</v>
      </c>
      <c r="W120" s="26">
        <f t="shared" si="124"/>
        <v>0</v>
      </c>
      <c r="X120" s="26">
        <f t="shared" si="124"/>
        <v>0</v>
      </c>
      <c r="Y120" s="26">
        <f t="shared" si="124"/>
        <v>0</v>
      </c>
      <c r="Z120" s="26">
        <f t="shared" si="124"/>
        <v>0</v>
      </c>
      <c r="AA120" s="28">
        <f t="shared" ref="AA120:AA121" si="125">AVERAGE(V120:Z120)</f>
        <v>0</v>
      </c>
      <c r="AB120" s="26" t="s">
        <v>12</v>
      </c>
      <c r="AC120" s="27"/>
      <c r="AD120" s="27"/>
      <c r="AE120" s="26">
        <f t="shared" ref="AE120:AI120" si="126">SUM(AE5,AE25,AE44,AE63,AE82,AE101)</f>
        <v>0</v>
      </c>
      <c r="AF120" s="26">
        <f t="shared" si="126"/>
        <v>0</v>
      </c>
      <c r="AG120" s="26">
        <f t="shared" si="126"/>
        <v>67</v>
      </c>
      <c r="AH120" s="26">
        <f t="shared" si="126"/>
        <v>58</v>
      </c>
      <c r="AI120" s="26">
        <f t="shared" si="126"/>
        <v>35</v>
      </c>
      <c r="AJ120" s="28">
        <f t="shared" ref="AJ120:AJ121" si="127">AVERAGE(AE120:AI120)</f>
        <v>32</v>
      </c>
      <c r="AK120" s="26" t="s">
        <v>12</v>
      </c>
      <c r="AL120" s="27"/>
      <c r="AM120" s="27"/>
      <c r="AN120" s="26">
        <f t="shared" ref="AN120:AR120" si="128">SUM(AN5,AN25,AN44,AN63,AN82,AN101)</f>
        <v>61</v>
      </c>
      <c r="AO120" s="26">
        <f t="shared" si="128"/>
        <v>68</v>
      </c>
      <c r="AP120" s="26">
        <f t="shared" si="128"/>
        <v>17</v>
      </c>
      <c r="AQ120" s="26">
        <f t="shared" si="128"/>
        <v>54</v>
      </c>
      <c r="AR120" s="26">
        <f t="shared" si="128"/>
        <v>50</v>
      </c>
      <c r="AS120" s="28">
        <f t="shared" ref="AS120:AS121" si="129">AVERAGE(AN120:AR120)</f>
        <v>50</v>
      </c>
    </row>
    <row r="121" spans="1:45" ht="12.75">
      <c r="A121" s="26" t="s">
        <v>19</v>
      </c>
      <c r="B121" s="27"/>
      <c r="C121" s="27"/>
      <c r="D121" s="26">
        <f t="shared" ref="D121:H121" si="130">SUM(D6,D26,D45,D64,D83,D102)</f>
        <v>0</v>
      </c>
      <c r="E121" s="26">
        <f t="shared" si="130"/>
        <v>0</v>
      </c>
      <c r="F121" s="26">
        <f t="shared" si="130"/>
        <v>0</v>
      </c>
      <c r="G121" s="26">
        <f t="shared" si="130"/>
        <v>0</v>
      </c>
      <c r="H121" s="26">
        <f t="shared" si="130"/>
        <v>0</v>
      </c>
      <c r="I121" s="28">
        <f t="shared" si="121"/>
        <v>0</v>
      </c>
      <c r="J121" s="26" t="s">
        <v>19</v>
      </c>
      <c r="K121" s="27"/>
      <c r="L121" s="27"/>
      <c r="M121" s="26">
        <f t="shared" ref="M121:Q121" si="131">SUM(M6,M26,M45,M64,M83,M102)</f>
        <v>0</v>
      </c>
      <c r="N121" s="26">
        <f t="shared" si="131"/>
        <v>0</v>
      </c>
      <c r="O121" s="26">
        <f t="shared" si="131"/>
        <v>0</v>
      </c>
      <c r="P121" s="26">
        <f t="shared" si="131"/>
        <v>0</v>
      </c>
      <c r="Q121" s="26">
        <f t="shared" si="131"/>
        <v>0</v>
      </c>
      <c r="R121" s="28">
        <f t="shared" si="123"/>
        <v>0</v>
      </c>
      <c r="S121" s="26" t="s">
        <v>19</v>
      </c>
      <c r="T121" s="27"/>
      <c r="U121" s="27"/>
      <c r="V121" s="26">
        <f t="shared" ref="V121:Z121" si="132">SUM(V6,V26,V45,V64,V83,V102)</f>
        <v>0</v>
      </c>
      <c r="W121" s="26">
        <f t="shared" si="132"/>
        <v>0</v>
      </c>
      <c r="X121" s="26">
        <f t="shared" si="132"/>
        <v>0</v>
      </c>
      <c r="Y121" s="26">
        <f t="shared" si="132"/>
        <v>0</v>
      </c>
      <c r="Z121" s="26">
        <f t="shared" si="132"/>
        <v>0</v>
      </c>
      <c r="AA121" s="28">
        <f t="shared" si="125"/>
        <v>0</v>
      </c>
      <c r="AB121" s="26" t="s">
        <v>19</v>
      </c>
      <c r="AC121" s="27"/>
      <c r="AD121" s="27"/>
      <c r="AE121" s="26">
        <f t="shared" ref="AE121:AI121" si="133">SUM(AE6,AE26,AE45,AE64,AE83,AE102)</f>
        <v>0</v>
      </c>
      <c r="AF121" s="26">
        <f t="shared" si="133"/>
        <v>0</v>
      </c>
      <c r="AG121" s="26">
        <f t="shared" si="133"/>
        <v>71</v>
      </c>
      <c r="AH121" s="26">
        <f t="shared" si="133"/>
        <v>46</v>
      </c>
      <c r="AI121" s="26">
        <f t="shared" si="133"/>
        <v>70</v>
      </c>
      <c r="AJ121" s="28">
        <f t="shared" si="127"/>
        <v>37.4</v>
      </c>
      <c r="AK121" s="26" t="s">
        <v>19</v>
      </c>
      <c r="AL121" s="27"/>
      <c r="AM121" s="27"/>
      <c r="AN121" s="26">
        <f t="shared" ref="AN121:AR121" si="134">SUM(AN6,AN26,AN45,AN64,AN83,AN102)</f>
        <v>71</v>
      </c>
      <c r="AO121" s="26">
        <f t="shared" si="134"/>
        <v>65</v>
      </c>
      <c r="AP121" s="26">
        <f t="shared" si="134"/>
        <v>67</v>
      </c>
      <c r="AQ121" s="26">
        <f t="shared" si="134"/>
        <v>57</v>
      </c>
      <c r="AR121" s="26">
        <f t="shared" si="134"/>
        <v>56</v>
      </c>
      <c r="AS121" s="28">
        <f t="shared" si="129"/>
        <v>63.2</v>
      </c>
    </row>
    <row r="122" spans="1:45" ht="12.75">
      <c r="A122" s="26" t="s">
        <v>20</v>
      </c>
      <c r="B122" s="26">
        <f t="shared" ref="B122:B132" si="135">SUM(B7,B27,B46,B65,B84,B103)</f>
        <v>0</v>
      </c>
      <c r="C122" s="27"/>
      <c r="D122" s="26">
        <f t="shared" ref="D122:H122" si="136">SUM(D7,D27,D46,D65,D84,D103)</f>
        <v>0</v>
      </c>
      <c r="E122" s="26">
        <f t="shared" si="136"/>
        <v>0</v>
      </c>
      <c r="F122" s="26">
        <f t="shared" si="136"/>
        <v>0</v>
      </c>
      <c r="G122" s="26">
        <f t="shared" si="136"/>
        <v>0</v>
      </c>
      <c r="H122" s="26">
        <f t="shared" si="136"/>
        <v>0</v>
      </c>
      <c r="I122" s="28">
        <f>AVERAGE(B122,D122:H122)</f>
        <v>0</v>
      </c>
      <c r="J122" s="26" t="s">
        <v>20</v>
      </c>
      <c r="K122" s="26">
        <f t="shared" ref="K122:K132" si="137">SUM(K7,K27,K46,K65,K84,K103)</f>
        <v>0</v>
      </c>
      <c r="L122" s="27"/>
      <c r="M122" s="26">
        <f t="shared" ref="M122:Q122" si="138">SUM(M7,M27,M46,M65,M84,M103)</f>
        <v>0</v>
      </c>
      <c r="N122" s="26">
        <f t="shared" si="138"/>
        <v>0</v>
      </c>
      <c r="O122" s="26">
        <f t="shared" si="138"/>
        <v>0</v>
      </c>
      <c r="P122" s="26">
        <f t="shared" si="138"/>
        <v>0</v>
      </c>
      <c r="Q122" s="26">
        <f t="shared" si="138"/>
        <v>0</v>
      </c>
      <c r="R122" s="28">
        <f>AVERAGE(K122,M122:Q122)</f>
        <v>0</v>
      </c>
      <c r="S122" s="26" t="s">
        <v>20</v>
      </c>
      <c r="T122" s="26">
        <f t="shared" ref="T122:T132" si="139">SUM(T7,T27,T46,T65,T84,T103)</f>
        <v>0</v>
      </c>
      <c r="U122" s="27"/>
      <c r="V122" s="26">
        <f t="shared" ref="V122:Z122" si="140">SUM(V7,V27,V46,V65,V84,V103)</f>
        <v>0</v>
      </c>
      <c r="W122" s="26">
        <f t="shared" si="140"/>
        <v>0</v>
      </c>
      <c r="X122" s="26">
        <f t="shared" si="140"/>
        <v>0</v>
      </c>
      <c r="Y122" s="26">
        <f t="shared" si="140"/>
        <v>0</v>
      </c>
      <c r="Z122" s="26">
        <f t="shared" si="140"/>
        <v>0</v>
      </c>
      <c r="AA122" s="28">
        <f>AVERAGE(T122,V122:Z122)</f>
        <v>0</v>
      </c>
      <c r="AB122" s="26" t="s">
        <v>20</v>
      </c>
      <c r="AC122" s="26">
        <f t="shared" ref="AC122:AC132" si="141">SUM(AC7,AC27,AC46,AC65,AC84,AC103)</f>
        <v>0</v>
      </c>
      <c r="AD122" s="27"/>
      <c r="AE122" s="26">
        <f t="shared" ref="AE122:AI122" si="142">SUM(AE7,AE27,AE46,AE65,AE84,AE103)</f>
        <v>0</v>
      </c>
      <c r="AF122" s="26">
        <f t="shared" si="142"/>
        <v>0</v>
      </c>
      <c r="AG122" s="26">
        <f t="shared" si="142"/>
        <v>65</v>
      </c>
      <c r="AH122" s="26">
        <f t="shared" si="142"/>
        <v>51</v>
      </c>
      <c r="AI122" s="26">
        <f t="shared" si="142"/>
        <v>79</v>
      </c>
      <c r="AJ122" s="28">
        <f>AVERAGE(AC122,AE122:AI122)</f>
        <v>32.5</v>
      </c>
      <c r="AK122" s="26" t="s">
        <v>20</v>
      </c>
      <c r="AL122" s="26">
        <f t="shared" ref="AL122:AL132" si="143">SUM(AL7,AL27,AL46,AL65,AL84,AL103)</f>
        <v>77</v>
      </c>
      <c r="AM122" s="27"/>
      <c r="AN122" s="26">
        <f t="shared" ref="AN122:AR122" si="144">SUM(AN7,AN27,AN46,AN65,AN84,AN103)</f>
        <v>81</v>
      </c>
      <c r="AO122" s="26">
        <f t="shared" si="144"/>
        <v>79</v>
      </c>
      <c r="AP122" s="26">
        <f t="shared" si="144"/>
        <v>82</v>
      </c>
      <c r="AQ122" s="26">
        <f t="shared" si="144"/>
        <v>69</v>
      </c>
      <c r="AR122" s="26">
        <f t="shared" si="144"/>
        <v>62</v>
      </c>
      <c r="AS122" s="28">
        <f>AVERAGE(AL122,AN122:AR122)</f>
        <v>75</v>
      </c>
    </row>
    <row r="123" spans="1:45" ht="12.75">
      <c r="A123" s="26" t="s">
        <v>21</v>
      </c>
      <c r="B123" s="26">
        <f t="shared" si="135"/>
        <v>0</v>
      </c>
      <c r="C123" s="26">
        <f t="shared" ref="C123:H123" si="145">SUM(C8,C28,C47,C66,C85,C104)</f>
        <v>0</v>
      </c>
      <c r="D123" s="26">
        <f t="shared" si="145"/>
        <v>0</v>
      </c>
      <c r="E123" s="26">
        <f t="shared" si="145"/>
        <v>0</v>
      </c>
      <c r="F123" s="26">
        <f t="shared" si="145"/>
        <v>0</v>
      </c>
      <c r="G123" s="26">
        <f t="shared" si="145"/>
        <v>0</v>
      </c>
      <c r="H123" s="26">
        <f t="shared" si="145"/>
        <v>0</v>
      </c>
      <c r="I123" s="28">
        <f t="shared" ref="I123:I131" si="146">AVERAGE(B123:H123)</f>
        <v>0</v>
      </c>
      <c r="J123" s="26" t="s">
        <v>21</v>
      </c>
      <c r="K123" s="26">
        <f t="shared" si="137"/>
        <v>0</v>
      </c>
      <c r="L123" s="26">
        <f t="shared" ref="L123:Q123" si="147">SUM(L8,L28,L47,L66,L85,L104)</f>
        <v>0</v>
      </c>
      <c r="M123" s="26">
        <f t="shared" si="147"/>
        <v>0</v>
      </c>
      <c r="N123" s="26">
        <f t="shared" si="147"/>
        <v>0</v>
      </c>
      <c r="O123" s="26">
        <f t="shared" si="147"/>
        <v>0</v>
      </c>
      <c r="P123" s="26">
        <f t="shared" si="147"/>
        <v>0</v>
      </c>
      <c r="Q123" s="26">
        <f t="shared" si="147"/>
        <v>0</v>
      </c>
      <c r="R123" s="28">
        <f t="shared" ref="R123:R131" si="148">AVERAGE(K123:Q123)</f>
        <v>0</v>
      </c>
      <c r="S123" s="26" t="s">
        <v>21</v>
      </c>
      <c r="T123" s="26">
        <f t="shared" si="139"/>
        <v>0</v>
      </c>
      <c r="U123" s="26">
        <f t="shared" ref="U123:Z123" si="149">SUM(U8,U28,U47,U66,U85,U104)</f>
        <v>0</v>
      </c>
      <c r="V123" s="26">
        <f t="shared" si="149"/>
        <v>0</v>
      </c>
      <c r="W123" s="26">
        <f t="shared" si="149"/>
        <v>0</v>
      </c>
      <c r="X123" s="26">
        <f t="shared" si="149"/>
        <v>0</v>
      </c>
      <c r="Y123" s="26">
        <f t="shared" si="149"/>
        <v>0</v>
      </c>
      <c r="Z123" s="26">
        <f t="shared" si="149"/>
        <v>0</v>
      </c>
      <c r="AA123" s="28">
        <f t="shared" ref="AA123:AA131" si="150">AVERAGE(T123:Z123)</f>
        <v>0</v>
      </c>
      <c r="AB123" s="26" t="s">
        <v>21</v>
      </c>
      <c r="AC123" s="26">
        <f t="shared" si="141"/>
        <v>0</v>
      </c>
      <c r="AD123" s="26">
        <f t="shared" ref="AD123:AI123" si="151">SUM(AD8,AD28,AD47,AD66,AD85,AD104)</f>
        <v>0</v>
      </c>
      <c r="AE123" s="26">
        <f t="shared" si="151"/>
        <v>0</v>
      </c>
      <c r="AF123" s="26">
        <f t="shared" si="151"/>
        <v>73</v>
      </c>
      <c r="AG123" s="26">
        <f t="shared" si="151"/>
        <v>80</v>
      </c>
      <c r="AH123" s="26">
        <f t="shared" si="151"/>
        <v>54</v>
      </c>
      <c r="AI123" s="26">
        <f t="shared" si="151"/>
        <v>0</v>
      </c>
      <c r="AJ123" s="28">
        <f t="shared" ref="AJ123:AJ131" si="152">AVERAGE(AC123:AI123)</f>
        <v>29.571428571428573</v>
      </c>
      <c r="AK123" s="26" t="s">
        <v>21</v>
      </c>
      <c r="AL123" s="26">
        <f t="shared" si="143"/>
        <v>62</v>
      </c>
      <c r="AM123" s="26">
        <f t="shared" ref="AM123:AR123" si="153">SUM(AM8,AM28,AM47,AM66,AM85,AM104)</f>
        <v>66</v>
      </c>
      <c r="AN123" s="26">
        <f t="shared" si="153"/>
        <v>84</v>
      </c>
      <c r="AO123" s="26">
        <f t="shared" si="153"/>
        <v>106</v>
      </c>
      <c r="AP123" s="26">
        <f t="shared" si="153"/>
        <v>115</v>
      </c>
      <c r="AQ123" s="26">
        <f t="shared" si="153"/>
        <v>73</v>
      </c>
      <c r="AR123" s="26">
        <f t="shared" si="153"/>
        <v>74</v>
      </c>
      <c r="AS123" s="28">
        <f t="shared" ref="AS123:AS131" si="154">AVERAGE(AL123:AR123)</f>
        <v>82.857142857142861</v>
      </c>
    </row>
    <row r="124" spans="1:45" ht="12.75">
      <c r="A124" s="26" t="s">
        <v>22</v>
      </c>
      <c r="B124" s="26">
        <f t="shared" si="135"/>
        <v>0</v>
      </c>
      <c r="C124" s="26">
        <f t="shared" ref="C124:H124" si="155">SUM(C9,C29,C48,C67,C86,C105)</f>
        <v>0</v>
      </c>
      <c r="D124" s="26">
        <f t="shared" si="155"/>
        <v>0</v>
      </c>
      <c r="E124" s="26">
        <f t="shared" si="155"/>
        <v>0</v>
      </c>
      <c r="F124" s="26">
        <f t="shared" si="155"/>
        <v>0</v>
      </c>
      <c r="G124" s="26">
        <f t="shared" si="155"/>
        <v>0</v>
      </c>
      <c r="H124" s="26">
        <f t="shared" si="155"/>
        <v>0</v>
      </c>
      <c r="I124" s="28">
        <f t="shared" si="146"/>
        <v>0</v>
      </c>
      <c r="J124" s="26" t="s">
        <v>22</v>
      </c>
      <c r="K124" s="26">
        <f t="shared" si="137"/>
        <v>0</v>
      </c>
      <c r="L124" s="26">
        <f t="shared" ref="L124:Q124" si="156">SUM(L9,L29,L48,L67,L86,L105)</f>
        <v>0</v>
      </c>
      <c r="M124" s="26">
        <f t="shared" si="156"/>
        <v>0</v>
      </c>
      <c r="N124" s="26">
        <f t="shared" si="156"/>
        <v>0</v>
      </c>
      <c r="O124" s="26">
        <f t="shared" si="156"/>
        <v>0</v>
      </c>
      <c r="P124" s="26">
        <f t="shared" si="156"/>
        <v>0</v>
      </c>
      <c r="Q124" s="26">
        <f t="shared" si="156"/>
        <v>0</v>
      </c>
      <c r="R124" s="28">
        <f t="shared" si="148"/>
        <v>0</v>
      </c>
      <c r="S124" s="26" t="s">
        <v>22</v>
      </c>
      <c r="T124" s="26">
        <f t="shared" si="139"/>
        <v>0</v>
      </c>
      <c r="U124" s="26">
        <f t="shared" ref="U124:Z124" si="157">SUM(U9,U29,U48,U67,U86,U105)</f>
        <v>0</v>
      </c>
      <c r="V124" s="26">
        <f t="shared" si="157"/>
        <v>0</v>
      </c>
      <c r="W124" s="26">
        <f t="shared" si="157"/>
        <v>0</v>
      </c>
      <c r="X124" s="26">
        <f t="shared" si="157"/>
        <v>0</v>
      </c>
      <c r="Y124" s="26">
        <f t="shared" si="157"/>
        <v>0</v>
      </c>
      <c r="Z124" s="26">
        <f t="shared" si="157"/>
        <v>0</v>
      </c>
      <c r="AA124" s="28">
        <f t="shared" si="150"/>
        <v>0</v>
      </c>
      <c r="AB124" s="26" t="s">
        <v>22</v>
      </c>
      <c r="AC124" s="26">
        <f t="shared" si="141"/>
        <v>0</v>
      </c>
      <c r="AD124" s="26">
        <f t="shared" ref="AD124:AI124" si="158">SUM(AD9,AD29,AD48,AD67,AD86,AD105)</f>
        <v>0</v>
      </c>
      <c r="AE124" s="26">
        <f t="shared" si="158"/>
        <v>0</v>
      </c>
      <c r="AF124" s="26">
        <f t="shared" si="158"/>
        <v>84</v>
      </c>
      <c r="AG124" s="26">
        <f t="shared" si="158"/>
        <v>110</v>
      </c>
      <c r="AH124" s="26">
        <f t="shared" si="158"/>
        <v>108</v>
      </c>
      <c r="AI124" s="26">
        <f t="shared" si="158"/>
        <v>145</v>
      </c>
      <c r="AJ124" s="28">
        <f t="shared" si="152"/>
        <v>63.857142857142854</v>
      </c>
      <c r="AK124" s="26" t="s">
        <v>22</v>
      </c>
      <c r="AL124" s="26">
        <f t="shared" si="143"/>
        <v>81</v>
      </c>
      <c r="AM124" s="26">
        <f t="shared" ref="AM124:AR124" si="159">SUM(AM9,AM29,AM48,AM67,AM86,AM105)</f>
        <v>96</v>
      </c>
      <c r="AN124" s="26">
        <f t="shared" si="159"/>
        <v>116</v>
      </c>
      <c r="AO124" s="26">
        <f t="shared" si="159"/>
        <v>128</v>
      </c>
      <c r="AP124" s="26">
        <f t="shared" si="159"/>
        <v>151</v>
      </c>
      <c r="AQ124" s="26">
        <f t="shared" si="159"/>
        <v>108</v>
      </c>
      <c r="AR124" s="26">
        <f t="shared" si="159"/>
        <v>91</v>
      </c>
      <c r="AS124" s="28">
        <f t="shared" si="154"/>
        <v>110.14285714285714</v>
      </c>
    </row>
    <row r="125" spans="1:45" ht="12.75">
      <c r="A125" s="26" t="s">
        <v>23</v>
      </c>
      <c r="B125" s="26">
        <f t="shared" si="135"/>
        <v>0</v>
      </c>
      <c r="C125" s="26">
        <f t="shared" ref="C125:H125" si="160">SUM(C10,C30,C49,C68,C87,C106)</f>
        <v>0</v>
      </c>
      <c r="D125" s="26">
        <f t="shared" si="160"/>
        <v>0</v>
      </c>
      <c r="E125" s="26">
        <f t="shared" si="160"/>
        <v>0</v>
      </c>
      <c r="F125" s="26">
        <f t="shared" si="160"/>
        <v>0</v>
      </c>
      <c r="G125" s="26">
        <f t="shared" si="160"/>
        <v>0</v>
      </c>
      <c r="H125" s="26">
        <f t="shared" si="160"/>
        <v>0</v>
      </c>
      <c r="I125" s="28">
        <f t="shared" si="146"/>
        <v>0</v>
      </c>
      <c r="J125" s="26" t="s">
        <v>23</v>
      </c>
      <c r="K125" s="26">
        <f t="shared" si="137"/>
        <v>0</v>
      </c>
      <c r="L125" s="26">
        <f t="shared" ref="L125:Q125" si="161">SUM(L10,L30,L49,L68,L87,L106)</f>
        <v>0</v>
      </c>
      <c r="M125" s="26">
        <f t="shared" si="161"/>
        <v>0</v>
      </c>
      <c r="N125" s="26">
        <f t="shared" si="161"/>
        <v>0</v>
      </c>
      <c r="O125" s="26">
        <f t="shared" si="161"/>
        <v>0</v>
      </c>
      <c r="P125" s="26">
        <f t="shared" si="161"/>
        <v>0</v>
      </c>
      <c r="Q125" s="26">
        <f t="shared" si="161"/>
        <v>0</v>
      </c>
      <c r="R125" s="28">
        <f t="shared" si="148"/>
        <v>0</v>
      </c>
      <c r="S125" s="26" t="s">
        <v>23</v>
      </c>
      <c r="T125" s="26">
        <f t="shared" si="139"/>
        <v>0</v>
      </c>
      <c r="U125" s="26">
        <f t="shared" ref="U125:Z125" si="162">SUM(U10,U30,U49,U68,U87,U106)</f>
        <v>0</v>
      </c>
      <c r="V125" s="26">
        <f t="shared" si="162"/>
        <v>0</v>
      </c>
      <c r="W125" s="26">
        <f t="shared" si="162"/>
        <v>0</v>
      </c>
      <c r="X125" s="26">
        <f t="shared" si="162"/>
        <v>0</v>
      </c>
      <c r="Y125" s="26">
        <f t="shared" si="162"/>
        <v>0</v>
      </c>
      <c r="Z125" s="26">
        <f t="shared" si="162"/>
        <v>0</v>
      </c>
      <c r="AA125" s="28">
        <f t="shared" si="150"/>
        <v>0</v>
      </c>
      <c r="AB125" s="26" t="s">
        <v>23</v>
      </c>
      <c r="AC125" s="26">
        <f t="shared" si="141"/>
        <v>0</v>
      </c>
      <c r="AD125" s="26">
        <f t="shared" ref="AD125:AI125" si="163">SUM(AD10,AD30,AD49,AD68,AD87,AD106)</f>
        <v>0</v>
      </c>
      <c r="AE125" s="26">
        <f t="shared" si="163"/>
        <v>0</v>
      </c>
      <c r="AF125" s="26">
        <f t="shared" si="163"/>
        <v>0</v>
      </c>
      <c r="AG125" s="26">
        <f t="shared" si="163"/>
        <v>131</v>
      </c>
      <c r="AH125" s="26">
        <f t="shared" si="163"/>
        <v>99</v>
      </c>
      <c r="AI125" s="26">
        <f t="shared" si="163"/>
        <v>0</v>
      </c>
      <c r="AJ125" s="28">
        <f t="shared" si="152"/>
        <v>32.857142857142854</v>
      </c>
      <c r="AK125" s="26" t="s">
        <v>23</v>
      </c>
      <c r="AL125" s="26">
        <f t="shared" si="143"/>
        <v>117</v>
      </c>
      <c r="AM125" s="26">
        <f t="shared" ref="AM125:AR125" si="164">SUM(AM10,AM30,AM49,AM68,AM87,AM106)</f>
        <v>114</v>
      </c>
      <c r="AN125" s="26">
        <f t="shared" si="164"/>
        <v>106</v>
      </c>
      <c r="AO125" s="26">
        <f t="shared" si="164"/>
        <v>109</v>
      </c>
      <c r="AP125" s="26">
        <f t="shared" si="164"/>
        <v>127</v>
      </c>
      <c r="AQ125" s="26">
        <f t="shared" si="164"/>
        <v>126</v>
      </c>
      <c r="AR125" s="26">
        <f t="shared" si="164"/>
        <v>104</v>
      </c>
      <c r="AS125" s="28">
        <f t="shared" si="154"/>
        <v>114.71428571428571</v>
      </c>
    </row>
    <row r="126" spans="1:45" ht="12.75">
      <c r="A126" s="26" t="s">
        <v>24</v>
      </c>
      <c r="B126" s="26">
        <f t="shared" si="135"/>
        <v>0</v>
      </c>
      <c r="C126" s="26">
        <f t="shared" ref="C126:H126" si="165">SUM(C11,C31,C50,C69,C88,C107)</f>
        <v>0</v>
      </c>
      <c r="D126" s="26">
        <f t="shared" si="165"/>
        <v>0</v>
      </c>
      <c r="E126" s="26">
        <f t="shared" si="165"/>
        <v>0</v>
      </c>
      <c r="F126" s="26">
        <f t="shared" si="165"/>
        <v>0</v>
      </c>
      <c r="G126" s="26">
        <f t="shared" si="165"/>
        <v>0</v>
      </c>
      <c r="H126" s="26">
        <f t="shared" si="165"/>
        <v>0</v>
      </c>
      <c r="I126" s="28">
        <f t="shared" si="146"/>
        <v>0</v>
      </c>
      <c r="J126" s="26" t="s">
        <v>24</v>
      </c>
      <c r="K126" s="26">
        <f t="shared" si="137"/>
        <v>0</v>
      </c>
      <c r="L126" s="26">
        <f t="shared" ref="L126:Q126" si="166">SUM(L11,L31,L50,L69,L88,L107)</f>
        <v>0</v>
      </c>
      <c r="M126" s="26">
        <f t="shared" si="166"/>
        <v>0</v>
      </c>
      <c r="N126" s="26">
        <f t="shared" si="166"/>
        <v>0</v>
      </c>
      <c r="O126" s="26">
        <f t="shared" si="166"/>
        <v>0</v>
      </c>
      <c r="P126" s="26">
        <f t="shared" si="166"/>
        <v>0</v>
      </c>
      <c r="Q126" s="26">
        <f t="shared" si="166"/>
        <v>0</v>
      </c>
      <c r="R126" s="28">
        <f t="shared" si="148"/>
        <v>0</v>
      </c>
      <c r="S126" s="26" t="s">
        <v>24</v>
      </c>
      <c r="T126" s="26">
        <f t="shared" si="139"/>
        <v>0</v>
      </c>
      <c r="U126" s="26">
        <f t="shared" ref="U126:Z126" si="167">SUM(U11,U31,U50,U69,U88,U107)</f>
        <v>0</v>
      </c>
      <c r="V126" s="26">
        <f t="shared" si="167"/>
        <v>0</v>
      </c>
      <c r="W126" s="26">
        <f t="shared" si="167"/>
        <v>0</v>
      </c>
      <c r="X126" s="26">
        <f t="shared" si="167"/>
        <v>0</v>
      </c>
      <c r="Y126" s="26">
        <f t="shared" si="167"/>
        <v>0</v>
      </c>
      <c r="Z126" s="26">
        <f t="shared" si="167"/>
        <v>0</v>
      </c>
      <c r="AA126" s="28">
        <f t="shared" si="150"/>
        <v>0</v>
      </c>
      <c r="AB126" s="26" t="s">
        <v>24</v>
      </c>
      <c r="AC126" s="26">
        <f t="shared" si="141"/>
        <v>0</v>
      </c>
      <c r="AD126" s="26">
        <f t="shared" ref="AD126:AI126" si="168">SUM(AD11,AD31,AD50,AD69,AD88,AD107)</f>
        <v>0</v>
      </c>
      <c r="AE126" s="26">
        <f t="shared" si="168"/>
        <v>0</v>
      </c>
      <c r="AF126" s="26">
        <f t="shared" si="168"/>
        <v>0</v>
      </c>
      <c r="AG126" s="26">
        <f t="shared" si="168"/>
        <v>112</v>
      </c>
      <c r="AH126" s="26">
        <f t="shared" si="168"/>
        <v>71</v>
      </c>
      <c r="AI126" s="26">
        <f t="shared" si="168"/>
        <v>0</v>
      </c>
      <c r="AJ126" s="28">
        <f t="shared" si="152"/>
        <v>26.142857142857142</v>
      </c>
      <c r="AK126" s="26" t="s">
        <v>24</v>
      </c>
      <c r="AL126" s="26">
        <f t="shared" si="143"/>
        <v>125</v>
      </c>
      <c r="AM126" s="26">
        <f t="shared" ref="AM126:AR126" si="169">SUM(AM11,AM31,AM50,AM69,AM88,AM107)</f>
        <v>105</v>
      </c>
      <c r="AN126" s="26">
        <f t="shared" si="169"/>
        <v>100</v>
      </c>
      <c r="AO126" s="26">
        <f t="shared" si="169"/>
        <v>105</v>
      </c>
      <c r="AP126" s="26">
        <f t="shared" si="169"/>
        <v>114</v>
      </c>
      <c r="AQ126" s="26">
        <f t="shared" si="169"/>
        <v>84</v>
      </c>
      <c r="AR126" s="26">
        <f t="shared" si="169"/>
        <v>111</v>
      </c>
      <c r="AS126" s="28">
        <f t="shared" si="154"/>
        <v>106.28571428571429</v>
      </c>
    </row>
    <row r="127" spans="1:45" ht="12.75">
      <c r="A127" s="26" t="s">
        <v>25</v>
      </c>
      <c r="B127" s="26">
        <f t="shared" si="135"/>
        <v>0</v>
      </c>
      <c r="C127" s="26">
        <f t="shared" ref="C127:H127" si="170">SUM(C12,C32,C51,C70,C89,C108)</f>
        <v>0</v>
      </c>
      <c r="D127" s="26">
        <f t="shared" si="170"/>
        <v>0</v>
      </c>
      <c r="E127" s="26">
        <f t="shared" si="170"/>
        <v>0</v>
      </c>
      <c r="F127" s="26">
        <f t="shared" si="170"/>
        <v>0</v>
      </c>
      <c r="G127" s="26">
        <f t="shared" si="170"/>
        <v>0</v>
      </c>
      <c r="H127" s="26">
        <f t="shared" si="170"/>
        <v>0</v>
      </c>
      <c r="I127" s="28">
        <f t="shared" si="146"/>
        <v>0</v>
      </c>
      <c r="J127" s="26" t="s">
        <v>25</v>
      </c>
      <c r="K127" s="26">
        <f t="shared" si="137"/>
        <v>0</v>
      </c>
      <c r="L127" s="26">
        <f t="shared" ref="L127:Q127" si="171">SUM(L12,L32,L51,L70,L89,L108)</f>
        <v>0</v>
      </c>
      <c r="M127" s="26">
        <f t="shared" si="171"/>
        <v>0</v>
      </c>
      <c r="N127" s="26">
        <f t="shared" si="171"/>
        <v>0</v>
      </c>
      <c r="O127" s="26">
        <f t="shared" si="171"/>
        <v>0</v>
      </c>
      <c r="P127" s="26">
        <f t="shared" si="171"/>
        <v>0</v>
      </c>
      <c r="Q127" s="26">
        <f t="shared" si="171"/>
        <v>0</v>
      </c>
      <c r="R127" s="28">
        <f t="shared" si="148"/>
        <v>0</v>
      </c>
      <c r="S127" s="26" t="s">
        <v>25</v>
      </c>
      <c r="T127" s="26">
        <f t="shared" si="139"/>
        <v>0</v>
      </c>
      <c r="U127" s="26">
        <f t="shared" ref="U127:Z127" si="172">SUM(U12,U32,U51,U70,U89,U108)</f>
        <v>0</v>
      </c>
      <c r="V127" s="26">
        <f t="shared" si="172"/>
        <v>0</v>
      </c>
      <c r="W127" s="26">
        <f t="shared" si="172"/>
        <v>0</v>
      </c>
      <c r="X127" s="26">
        <f t="shared" si="172"/>
        <v>0</v>
      </c>
      <c r="Y127" s="26">
        <f t="shared" si="172"/>
        <v>0</v>
      </c>
      <c r="Z127" s="26">
        <f t="shared" si="172"/>
        <v>0</v>
      </c>
      <c r="AA127" s="28">
        <f t="shared" si="150"/>
        <v>0</v>
      </c>
      <c r="AB127" s="26" t="s">
        <v>25</v>
      </c>
      <c r="AC127" s="26">
        <f t="shared" si="141"/>
        <v>0</v>
      </c>
      <c r="AD127" s="26">
        <f t="shared" ref="AD127:AI127" si="173">SUM(AD12,AD32,AD51,AD70,AD89,AD108)</f>
        <v>0</v>
      </c>
      <c r="AE127" s="26">
        <f t="shared" si="173"/>
        <v>0</v>
      </c>
      <c r="AF127" s="26">
        <f t="shared" si="173"/>
        <v>78</v>
      </c>
      <c r="AG127" s="26">
        <f t="shared" si="173"/>
        <v>71</v>
      </c>
      <c r="AH127" s="26">
        <f t="shared" si="173"/>
        <v>84</v>
      </c>
      <c r="AI127" s="26">
        <f t="shared" si="173"/>
        <v>94</v>
      </c>
      <c r="AJ127" s="28">
        <f t="shared" si="152"/>
        <v>46.714285714285715</v>
      </c>
      <c r="AK127" s="26" t="s">
        <v>25</v>
      </c>
      <c r="AL127" s="26">
        <f t="shared" si="143"/>
        <v>115</v>
      </c>
      <c r="AM127" s="26">
        <f t="shared" ref="AM127:AR127" si="174">SUM(AM12,AM32,AM51,AM70,AM89,AM108)</f>
        <v>101</v>
      </c>
      <c r="AN127" s="26">
        <f t="shared" si="174"/>
        <v>157</v>
      </c>
      <c r="AO127" s="26">
        <f t="shared" si="174"/>
        <v>61</v>
      </c>
      <c r="AP127" s="26">
        <f t="shared" si="174"/>
        <v>81</v>
      </c>
      <c r="AQ127" s="26">
        <f t="shared" si="174"/>
        <v>58</v>
      </c>
      <c r="AR127" s="26">
        <f t="shared" si="174"/>
        <v>66</v>
      </c>
      <c r="AS127" s="28">
        <f t="shared" si="154"/>
        <v>91.285714285714292</v>
      </c>
    </row>
    <row r="128" spans="1:45" ht="12.75">
      <c r="A128" s="26" t="s">
        <v>27</v>
      </c>
      <c r="B128" s="26">
        <f t="shared" si="135"/>
        <v>0</v>
      </c>
      <c r="C128" s="26">
        <f t="shared" ref="C128:H128" si="175">SUM(C13,C33,C52,C71,C90,C109)</f>
        <v>0</v>
      </c>
      <c r="D128" s="26">
        <f t="shared" si="175"/>
        <v>0</v>
      </c>
      <c r="E128" s="26">
        <f t="shared" si="175"/>
        <v>0</v>
      </c>
      <c r="F128" s="26">
        <f t="shared" si="175"/>
        <v>0</v>
      </c>
      <c r="G128" s="26">
        <f t="shared" si="175"/>
        <v>0</v>
      </c>
      <c r="H128" s="26">
        <f t="shared" si="175"/>
        <v>0</v>
      </c>
      <c r="I128" s="28">
        <f t="shared" si="146"/>
        <v>0</v>
      </c>
      <c r="J128" s="26" t="s">
        <v>27</v>
      </c>
      <c r="K128" s="26">
        <f t="shared" si="137"/>
        <v>0</v>
      </c>
      <c r="L128" s="26">
        <f t="shared" ref="L128:Q128" si="176">SUM(L13,L33,L52,L71,L90,L109)</f>
        <v>0</v>
      </c>
      <c r="M128" s="26">
        <f t="shared" si="176"/>
        <v>0</v>
      </c>
      <c r="N128" s="26">
        <f t="shared" si="176"/>
        <v>0</v>
      </c>
      <c r="O128" s="26">
        <f t="shared" si="176"/>
        <v>0</v>
      </c>
      <c r="P128" s="26">
        <f t="shared" si="176"/>
        <v>0</v>
      </c>
      <c r="Q128" s="26">
        <f t="shared" si="176"/>
        <v>0</v>
      </c>
      <c r="R128" s="28">
        <f t="shared" si="148"/>
        <v>0</v>
      </c>
      <c r="S128" s="26" t="s">
        <v>27</v>
      </c>
      <c r="T128" s="26">
        <f t="shared" si="139"/>
        <v>0</v>
      </c>
      <c r="U128" s="26">
        <f t="shared" ref="U128:Z128" si="177">SUM(U13,U33,U52,U71,U90,U109)</f>
        <v>0</v>
      </c>
      <c r="V128" s="26">
        <f t="shared" si="177"/>
        <v>0</v>
      </c>
      <c r="W128" s="26">
        <f t="shared" si="177"/>
        <v>0</v>
      </c>
      <c r="X128" s="26">
        <f t="shared" si="177"/>
        <v>0</v>
      </c>
      <c r="Y128" s="26">
        <f t="shared" si="177"/>
        <v>0</v>
      </c>
      <c r="Z128" s="26">
        <f t="shared" si="177"/>
        <v>0</v>
      </c>
      <c r="AA128" s="28">
        <f t="shared" si="150"/>
        <v>0</v>
      </c>
      <c r="AB128" s="26" t="s">
        <v>27</v>
      </c>
      <c r="AC128" s="26">
        <f t="shared" si="141"/>
        <v>0</v>
      </c>
      <c r="AD128" s="26">
        <f t="shared" ref="AD128:AI128" si="178">SUM(AD13,AD33,AD52,AD71,AD90,AD109)</f>
        <v>0</v>
      </c>
      <c r="AE128" s="26">
        <f t="shared" si="178"/>
        <v>0</v>
      </c>
      <c r="AF128" s="26">
        <f t="shared" si="178"/>
        <v>67</v>
      </c>
      <c r="AG128" s="26">
        <f t="shared" si="178"/>
        <v>81</v>
      </c>
      <c r="AH128" s="26">
        <f t="shared" si="178"/>
        <v>66</v>
      </c>
      <c r="AI128" s="26">
        <f t="shared" si="178"/>
        <v>76</v>
      </c>
      <c r="AJ128" s="28">
        <f t="shared" si="152"/>
        <v>41.428571428571431</v>
      </c>
      <c r="AK128" s="26" t="s">
        <v>27</v>
      </c>
      <c r="AL128" s="26">
        <f t="shared" si="143"/>
        <v>135</v>
      </c>
      <c r="AM128" s="26">
        <f t="shared" ref="AM128:AR128" si="179">SUM(AM13,AM33,AM52,AM71,AM90,AM109)</f>
        <v>81</v>
      </c>
      <c r="AN128" s="26">
        <f t="shared" si="179"/>
        <v>89</v>
      </c>
      <c r="AO128" s="26">
        <f t="shared" si="179"/>
        <v>79</v>
      </c>
      <c r="AP128" s="26">
        <f t="shared" si="179"/>
        <v>81</v>
      </c>
      <c r="AQ128" s="26">
        <f t="shared" si="179"/>
        <v>58</v>
      </c>
      <c r="AR128" s="26">
        <f t="shared" si="179"/>
        <v>70</v>
      </c>
      <c r="AS128" s="28">
        <f t="shared" si="154"/>
        <v>84.714285714285708</v>
      </c>
    </row>
    <row r="129" spans="1:45" ht="12.75">
      <c r="A129" s="26" t="s">
        <v>28</v>
      </c>
      <c r="B129" s="26">
        <f t="shared" si="135"/>
        <v>0</v>
      </c>
      <c r="C129" s="26">
        <f t="shared" ref="C129:H129" si="180">SUM(C14,C34,C53,C72,C91,C110)</f>
        <v>0</v>
      </c>
      <c r="D129" s="26">
        <f t="shared" si="180"/>
        <v>0</v>
      </c>
      <c r="E129" s="26">
        <f t="shared" si="180"/>
        <v>0</v>
      </c>
      <c r="F129" s="26">
        <f t="shared" si="180"/>
        <v>0</v>
      </c>
      <c r="G129" s="26">
        <f t="shared" si="180"/>
        <v>0</v>
      </c>
      <c r="H129" s="26">
        <f t="shared" si="180"/>
        <v>0</v>
      </c>
      <c r="I129" s="28">
        <f t="shared" si="146"/>
        <v>0</v>
      </c>
      <c r="J129" s="26" t="s">
        <v>28</v>
      </c>
      <c r="K129" s="26">
        <f t="shared" si="137"/>
        <v>0</v>
      </c>
      <c r="L129" s="26">
        <f t="shared" ref="L129:Q129" si="181">SUM(L14,L34,L53,L72,L91,L110)</f>
        <v>0</v>
      </c>
      <c r="M129" s="26">
        <f t="shared" si="181"/>
        <v>0</v>
      </c>
      <c r="N129" s="26">
        <f t="shared" si="181"/>
        <v>0</v>
      </c>
      <c r="O129" s="26">
        <f t="shared" si="181"/>
        <v>0</v>
      </c>
      <c r="P129" s="26">
        <f t="shared" si="181"/>
        <v>0</v>
      </c>
      <c r="Q129" s="26">
        <f t="shared" si="181"/>
        <v>0</v>
      </c>
      <c r="R129" s="28">
        <f t="shared" si="148"/>
        <v>0</v>
      </c>
      <c r="S129" s="26" t="s">
        <v>28</v>
      </c>
      <c r="T129" s="26">
        <f t="shared" si="139"/>
        <v>0</v>
      </c>
      <c r="U129" s="26">
        <f t="shared" ref="U129:Z129" si="182">SUM(U14,U34,U53,U72,U91,U110)</f>
        <v>0</v>
      </c>
      <c r="V129" s="26">
        <f t="shared" si="182"/>
        <v>0</v>
      </c>
      <c r="W129" s="26">
        <f t="shared" si="182"/>
        <v>0</v>
      </c>
      <c r="X129" s="26">
        <f t="shared" si="182"/>
        <v>0</v>
      </c>
      <c r="Y129" s="26">
        <f t="shared" si="182"/>
        <v>0</v>
      </c>
      <c r="Z129" s="26">
        <f t="shared" si="182"/>
        <v>0</v>
      </c>
      <c r="AA129" s="28">
        <f t="shared" si="150"/>
        <v>0</v>
      </c>
      <c r="AB129" s="26" t="s">
        <v>28</v>
      </c>
      <c r="AC129" s="26">
        <f t="shared" si="141"/>
        <v>0</v>
      </c>
      <c r="AD129" s="26">
        <f t="shared" ref="AD129:AI129" si="183">SUM(AD14,AD34,AD53,AD72,AD91,AD110)</f>
        <v>0</v>
      </c>
      <c r="AE129" s="26">
        <f t="shared" si="183"/>
        <v>0</v>
      </c>
      <c r="AF129" s="26">
        <f t="shared" si="183"/>
        <v>71</v>
      </c>
      <c r="AG129" s="26">
        <f t="shared" si="183"/>
        <v>67</v>
      </c>
      <c r="AH129" s="26">
        <f t="shared" si="183"/>
        <v>83</v>
      </c>
      <c r="AI129" s="26">
        <f t="shared" si="183"/>
        <v>64</v>
      </c>
      <c r="AJ129" s="28">
        <f t="shared" si="152"/>
        <v>40.714285714285715</v>
      </c>
      <c r="AK129" s="26" t="s">
        <v>28</v>
      </c>
      <c r="AL129" s="26">
        <f t="shared" si="143"/>
        <v>118</v>
      </c>
      <c r="AM129" s="26">
        <f t="shared" ref="AM129:AR129" si="184">SUM(AM14,AM34,AM53,AM72,AM91,AM110)</f>
        <v>114</v>
      </c>
      <c r="AN129" s="26">
        <f t="shared" si="184"/>
        <v>97</v>
      </c>
      <c r="AO129" s="26">
        <f t="shared" si="184"/>
        <v>87</v>
      </c>
      <c r="AP129" s="26">
        <f t="shared" si="184"/>
        <v>85</v>
      </c>
      <c r="AQ129" s="26">
        <f t="shared" si="184"/>
        <v>66</v>
      </c>
      <c r="AR129" s="26">
        <f t="shared" si="184"/>
        <v>64</v>
      </c>
      <c r="AS129" s="28">
        <f t="shared" si="154"/>
        <v>90.142857142857139</v>
      </c>
    </row>
    <row r="130" spans="1:45" ht="12.75">
      <c r="A130" s="26" t="s">
        <v>29</v>
      </c>
      <c r="B130" s="26">
        <f t="shared" si="135"/>
        <v>0</v>
      </c>
      <c r="C130" s="26">
        <f t="shared" ref="C130:H130" si="185">SUM(C15,C35,C54,C73,C92,C111)</f>
        <v>0</v>
      </c>
      <c r="D130" s="26">
        <f t="shared" si="185"/>
        <v>0</v>
      </c>
      <c r="E130" s="26">
        <f t="shared" si="185"/>
        <v>0</v>
      </c>
      <c r="F130" s="26">
        <f t="shared" si="185"/>
        <v>0</v>
      </c>
      <c r="G130" s="26">
        <f t="shared" si="185"/>
        <v>0</v>
      </c>
      <c r="H130" s="26">
        <f t="shared" si="185"/>
        <v>0</v>
      </c>
      <c r="I130" s="28">
        <f t="shared" si="146"/>
        <v>0</v>
      </c>
      <c r="J130" s="26" t="s">
        <v>29</v>
      </c>
      <c r="K130" s="26">
        <f t="shared" si="137"/>
        <v>0</v>
      </c>
      <c r="L130" s="26">
        <f t="shared" ref="L130:Q130" si="186">SUM(L15,L35,L54,L73,L92,L111)</f>
        <v>0</v>
      </c>
      <c r="M130" s="26">
        <f t="shared" si="186"/>
        <v>0</v>
      </c>
      <c r="N130" s="26">
        <f t="shared" si="186"/>
        <v>0</v>
      </c>
      <c r="O130" s="26">
        <f t="shared" si="186"/>
        <v>0</v>
      </c>
      <c r="P130" s="26">
        <f t="shared" si="186"/>
        <v>0</v>
      </c>
      <c r="Q130" s="26">
        <f t="shared" si="186"/>
        <v>0</v>
      </c>
      <c r="R130" s="28">
        <f t="shared" si="148"/>
        <v>0</v>
      </c>
      <c r="S130" s="26" t="s">
        <v>29</v>
      </c>
      <c r="T130" s="26">
        <f t="shared" si="139"/>
        <v>0</v>
      </c>
      <c r="U130" s="26">
        <f t="shared" ref="U130:Z130" si="187">SUM(U15,U35,U54,U73,U92,U111)</f>
        <v>0</v>
      </c>
      <c r="V130" s="26">
        <f t="shared" si="187"/>
        <v>0</v>
      </c>
      <c r="W130" s="26">
        <f t="shared" si="187"/>
        <v>0</v>
      </c>
      <c r="X130" s="26">
        <f t="shared" si="187"/>
        <v>0</v>
      </c>
      <c r="Y130" s="26">
        <f t="shared" si="187"/>
        <v>0</v>
      </c>
      <c r="Z130" s="26">
        <f t="shared" si="187"/>
        <v>0</v>
      </c>
      <c r="AA130" s="28">
        <f t="shared" si="150"/>
        <v>0</v>
      </c>
      <c r="AB130" s="26" t="s">
        <v>29</v>
      </c>
      <c r="AC130" s="26">
        <f t="shared" si="141"/>
        <v>0</v>
      </c>
      <c r="AD130" s="26">
        <f t="shared" ref="AD130:AI130" si="188">SUM(AD15,AD35,AD54,AD73,AD92,AD111)</f>
        <v>0</v>
      </c>
      <c r="AE130" s="26">
        <f t="shared" si="188"/>
        <v>0</v>
      </c>
      <c r="AF130" s="26">
        <f t="shared" si="188"/>
        <v>86</v>
      </c>
      <c r="AG130" s="26">
        <f t="shared" si="188"/>
        <v>88</v>
      </c>
      <c r="AH130" s="26">
        <f t="shared" si="188"/>
        <v>60</v>
      </c>
      <c r="AI130" s="26">
        <f t="shared" si="188"/>
        <v>72</v>
      </c>
      <c r="AJ130" s="28">
        <f t="shared" si="152"/>
        <v>43.714285714285715</v>
      </c>
      <c r="AK130" s="26" t="s">
        <v>29</v>
      </c>
      <c r="AL130" s="26">
        <f t="shared" si="143"/>
        <v>76</v>
      </c>
      <c r="AM130" s="26">
        <f t="shared" ref="AM130:AR130" si="189">SUM(AM15,AM35,AM54,AM73,AM92,AM111)</f>
        <v>78</v>
      </c>
      <c r="AN130" s="26">
        <f t="shared" si="189"/>
        <v>107</v>
      </c>
      <c r="AO130" s="26">
        <f t="shared" si="189"/>
        <v>87</v>
      </c>
      <c r="AP130" s="26">
        <f t="shared" si="189"/>
        <v>86</v>
      </c>
      <c r="AQ130" s="26">
        <f t="shared" si="189"/>
        <v>67</v>
      </c>
      <c r="AR130" s="26">
        <f t="shared" si="189"/>
        <v>72</v>
      </c>
      <c r="AS130" s="28">
        <f t="shared" si="154"/>
        <v>81.857142857142861</v>
      </c>
    </row>
    <row r="131" spans="1:45" ht="12.75">
      <c r="A131" s="26" t="s">
        <v>30</v>
      </c>
      <c r="B131" s="26">
        <f t="shared" si="135"/>
        <v>0</v>
      </c>
      <c r="C131" s="26">
        <f t="shared" ref="C131:H131" si="190">SUM(C16,C36,C55,C74,C93,C112)</f>
        <v>0</v>
      </c>
      <c r="D131" s="26">
        <f t="shared" si="190"/>
        <v>0</v>
      </c>
      <c r="E131" s="26">
        <f t="shared" si="190"/>
        <v>0</v>
      </c>
      <c r="F131" s="26">
        <f t="shared" si="190"/>
        <v>0</v>
      </c>
      <c r="G131" s="26">
        <f t="shared" si="190"/>
        <v>0</v>
      </c>
      <c r="H131" s="26">
        <f t="shared" si="190"/>
        <v>0</v>
      </c>
      <c r="I131" s="28">
        <f t="shared" si="146"/>
        <v>0</v>
      </c>
      <c r="J131" s="26" t="s">
        <v>30</v>
      </c>
      <c r="K131" s="26">
        <f t="shared" si="137"/>
        <v>0</v>
      </c>
      <c r="L131" s="26">
        <f t="shared" ref="L131:Q131" si="191">SUM(L16,L36,L55,L74,L93,L112)</f>
        <v>0</v>
      </c>
      <c r="M131" s="26">
        <f t="shared" si="191"/>
        <v>0</v>
      </c>
      <c r="N131" s="26">
        <f t="shared" si="191"/>
        <v>0</v>
      </c>
      <c r="O131" s="26">
        <f t="shared" si="191"/>
        <v>0</v>
      </c>
      <c r="P131" s="26">
        <f t="shared" si="191"/>
        <v>0</v>
      </c>
      <c r="Q131" s="26">
        <f t="shared" si="191"/>
        <v>0</v>
      </c>
      <c r="R131" s="28">
        <f t="shared" si="148"/>
        <v>0</v>
      </c>
      <c r="S131" s="26" t="s">
        <v>30</v>
      </c>
      <c r="T131" s="26">
        <f t="shared" si="139"/>
        <v>0</v>
      </c>
      <c r="U131" s="26">
        <f t="shared" ref="U131:Z131" si="192">SUM(U16,U36,U55,U74,U93,U112)</f>
        <v>0</v>
      </c>
      <c r="V131" s="26">
        <f t="shared" si="192"/>
        <v>0</v>
      </c>
      <c r="W131" s="26">
        <f t="shared" si="192"/>
        <v>0</v>
      </c>
      <c r="X131" s="26">
        <f t="shared" si="192"/>
        <v>0</v>
      </c>
      <c r="Y131" s="26">
        <f t="shared" si="192"/>
        <v>0</v>
      </c>
      <c r="Z131" s="26">
        <f t="shared" si="192"/>
        <v>0</v>
      </c>
      <c r="AA131" s="28">
        <f t="shared" si="150"/>
        <v>0</v>
      </c>
      <c r="AB131" s="26" t="s">
        <v>30</v>
      </c>
      <c r="AC131" s="26">
        <f t="shared" si="141"/>
        <v>0</v>
      </c>
      <c r="AD131" s="26">
        <f t="shared" ref="AD131:AI131" si="193">SUM(AD16,AD36,AD55,AD74,AD93,AD112)</f>
        <v>0</v>
      </c>
      <c r="AE131" s="26">
        <f t="shared" si="193"/>
        <v>0</v>
      </c>
      <c r="AF131" s="26">
        <f t="shared" si="193"/>
        <v>87</v>
      </c>
      <c r="AG131" s="26">
        <f t="shared" si="193"/>
        <v>115</v>
      </c>
      <c r="AH131" s="26">
        <f t="shared" si="193"/>
        <v>77</v>
      </c>
      <c r="AI131" s="26">
        <f t="shared" si="193"/>
        <v>69</v>
      </c>
      <c r="AJ131" s="28">
        <f t="shared" si="152"/>
        <v>49.714285714285715</v>
      </c>
      <c r="AK131" s="26" t="s">
        <v>30</v>
      </c>
      <c r="AL131" s="26">
        <f t="shared" si="143"/>
        <v>54</v>
      </c>
      <c r="AM131" s="26">
        <f t="shared" ref="AM131:AR131" si="194">SUM(AM16,AM36,AM55,AM74,AM93,AM112)</f>
        <v>85</v>
      </c>
      <c r="AN131" s="26">
        <f t="shared" si="194"/>
        <v>107</v>
      </c>
      <c r="AO131" s="26">
        <f t="shared" si="194"/>
        <v>124</v>
      </c>
      <c r="AP131" s="26">
        <f t="shared" si="194"/>
        <v>102</v>
      </c>
      <c r="AQ131" s="26">
        <f t="shared" si="194"/>
        <v>77</v>
      </c>
      <c r="AR131" s="26">
        <f t="shared" si="194"/>
        <v>69</v>
      </c>
      <c r="AS131" s="28">
        <f t="shared" si="154"/>
        <v>88.285714285714292</v>
      </c>
    </row>
    <row r="132" spans="1:45" ht="12.75">
      <c r="A132" s="26" t="s">
        <v>31</v>
      </c>
      <c r="B132" s="26">
        <f t="shared" si="135"/>
        <v>0</v>
      </c>
      <c r="C132" s="27"/>
      <c r="D132" s="26">
        <f t="shared" ref="D132:H132" si="195">SUM(D17,D37,D56,D75,D94,D113)</f>
        <v>0</v>
      </c>
      <c r="E132" s="26">
        <f t="shared" si="195"/>
        <v>0</v>
      </c>
      <c r="F132" s="26">
        <f t="shared" si="195"/>
        <v>0</v>
      </c>
      <c r="G132" s="26">
        <f t="shared" si="195"/>
        <v>0</v>
      </c>
      <c r="H132" s="26">
        <f t="shared" si="195"/>
        <v>0</v>
      </c>
      <c r="I132" s="28">
        <f>AVERAGE(B132,D132:H132)</f>
        <v>0</v>
      </c>
      <c r="J132" s="26" t="s">
        <v>31</v>
      </c>
      <c r="K132" s="26">
        <f t="shared" si="137"/>
        <v>0</v>
      </c>
      <c r="L132" s="27"/>
      <c r="M132" s="26">
        <f t="shared" ref="M132:Q132" si="196">SUM(M17,M37,M56,M75,M94,M113)</f>
        <v>0</v>
      </c>
      <c r="N132" s="26">
        <f t="shared" si="196"/>
        <v>0</v>
      </c>
      <c r="O132" s="26">
        <f t="shared" si="196"/>
        <v>0</v>
      </c>
      <c r="P132" s="26">
        <f t="shared" si="196"/>
        <v>0</v>
      </c>
      <c r="Q132" s="26">
        <f t="shared" si="196"/>
        <v>0</v>
      </c>
      <c r="R132" s="28">
        <f>AVERAGE(K132,M132:Q132)</f>
        <v>0</v>
      </c>
      <c r="S132" s="26" t="s">
        <v>31</v>
      </c>
      <c r="T132" s="26">
        <f t="shared" si="139"/>
        <v>0</v>
      </c>
      <c r="U132" s="27"/>
      <c r="V132" s="26">
        <f t="shared" ref="V132:Z132" si="197">SUM(V17,V37,V56,V75,V94,V113)</f>
        <v>0</v>
      </c>
      <c r="W132" s="26">
        <f t="shared" si="197"/>
        <v>0</v>
      </c>
      <c r="X132" s="26">
        <f t="shared" si="197"/>
        <v>0</v>
      </c>
      <c r="Y132" s="26">
        <f t="shared" si="197"/>
        <v>0</v>
      </c>
      <c r="Z132" s="26">
        <f t="shared" si="197"/>
        <v>0</v>
      </c>
      <c r="AA132" s="28">
        <f>AVERAGE(T132,V132:Z132)</f>
        <v>0</v>
      </c>
      <c r="AB132" s="26" t="s">
        <v>31</v>
      </c>
      <c r="AC132" s="26">
        <f t="shared" si="141"/>
        <v>0</v>
      </c>
      <c r="AD132" s="27"/>
      <c r="AE132" s="26">
        <f t="shared" ref="AE132:AI132" si="198">SUM(AE17,AE37,AE56,AE75,AE94,AE113)</f>
        <v>0</v>
      </c>
      <c r="AF132" s="26">
        <f t="shared" si="198"/>
        <v>113</v>
      </c>
      <c r="AG132" s="26">
        <f t="shared" si="198"/>
        <v>134</v>
      </c>
      <c r="AH132" s="26">
        <f t="shared" si="198"/>
        <v>85</v>
      </c>
      <c r="AI132" s="26">
        <f t="shared" si="198"/>
        <v>72</v>
      </c>
      <c r="AJ132" s="28">
        <f>AVERAGE(AC132,AE132:AI132)</f>
        <v>67.333333333333329</v>
      </c>
      <c r="AK132" s="26" t="s">
        <v>31</v>
      </c>
      <c r="AL132" s="26">
        <f t="shared" si="143"/>
        <v>31</v>
      </c>
      <c r="AM132" s="27"/>
      <c r="AN132" s="26">
        <f t="shared" ref="AN132:AR132" si="199">SUM(AN17,AN37,AN56,AN75,AN94,AN113)</f>
        <v>136</v>
      </c>
      <c r="AO132" s="26">
        <f t="shared" si="199"/>
        <v>129</v>
      </c>
      <c r="AP132" s="26">
        <f t="shared" si="199"/>
        <v>109</v>
      </c>
      <c r="AQ132" s="26">
        <f t="shared" si="199"/>
        <v>70</v>
      </c>
      <c r="AR132" s="26">
        <f t="shared" si="199"/>
        <v>72</v>
      </c>
      <c r="AS132" s="28">
        <f>AVERAGE(AL132,AN132:AR132)</f>
        <v>91.166666666666671</v>
      </c>
    </row>
    <row r="133" spans="1:45" ht="12.75">
      <c r="A133" s="26" t="s">
        <v>32</v>
      </c>
      <c r="B133" s="27"/>
      <c r="C133" s="27"/>
      <c r="D133" s="26">
        <f t="shared" ref="D133:H133" si="200">SUM(D18,D38,D57,D76,D95,D114)</f>
        <v>0</v>
      </c>
      <c r="E133" s="26">
        <f t="shared" si="200"/>
        <v>0</v>
      </c>
      <c r="F133" s="26">
        <f t="shared" si="200"/>
        <v>0</v>
      </c>
      <c r="G133" s="26">
        <f t="shared" si="200"/>
        <v>0</v>
      </c>
      <c r="H133" s="26">
        <f t="shared" si="200"/>
        <v>0</v>
      </c>
      <c r="I133" s="28">
        <f t="shared" ref="I133:I135" si="201">AVERAGE(D133:H133)</f>
        <v>0</v>
      </c>
      <c r="J133" s="26" t="s">
        <v>32</v>
      </c>
      <c r="K133" s="27"/>
      <c r="L133" s="27"/>
      <c r="M133" s="26">
        <f t="shared" ref="M133:Q133" si="202">SUM(M18,M38,M57,M76,M95,M114)</f>
        <v>0</v>
      </c>
      <c r="N133" s="26">
        <f t="shared" si="202"/>
        <v>0</v>
      </c>
      <c r="O133" s="26">
        <f t="shared" si="202"/>
        <v>0</v>
      </c>
      <c r="P133" s="26">
        <f t="shared" si="202"/>
        <v>0</v>
      </c>
      <c r="Q133" s="26">
        <f t="shared" si="202"/>
        <v>0</v>
      </c>
      <c r="R133" s="28">
        <f t="shared" ref="R133:R135" si="203">AVERAGE(M133:Q133)</f>
        <v>0</v>
      </c>
      <c r="S133" s="26" t="s">
        <v>32</v>
      </c>
      <c r="T133" s="27"/>
      <c r="U133" s="27"/>
      <c r="V133" s="26">
        <f t="shared" ref="V133:Z133" si="204">SUM(V18,V38,V57,V76,V95,V114)</f>
        <v>0</v>
      </c>
      <c r="W133" s="26">
        <f t="shared" si="204"/>
        <v>0</v>
      </c>
      <c r="X133" s="26">
        <f t="shared" si="204"/>
        <v>0</v>
      </c>
      <c r="Y133" s="26">
        <f t="shared" si="204"/>
        <v>0</v>
      </c>
      <c r="Z133" s="26">
        <f t="shared" si="204"/>
        <v>0</v>
      </c>
      <c r="AA133" s="28">
        <f t="shared" ref="AA133:AA135" si="205">AVERAGE(V133:Z133)</f>
        <v>0</v>
      </c>
      <c r="AB133" s="26" t="s">
        <v>32</v>
      </c>
      <c r="AC133" s="27"/>
      <c r="AD133" s="27"/>
      <c r="AE133" s="26">
        <f t="shared" ref="AE133:AI133" si="206">SUM(AE18,AE38,AE57,AE76,AE95,AE114)</f>
        <v>0</v>
      </c>
      <c r="AF133" s="26">
        <f t="shared" si="206"/>
        <v>126</v>
      </c>
      <c r="AG133" s="26">
        <f t="shared" si="206"/>
        <v>100</v>
      </c>
      <c r="AH133" s="26">
        <f t="shared" si="206"/>
        <v>82</v>
      </c>
      <c r="AI133" s="26">
        <f t="shared" si="206"/>
        <v>87</v>
      </c>
      <c r="AJ133" s="28">
        <f t="shared" ref="AJ133:AJ135" si="207">AVERAGE(AE133:AI133)</f>
        <v>79</v>
      </c>
      <c r="AK133" s="26" t="s">
        <v>32</v>
      </c>
      <c r="AL133" s="27"/>
      <c r="AM133" s="27"/>
      <c r="AN133" s="26">
        <f t="shared" ref="AN133:AR133" si="208">SUM(AN18,AN38,AN57,AN76,AN95,AN114)</f>
        <v>137</v>
      </c>
      <c r="AO133" s="26">
        <f t="shared" si="208"/>
        <v>88</v>
      </c>
      <c r="AP133" s="26">
        <f t="shared" si="208"/>
        <v>132</v>
      </c>
      <c r="AQ133" s="26">
        <f t="shared" si="208"/>
        <v>74</v>
      </c>
      <c r="AR133" s="26">
        <f t="shared" si="208"/>
        <v>87</v>
      </c>
      <c r="AS133" s="28">
        <f t="shared" ref="AS133:AS135" si="209">AVERAGE(AN133:AR133)</f>
        <v>103.6</v>
      </c>
    </row>
    <row r="134" spans="1:45" ht="12.75">
      <c r="A134" s="26" t="s">
        <v>33</v>
      </c>
      <c r="B134" s="27"/>
      <c r="C134" s="27"/>
      <c r="D134" s="26">
        <f t="shared" ref="D134:H134" si="210">SUM(D19,D39,D58,D77,D96,D115)</f>
        <v>0</v>
      </c>
      <c r="E134" s="26">
        <f t="shared" si="210"/>
        <v>0</v>
      </c>
      <c r="F134" s="26">
        <f t="shared" si="210"/>
        <v>0</v>
      </c>
      <c r="G134" s="26">
        <f t="shared" si="210"/>
        <v>0</v>
      </c>
      <c r="H134" s="26">
        <f t="shared" si="210"/>
        <v>0</v>
      </c>
      <c r="I134" s="28">
        <f t="shared" si="201"/>
        <v>0</v>
      </c>
      <c r="J134" s="26" t="s">
        <v>33</v>
      </c>
      <c r="K134" s="27"/>
      <c r="L134" s="27"/>
      <c r="M134" s="26">
        <f t="shared" ref="M134:Q134" si="211">SUM(M19,M39,M58,M77,M96,M115)</f>
        <v>0</v>
      </c>
      <c r="N134" s="26">
        <f t="shared" si="211"/>
        <v>0</v>
      </c>
      <c r="O134" s="26">
        <f t="shared" si="211"/>
        <v>0</v>
      </c>
      <c r="P134" s="26">
        <f t="shared" si="211"/>
        <v>0</v>
      </c>
      <c r="Q134" s="26">
        <f t="shared" si="211"/>
        <v>0</v>
      </c>
      <c r="R134" s="28">
        <f t="shared" si="203"/>
        <v>0</v>
      </c>
      <c r="S134" s="26" t="s">
        <v>33</v>
      </c>
      <c r="T134" s="27"/>
      <c r="U134" s="27"/>
      <c r="V134" s="26">
        <f t="shared" ref="V134:Z134" si="212">SUM(V19,V39,V58,V77,V96,V115)</f>
        <v>0</v>
      </c>
      <c r="W134" s="26">
        <f t="shared" si="212"/>
        <v>0</v>
      </c>
      <c r="X134" s="26">
        <f t="shared" si="212"/>
        <v>0</v>
      </c>
      <c r="Y134" s="26">
        <f t="shared" si="212"/>
        <v>0</v>
      </c>
      <c r="Z134" s="26">
        <f t="shared" si="212"/>
        <v>0</v>
      </c>
      <c r="AA134" s="28">
        <f t="shared" si="205"/>
        <v>0</v>
      </c>
      <c r="AB134" s="26" t="s">
        <v>33</v>
      </c>
      <c r="AC134" s="27"/>
      <c r="AD134" s="27"/>
      <c r="AE134" s="26">
        <f t="shared" ref="AE134:AI134" si="213">SUM(AE19,AE39,AE58,AE77,AE96,AE115)</f>
        <v>0</v>
      </c>
      <c r="AF134" s="26">
        <f t="shared" si="213"/>
        <v>88</v>
      </c>
      <c r="AG134" s="26">
        <f t="shared" si="213"/>
        <v>79</v>
      </c>
      <c r="AH134" s="26">
        <f t="shared" si="213"/>
        <v>91</v>
      </c>
      <c r="AI134" s="26">
        <f t="shared" si="213"/>
        <v>51</v>
      </c>
      <c r="AJ134" s="28">
        <f t="shared" si="207"/>
        <v>61.8</v>
      </c>
      <c r="AK134" s="26" t="s">
        <v>33</v>
      </c>
      <c r="AL134" s="27"/>
      <c r="AM134" s="27"/>
      <c r="AN134" s="26">
        <f t="shared" ref="AN134:AR134" si="214">SUM(AN19,AN39,AN58,AN77,AN96,AN115)</f>
        <v>110</v>
      </c>
      <c r="AO134" s="26">
        <f t="shared" si="214"/>
        <v>97</v>
      </c>
      <c r="AP134" s="26">
        <f t="shared" si="214"/>
        <v>82</v>
      </c>
      <c r="AQ134" s="26">
        <f t="shared" si="214"/>
        <v>62</v>
      </c>
      <c r="AR134" s="26">
        <f t="shared" si="214"/>
        <v>51</v>
      </c>
      <c r="AS134" s="28">
        <f t="shared" si="209"/>
        <v>80.400000000000006</v>
      </c>
    </row>
    <row r="135" spans="1:45" ht="12.75">
      <c r="A135" s="26" t="s">
        <v>34</v>
      </c>
      <c r="B135" s="27"/>
      <c r="C135" s="27"/>
      <c r="D135" s="26">
        <f t="shared" ref="D135:H135" si="215">SUM(D20,D40,D59,D78,D97,D116)</f>
        <v>0</v>
      </c>
      <c r="E135" s="26">
        <f t="shared" si="215"/>
        <v>0</v>
      </c>
      <c r="F135" s="26">
        <f t="shared" si="215"/>
        <v>0</v>
      </c>
      <c r="G135" s="26">
        <f t="shared" si="215"/>
        <v>0</v>
      </c>
      <c r="H135" s="26">
        <f t="shared" si="215"/>
        <v>0</v>
      </c>
      <c r="I135" s="28">
        <f t="shared" si="201"/>
        <v>0</v>
      </c>
      <c r="J135" s="26" t="s">
        <v>34</v>
      </c>
      <c r="K135" s="27"/>
      <c r="L135" s="27"/>
      <c r="M135" s="26">
        <f t="shared" ref="M135:Q135" si="216">SUM(M20,M40,M59,M78,M97,M116)</f>
        <v>0</v>
      </c>
      <c r="N135" s="26">
        <f t="shared" si="216"/>
        <v>0</v>
      </c>
      <c r="O135" s="26">
        <f t="shared" si="216"/>
        <v>0</v>
      </c>
      <c r="P135" s="26">
        <f t="shared" si="216"/>
        <v>0</v>
      </c>
      <c r="Q135" s="26">
        <f t="shared" si="216"/>
        <v>0</v>
      </c>
      <c r="R135" s="28">
        <f t="shared" si="203"/>
        <v>0</v>
      </c>
      <c r="S135" s="26" t="s">
        <v>34</v>
      </c>
      <c r="T135" s="27"/>
      <c r="U135" s="27"/>
      <c r="V135" s="26">
        <f t="shared" ref="V135:Z135" si="217">SUM(V20,V40,V59,V78,V97,V116)</f>
        <v>0</v>
      </c>
      <c r="W135" s="26">
        <f t="shared" si="217"/>
        <v>0</v>
      </c>
      <c r="X135" s="26">
        <f t="shared" si="217"/>
        <v>0</v>
      </c>
      <c r="Y135" s="26">
        <f t="shared" si="217"/>
        <v>0</v>
      </c>
      <c r="Z135" s="26">
        <f t="shared" si="217"/>
        <v>0</v>
      </c>
      <c r="AA135" s="28">
        <f t="shared" si="205"/>
        <v>0</v>
      </c>
      <c r="AB135" s="26" t="s">
        <v>34</v>
      </c>
      <c r="AC135" s="27"/>
      <c r="AD135" s="27"/>
      <c r="AE135" s="26">
        <f t="shared" ref="AE135:AI135" si="218">SUM(AE20,AE40,AE59,AE78,AE97,AE116)</f>
        <v>0</v>
      </c>
      <c r="AF135" s="26">
        <f t="shared" si="218"/>
        <v>44</v>
      </c>
      <c r="AG135" s="26">
        <f t="shared" si="218"/>
        <v>59</v>
      </c>
      <c r="AH135" s="26">
        <f t="shared" si="218"/>
        <v>44</v>
      </c>
      <c r="AI135" s="26">
        <f t="shared" si="218"/>
        <v>35</v>
      </c>
      <c r="AJ135" s="28">
        <f t="shared" si="207"/>
        <v>36.4</v>
      </c>
      <c r="AK135" s="26" t="s">
        <v>34</v>
      </c>
      <c r="AL135" s="27"/>
      <c r="AM135" s="27"/>
      <c r="AN135" s="26">
        <f t="shared" ref="AN135:AR135" si="219">SUM(AN20,AN40,AN59,AN78,AN97,AN116)</f>
        <v>62</v>
      </c>
      <c r="AO135" s="26">
        <f t="shared" si="219"/>
        <v>64</v>
      </c>
      <c r="AP135" s="26">
        <f t="shared" si="219"/>
        <v>36</v>
      </c>
      <c r="AQ135" s="26">
        <f t="shared" si="219"/>
        <v>50</v>
      </c>
      <c r="AR135" s="26">
        <f t="shared" si="219"/>
        <v>31</v>
      </c>
      <c r="AS135" s="28">
        <f t="shared" si="209"/>
        <v>48.6</v>
      </c>
    </row>
    <row r="136" spans="1:45" ht="12.75">
      <c r="A136" s="30" t="s">
        <v>42</v>
      </c>
      <c r="B136" s="8">
        <f t="shared" ref="B136:H136" si="220">SUM(B120:B135)</f>
        <v>0</v>
      </c>
      <c r="C136" s="8">
        <f t="shared" si="220"/>
        <v>0</v>
      </c>
      <c r="D136" s="8">
        <f t="shared" si="220"/>
        <v>0</v>
      </c>
      <c r="E136" s="8">
        <f t="shared" si="220"/>
        <v>0</v>
      </c>
      <c r="F136" s="8">
        <f t="shared" si="220"/>
        <v>0</v>
      </c>
      <c r="G136" s="8">
        <f t="shared" si="220"/>
        <v>0</v>
      </c>
      <c r="H136" s="8">
        <f t="shared" si="220"/>
        <v>0</v>
      </c>
      <c r="I136" s="28">
        <f>AVERAGE(B136:H136)</f>
        <v>0</v>
      </c>
      <c r="J136" s="30" t="s">
        <v>42</v>
      </c>
      <c r="K136" s="8">
        <f t="shared" ref="K136:Q136" si="221">SUM(K120:K135)</f>
        <v>0</v>
      </c>
      <c r="L136" s="8">
        <f t="shared" si="221"/>
        <v>0</v>
      </c>
      <c r="M136" s="8">
        <f t="shared" si="221"/>
        <v>0</v>
      </c>
      <c r="N136" s="8">
        <f t="shared" si="221"/>
        <v>0</v>
      </c>
      <c r="O136" s="8">
        <f t="shared" si="221"/>
        <v>0</v>
      </c>
      <c r="P136" s="8">
        <f t="shared" si="221"/>
        <v>0</v>
      </c>
      <c r="Q136" s="8">
        <f t="shared" si="221"/>
        <v>0</v>
      </c>
      <c r="R136" s="28">
        <f>AVERAGE(K136:Q136)</f>
        <v>0</v>
      </c>
      <c r="S136" s="30" t="s">
        <v>42</v>
      </c>
      <c r="T136" s="8">
        <f t="shared" ref="T136:Z136" si="222">SUM(T120:T135)</f>
        <v>0</v>
      </c>
      <c r="U136" s="8">
        <f t="shared" si="222"/>
        <v>0</v>
      </c>
      <c r="V136" s="8">
        <f t="shared" si="222"/>
        <v>0</v>
      </c>
      <c r="W136" s="8">
        <f t="shared" si="222"/>
        <v>0</v>
      </c>
      <c r="X136" s="8">
        <f t="shared" si="222"/>
        <v>0</v>
      </c>
      <c r="Y136" s="8">
        <f t="shared" si="222"/>
        <v>0</v>
      </c>
      <c r="Z136" s="8">
        <f t="shared" si="222"/>
        <v>0</v>
      </c>
      <c r="AA136" s="28">
        <f>AVERAGE(T136:Z136)</f>
        <v>0</v>
      </c>
      <c r="AB136" s="30" t="s">
        <v>42</v>
      </c>
      <c r="AC136" s="8">
        <f t="shared" ref="AC136:AI136" si="223">SUM(AC120:AC135)</f>
        <v>0</v>
      </c>
      <c r="AD136" s="8">
        <f t="shared" si="223"/>
        <v>0</v>
      </c>
      <c r="AE136" s="8">
        <f t="shared" si="223"/>
        <v>0</v>
      </c>
      <c r="AF136" s="8">
        <f t="shared" si="223"/>
        <v>917</v>
      </c>
      <c r="AG136" s="8">
        <f t="shared" si="223"/>
        <v>1430</v>
      </c>
      <c r="AH136" s="8">
        <f t="shared" si="223"/>
        <v>1159</v>
      </c>
      <c r="AI136" s="8">
        <f t="shared" si="223"/>
        <v>949</v>
      </c>
      <c r="AJ136" s="28">
        <f>AVERAGE(AC136:AI136)</f>
        <v>636.42857142857144</v>
      </c>
      <c r="AK136" s="30" t="s">
        <v>42</v>
      </c>
      <c r="AL136" s="8">
        <f t="shared" ref="AL136:AR136" si="224">SUM(AL120:AL135)</f>
        <v>991</v>
      </c>
      <c r="AM136" s="8">
        <f t="shared" si="224"/>
        <v>840</v>
      </c>
      <c r="AN136" s="8">
        <f t="shared" si="224"/>
        <v>1621</v>
      </c>
      <c r="AO136" s="8">
        <f t="shared" si="224"/>
        <v>1476</v>
      </c>
      <c r="AP136" s="8">
        <f t="shared" si="224"/>
        <v>1467</v>
      </c>
      <c r="AQ136" s="8">
        <f t="shared" si="224"/>
        <v>1153</v>
      </c>
      <c r="AR136" s="8">
        <f t="shared" si="224"/>
        <v>1130</v>
      </c>
      <c r="AS136" s="28">
        <f>AVERAGE(AL136:AR136)</f>
        <v>1239.7142857142858</v>
      </c>
    </row>
    <row r="137" spans="1:45" ht="12.75">
      <c r="I137" s="20"/>
      <c r="R137" s="20"/>
      <c r="AA137" s="20"/>
      <c r="AK137" s="45"/>
    </row>
    <row r="138" spans="1:45" ht="12.75">
      <c r="I138" s="20"/>
      <c r="R138" s="20"/>
      <c r="AA138" s="20"/>
      <c r="AK138" s="45"/>
    </row>
    <row r="139" spans="1:45" ht="12.75">
      <c r="I139" s="20"/>
      <c r="R139" s="20"/>
      <c r="AA139" s="20"/>
      <c r="AK139" s="45"/>
    </row>
    <row r="140" spans="1:45" ht="12.75">
      <c r="I140" s="20"/>
      <c r="R140" s="20"/>
      <c r="AA140" s="20"/>
      <c r="AK140" s="45"/>
    </row>
    <row r="141" spans="1:45" ht="12.75">
      <c r="I141" s="20"/>
      <c r="R141" s="20"/>
      <c r="AA141" s="20"/>
      <c r="AK141" s="45"/>
    </row>
    <row r="142" spans="1:45" ht="12.75">
      <c r="I142" s="20"/>
      <c r="R142" s="20"/>
      <c r="AA142" s="20"/>
      <c r="AK142" s="45"/>
    </row>
    <row r="143" spans="1:45" ht="12.75">
      <c r="I143" s="20"/>
      <c r="R143" s="20"/>
      <c r="AA143" s="20"/>
      <c r="AK143" s="45"/>
    </row>
    <row r="144" spans="1:45" ht="12.75">
      <c r="I144" s="20"/>
      <c r="R144" s="20"/>
      <c r="AA144" s="20"/>
      <c r="AK144" s="45"/>
    </row>
    <row r="145" spans="9:37" ht="12.75">
      <c r="I145" s="20"/>
      <c r="R145" s="20"/>
      <c r="AA145" s="20"/>
      <c r="AK145" s="45"/>
    </row>
    <row r="146" spans="9:37" ht="12.75">
      <c r="I146" s="20"/>
      <c r="R146" s="20"/>
      <c r="AA146" s="20"/>
      <c r="AK146" s="45"/>
    </row>
    <row r="147" spans="9:37" ht="12.75">
      <c r="I147" s="20"/>
      <c r="R147" s="20"/>
      <c r="AA147" s="20"/>
      <c r="AK147" s="45"/>
    </row>
    <row r="148" spans="9:37" ht="12.75">
      <c r="I148" s="20"/>
      <c r="R148" s="20"/>
      <c r="AA148" s="20"/>
      <c r="AK148" s="45"/>
    </row>
    <row r="149" spans="9:37" ht="12.75">
      <c r="I149" s="20"/>
      <c r="R149" s="20"/>
      <c r="AA149" s="20"/>
      <c r="AK149" s="45"/>
    </row>
    <row r="150" spans="9:37" ht="12.75">
      <c r="I150" s="20"/>
      <c r="R150" s="20"/>
      <c r="AA150" s="20"/>
      <c r="AK150" s="45"/>
    </row>
    <row r="151" spans="9:37" ht="12.75">
      <c r="I151" s="20"/>
      <c r="R151" s="20"/>
      <c r="AA151" s="20"/>
      <c r="AK151" s="45"/>
    </row>
    <row r="152" spans="9:37" ht="12.75">
      <c r="I152" s="20"/>
      <c r="R152" s="20"/>
      <c r="AA152" s="20"/>
      <c r="AK152" s="45"/>
    </row>
    <row r="153" spans="9:37" ht="12.75">
      <c r="I153" s="20"/>
      <c r="R153" s="20"/>
      <c r="AA153" s="20"/>
      <c r="AK153" s="45"/>
    </row>
    <row r="154" spans="9:37" ht="12.75">
      <c r="I154" s="20"/>
      <c r="R154" s="20"/>
      <c r="AA154" s="20"/>
      <c r="AK154" s="45"/>
    </row>
    <row r="155" spans="9:37" ht="12.75">
      <c r="I155" s="20"/>
      <c r="R155" s="20"/>
      <c r="AA155" s="20"/>
      <c r="AK155" s="45"/>
    </row>
    <row r="156" spans="9:37" ht="12.75">
      <c r="I156" s="20"/>
      <c r="R156" s="20"/>
      <c r="AA156" s="20"/>
      <c r="AK156" s="45"/>
    </row>
    <row r="157" spans="9:37" ht="12.75">
      <c r="I157" s="20"/>
      <c r="R157" s="20"/>
      <c r="AA157" s="20"/>
      <c r="AK157" s="45"/>
    </row>
    <row r="158" spans="9:37" ht="12.75">
      <c r="I158" s="20"/>
      <c r="R158" s="20"/>
      <c r="AA158" s="20"/>
      <c r="AK158" s="45"/>
    </row>
    <row r="159" spans="9:37" ht="12.75">
      <c r="I159" s="20"/>
      <c r="R159" s="20"/>
      <c r="AA159" s="20"/>
      <c r="AK159" s="45"/>
    </row>
    <row r="160" spans="9:37" ht="12.75">
      <c r="I160" s="20"/>
      <c r="R160" s="20"/>
      <c r="AA160" s="20"/>
      <c r="AK160" s="45"/>
    </row>
    <row r="161" spans="9:37" ht="12.75">
      <c r="I161" s="20"/>
      <c r="R161" s="20"/>
      <c r="AA161" s="20"/>
      <c r="AK161" s="45"/>
    </row>
    <row r="162" spans="9:37" ht="12.75">
      <c r="I162" s="20"/>
      <c r="R162" s="20"/>
      <c r="AA162" s="20"/>
      <c r="AK162" s="45"/>
    </row>
    <row r="163" spans="9:37" ht="12.75">
      <c r="I163" s="20"/>
      <c r="R163" s="20"/>
      <c r="AA163" s="20"/>
      <c r="AK163" s="45"/>
    </row>
    <row r="164" spans="9:37" ht="12.75">
      <c r="I164" s="20"/>
      <c r="R164" s="20"/>
      <c r="AA164" s="20"/>
      <c r="AK164" s="45"/>
    </row>
    <row r="165" spans="9:37" ht="12.75">
      <c r="I165" s="20"/>
      <c r="R165" s="20"/>
      <c r="AA165" s="20"/>
      <c r="AK165" s="45"/>
    </row>
    <row r="166" spans="9:37" ht="12.75">
      <c r="I166" s="20"/>
      <c r="R166" s="20"/>
      <c r="AA166" s="20"/>
      <c r="AK166" s="45"/>
    </row>
    <row r="167" spans="9:37" ht="12.75">
      <c r="I167" s="20"/>
      <c r="R167" s="20"/>
      <c r="AA167" s="20"/>
      <c r="AK167" s="45"/>
    </row>
    <row r="168" spans="9:37" ht="12.75">
      <c r="I168" s="20"/>
      <c r="R168" s="20"/>
      <c r="AA168" s="20"/>
      <c r="AK168" s="45"/>
    </row>
    <row r="169" spans="9:37" ht="12.75">
      <c r="I169" s="20"/>
      <c r="R169" s="20"/>
      <c r="AA169" s="20"/>
      <c r="AK169" s="45"/>
    </row>
    <row r="170" spans="9:37" ht="12.75">
      <c r="I170" s="20"/>
      <c r="R170" s="20"/>
      <c r="AA170" s="20"/>
      <c r="AK170" s="45"/>
    </row>
    <row r="171" spans="9:37" ht="12.75">
      <c r="I171" s="20"/>
      <c r="R171" s="20"/>
      <c r="AA171" s="20"/>
      <c r="AK171" s="45"/>
    </row>
    <row r="172" spans="9:37" ht="12.75">
      <c r="I172" s="20"/>
      <c r="R172" s="20"/>
      <c r="AA172" s="20"/>
      <c r="AK172" s="45"/>
    </row>
    <row r="173" spans="9:37" ht="12.75">
      <c r="I173" s="20"/>
      <c r="R173" s="20"/>
      <c r="AA173" s="20"/>
      <c r="AK173" s="45"/>
    </row>
    <row r="174" spans="9:37" ht="12.75">
      <c r="I174" s="20"/>
      <c r="R174" s="20"/>
      <c r="AA174" s="20"/>
      <c r="AK174" s="45"/>
    </row>
    <row r="175" spans="9:37" ht="12.75">
      <c r="I175" s="20"/>
      <c r="R175" s="20"/>
      <c r="AA175" s="20"/>
      <c r="AK175" s="45"/>
    </row>
    <row r="176" spans="9:37" ht="12.75">
      <c r="I176" s="20"/>
      <c r="R176" s="20"/>
      <c r="AA176" s="20"/>
      <c r="AK176" s="45"/>
    </row>
    <row r="177" spans="9:37" ht="12.75">
      <c r="I177" s="20"/>
      <c r="R177" s="20"/>
      <c r="AA177" s="20"/>
      <c r="AK177" s="45"/>
    </row>
    <row r="178" spans="9:37" ht="12.75">
      <c r="I178" s="20"/>
      <c r="R178" s="20"/>
      <c r="AA178" s="20"/>
      <c r="AK178" s="45"/>
    </row>
    <row r="179" spans="9:37" ht="12.75">
      <c r="I179" s="20"/>
      <c r="R179" s="20"/>
      <c r="AA179" s="20"/>
      <c r="AK179" s="45"/>
    </row>
    <row r="180" spans="9:37" ht="12.75">
      <c r="I180" s="20"/>
      <c r="R180" s="20"/>
      <c r="AA180" s="20"/>
      <c r="AK180" s="45"/>
    </row>
    <row r="181" spans="9:37" ht="12.75">
      <c r="I181" s="20"/>
      <c r="R181" s="20"/>
      <c r="AA181" s="20"/>
      <c r="AK181" s="45"/>
    </row>
    <row r="182" spans="9:37" ht="12.75">
      <c r="I182" s="20"/>
      <c r="R182" s="20"/>
      <c r="AA182" s="20"/>
      <c r="AK182" s="45"/>
    </row>
    <row r="183" spans="9:37" ht="12.75">
      <c r="I183" s="20"/>
      <c r="R183" s="20"/>
      <c r="AA183" s="20"/>
      <c r="AK183" s="45"/>
    </row>
    <row r="184" spans="9:37" ht="12.75">
      <c r="I184" s="20"/>
      <c r="R184" s="20"/>
      <c r="AA184" s="20"/>
      <c r="AK184" s="45"/>
    </row>
    <row r="185" spans="9:37" ht="12.75">
      <c r="I185" s="20"/>
      <c r="R185" s="20"/>
      <c r="AA185" s="20"/>
      <c r="AK185" s="45"/>
    </row>
    <row r="186" spans="9:37" ht="12.75">
      <c r="I186" s="20"/>
      <c r="R186" s="20"/>
      <c r="AA186" s="20"/>
      <c r="AK186" s="45"/>
    </row>
    <row r="187" spans="9:37" ht="12.75">
      <c r="I187" s="20"/>
      <c r="R187" s="20"/>
      <c r="AA187" s="20"/>
      <c r="AK187" s="45"/>
    </row>
    <row r="188" spans="9:37" ht="12.75">
      <c r="I188" s="20"/>
      <c r="R188" s="20"/>
      <c r="AA188" s="20"/>
      <c r="AK188" s="45"/>
    </row>
    <row r="189" spans="9:37" ht="12.75">
      <c r="I189" s="20"/>
      <c r="R189" s="20"/>
      <c r="AA189" s="20"/>
      <c r="AK189" s="45"/>
    </row>
    <row r="190" spans="9:37" ht="12.75">
      <c r="I190" s="20"/>
      <c r="R190" s="20"/>
      <c r="AA190" s="20"/>
      <c r="AK190" s="45"/>
    </row>
    <row r="191" spans="9:37" ht="12.75">
      <c r="I191" s="20"/>
      <c r="R191" s="20"/>
      <c r="AA191" s="20"/>
      <c r="AK191" s="45"/>
    </row>
    <row r="192" spans="9:37" ht="12.75">
      <c r="I192" s="20"/>
      <c r="R192" s="20"/>
      <c r="AA192" s="20"/>
      <c r="AK192" s="45"/>
    </row>
    <row r="193" spans="9:37" ht="12.75">
      <c r="I193" s="20"/>
      <c r="R193" s="20"/>
      <c r="AA193" s="20"/>
      <c r="AK193" s="45"/>
    </row>
    <row r="194" spans="9:37" ht="12.75">
      <c r="I194" s="20"/>
      <c r="R194" s="20"/>
      <c r="AA194" s="20"/>
      <c r="AK194" s="45"/>
    </row>
    <row r="195" spans="9:37" ht="12.75">
      <c r="I195" s="20"/>
      <c r="R195" s="20"/>
      <c r="AA195" s="20"/>
      <c r="AK195" s="45"/>
    </row>
    <row r="196" spans="9:37" ht="12.75">
      <c r="I196" s="20"/>
      <c r="R196" s="20"/>
      <c r="AA196" s="20"/>
      <c r="AK196" s="45"/>
    </row>
    <row r="197" spans="9:37" ht="12.75">
      <c r="I197" s="20"/>
      <c r="R197" s="20"/>
      <c r="AA197" s="20"/>
      <c r="AK197" s="45"/>
    </row>
    <row r="198" spans="9:37" ht="12.75">
      <c r="I198" s="20"/>
      <c r="R198" s="20"/>
      <c r="AA198" s="20"/>
      <c r="AK198" s="45"/>
    </row>
    <row r="199" spans="9:37" ht="12.75">
      <c r="I199" s="20"/>
      <c r="R199" s="20"/>
      <c r="AA199" s="20"/>
      <c r="AK199" s="45"/>
    </row>
    <row r="200" spans="9:37" ht="12.75">
      <c r="I200" s="20"/>
      <c r="R200" s="20"/>
      <c r="AA200" s="20"/>
      <c r="AK200" s="45"/>
    </row>
    <row r="201" spans="9:37" ht="12.75">
      <c r="I201" s="20"/>
      <c r="R201" s="20"/>
      <c r="AA201" s="20"/>
      <c r="AK201" s="45"/>
    </row>
    <row r="202" spans="9:37" ht="12.75">
      <c r="I202" s="20"/>
      <c r="R202" s="20"/>
      <c r="AA202" s="20"/>
      <c r="AK202" s="45"/>
    </row>
    <row r="203" spans="9:37" ht="12.75">
      <c r="I203" s="20"/>
      <c r="R203" s="20"/>
      <c r="AA203" s="20"/>
      <c r="AK203" s="45"/>
    </row>
    <row r="204" spans="9:37" ht="12.75">
      <c r="I204" s="20"/>
      <c r="R204" s="20"/>
      <c r="AA204" s="20"/>
      <c r="AK204" s="45"/>
    </row>
    <row r="205" spans="9:37" ht="12.75">
      <c r="I205" s="20"/>
      <c r="R205" s="20"/>
      <c r="AA205" s="20"/>
      <c r="AK205" s="45"/>
    </row>
    <row r="206" spans="9:37" ht="12.75">
      <c r="I206" s="20"/>
      <c r="R206" s="20"/>
      <c r="AA206" s="20"/>
      <c r="AK206" s="45"/>
    </row>
    <row r="207" spans="9:37" ht="12.75">
      <c r="I207" s="20"/>
      <c r="R207" s="20"/>
      <c r="AA207" s="20"/>
      <c r="AK207" s="45"/>
    </row>
    <row r="208" spans="9:37" ht="12.75">
      <c r="I208" s="20"/>
      <c r="R208" s="20"/>
      <c r="AA208" s="20"/>
      <c r="AK208" s="45"/>
    </row>
    <row r="209" spans="9:37" ht="12.75">
      <c r="I209" s="20"/>
      <c r="R209" s="20"/>
      <c r="AA209" s="20"/>
      <c r="AK209" s="45"/>
    </row>
    <row r="210" spans="9:37" ht="12.75">
      <c r="I210" s="20"/>
      <c r="R210" s="20"/>
      <c r="AA210" s="20"/>
      <c r="AK210" s="45"/>
    </row>
    <row r="211" spans="9:37" ht="12.75">
      <c r="I211" s="20"/>
      <c r="R211" s="20"/>
      <c r="AA211" s="20"/>
      <c r="AK211" s="45"/>
    </row>
    <row r="212" spans="9:37" ht="12.75">
      <c r="I212" s="20"/>
      <c r="R212" s="20"/>
      <c r="AA212" s="20"/>
      <c r="AK212" s="45"/>
    </row>
    <row r="213" spans="9:37" ht="12.75">
      <c r="I213" s="20"/>
      <c r="R213" s="20"/>
      <c r="AA213" s="20"/>
      <c r="AK213" s="45"/>
    </row>
    <row r="214" spans="9:37" ht="12.75">
      <c r="I214" s="20"/>
      <c r="R214" s="20"/>
      <c r="AA214" s="20"/>
      <c r="AK214" s="45"/>
    </row>
    <row r="215" spans="9:37" ht="12.75">
      <c r="I215" s="20"/>
      <c r="R215" s="20"/>
      <c r="AA215" s="20"/>
      <c r="AK215" s="45"/>
    </row>
    <row r="216" spans="9:37" ht="12.75">
      <c r="I216" s="20"/>
      <c r="R216" s="20"/>
      <c r="AA216" s="20"/>
      <c r="AK216" s="45"/>
    </row>
    <row r="217" spans="9:37" ht="12.75">
      <c r="I217" s="20"/>
      <c r="R217" s="20"/>
      <c r="AA217" s="20"/>
      <c r="AK217" s="45"/>
    </row>
    <row r="218" spans="9:37" ht="12.75">
      <c r="I218" s="20"/>
      <c r="R218" s="20"/>
      <c r="AA218" s="20"/>
      <c r="AK218" s="45"/>
    </row>
    <row r="219" spans="9:37" ht="12.75">
      <c r="I219" s="20"/>
      <c r="R219" s="20"/>
      <c r="AA219" s="20"/>
      <c r="AK219" s="45"/>
    </row>
    <row r="220" spans="9:37" ht="12.75">
      <c r="I220" s="20"/>
      <c r="R220" s="20"/>
      <c r="AA220" s="20"/>
      <c r="AK220" s="45"/>
    </row>
    <row r="221" spans="9:37" ht="12.75">
      <c r="I221" s="20"/>
      <c r="R221" s="20"/>
      <c r="AA221" s="20"/>
      <c r="AK221" s="45"/>
    </row>
    <row r="222" spans="9:37" ht="12.75">
      <c r="I222" s="20"/>
      <c r="R222" s="20"/>
      <c r="AA222" s="20"/>
      <c r="AK222" s="45"/>
    </row>
    <row r="223" spans="9:37" ht="12.75">
      <c r="I223" s="20"/>
      <c r="R223" s="20"/>
      <c r="AA223" s="20"/>
      <c r="AK223" s="45"/>
    </row>
    <row r="224" spans="9:37" ht="12.75">
      <c r="I224" s="20"/>
      <c r="R224" s="20"/>
      <c r="AA224" s="20"/>
      <c r="AK224" s="45"/>
    </row>
    <row r="225" spans="9:37" ht="12.75">
      <c r="I225" s="20"/>
      <c r="R225" s="20"/>
      <c r="AA225" s="20"/>
      <c r="AK225" s="45"/>
    </row>
    <row r="226" spans="9:37" ht="12.75">
      <c r="I226" s="20"/>
      <c r="R226" s="20"/>
      <c r="AA226" s="20"/>
      <c r="AK226" s="45"/>
    </row>
    <row r="227" spans="9:37" ht="12.75">
      <c r="I227" s="20"/>
      <c r="R227" s="20"/>
      <c r="AA227" s="20"/>
      <c r="AK227" s="45"/>
    </row>
    <row r="228" spans="9:37" ht="12.75">
      <c r="I228" s="20"/>
      <c r="R228" s="20"/>
      <c r="AA228" s="20"/>
      <c r="AK228" s="45"/>
    </row>
    <row r="229" spans="9:37" ht="12.75">
      <c r="I229" s="20"/>
      <c r="R229" s="20"/>
      <c r="AA229" s="20"/>
      <c r="AK229" s="45"/>
    </row>
    <row r="230" spans="9:37" ht="12.75">
      <c r="I230" s="20"/>
      <c r="R230" s="20"/>
      <c r="AA230" s="20"/>
      <c r="AK230" s="45"/>
    </row>
    <row r="231" spans="9:37" ht="12.75">
      <c r="I231" s="20"/>
      <c r="R231" s="20"/>
      <c r="AA231" s="20"/>
      <c r="AK231" s="45"/>
    </row>
    <row r="232" spans="9:37" ht="12.75">
      <c r="I232" s="20"/>
      <c r="R232" s="20"/>
      <c r="AA232" s="20"/>
      <c r="AK232" s="45"/>
    </row>
    <row r="233" spans="9:37" ht="12.75">
      <c r="I233" s="20"/>
      <c r="R233" s="20"/>
      <c r="AA233" s="20"/>
      <c r="AK233" s="45"/>
    </row>
    <row r="234" spans="9:37" ht="12.75">
      <c r="I234" s="20"/>
      <c r="R234" s="20"/>
      <c r="AA234" s="20"/>
      <c r="AK234" s="45"/>
    </row>
    <row r="235" spans="9:37" ht="12.75">
      <c r="I235" s="20"/>
      <c r="R235" s="20"/>
      <c r="AA235" s="20"/>
      <c r="AK235" s="45"/>
    </row>
    <row r="236" spans="9:37" ht="12.75">
      <c r="I236" s="20"/>
      <c r="R236" s="20"/>
      <c r="AA236" s="20"/>
      <c r="AK236" s="45"/>
    </row>
    <row r="237" spans="9:37" ht="12.75">
      <c r="I237" s="20"/>
      <c r="R237" s="20"/>
      <c r="AA237" s="20"/>
      <c r="AK237" s="45"/>
    </row>
    <row r="238" spans="9:37" ht="12.75">
      <c r="I238" s="20"/>
      <c r="R238" s="20"/>
      <c r="AA238" s="20"/>
      <c r="AK238" s="45"/>
    </row>
    <row r="239" spans="9:37" ht="12.75">
      <c r="I239" s="20"/>
      <c r="R239" s="20"/>
      <c r="AA239" s="20"/>
      <c r="AK239" s="45"/>
    </row>
    <row r="240" spans="9:37" ht="12.75">
      <c r="I240" s="20"/>
      <c r="R240" s="20"/>
      <c r="AA240" s="20"/>
      <c r="AK240" s="45"/>
    </row>
    <row r="241" spans="9:37" ht="12.75">
      <c r="I241" s="20"/>
      <c r="R241" s="20"/>
      <c r="AA241" s="20"/>
      <c r="AK241" s="45"/>
    </row>
    <row r="242" spans="9:37" ht="12.75">
      <c r="I242" s="20"/>
      <c r="R242" s="20"/>
      <c r="AA242" s="20"/>
      <c r="AK242" s="45"/>
    </row>
    <row r="243" spans="9:37" ht="12.75">
      <c r="I243" s="20"/>
      <c r="R243" s="20"/>
      <c r="AA243" s="20"/>
      <c r="AK243" s="45"/>
    </row>
    <row r="244" spans="9:37" ht="12.75">
      <c r="I244" s="20"/>
      <c r="R244" s="20"/>
      <c r="AA244" s="20"/>
      <c r="AK244" s="45"/>
    </row>
    <row r="245" spans="9:37" ht="12.75">
      <c r="I245" s="20"/>
      <c r="R245" s="20"/>
      <c r="AA245" s="20"/>
      <c r="AK245" s="45"/>
    </row>
    <row r="246" spans="9:37" ht="12.75">
      <c r="I246" s="20"/>
      <c r="R246" s="20"/>
      <c r="AA246" s="20"/>
      <c r="AK246" s="45"/>
    </row>
    <row r="247" spans="9:37" ht="12.75">
      <c r="I247" s="20"/>
      <c r="R247" s="20"/>
      <c r="AA247" s="20"/>
      <c r="AK247" s="45"/>
    </row>
    <row r="248" spans="9:37" ht="12.75">
      <c r="I248" s="20"/>
      <c r="R248" s="20"/>
      <c r="AA248" s="20"/>
      <c r="AK248" s="45"/>
    </row>
    <row r="249" spans="9:37" ht="12.75">
      <c r="I249" s="20"/>
      <c r="R249" s="20"/>
      <c r="AA249" s="20"/>
      <c r="AK249" s="45"/>
    </row>
    <row r="250" spans="9:37" ht="12.75">
      <c r="I250" s="20"/>
      <c r="R250" s="20"/>
      <c r="AA250" s="20"/>
      <c r="AK250" s="45"/>
    </row>
    <row r="251" spans="9:37" ht="12.75">
      <c r="I251" s="20"/>
      <c r="R251" s="20"/>
      <c r="AA251" s="20"/>
      <c r="AK251" s="45"/>
    </row>
    <row r="252" spans="9:37" ht="12.75">
      <c r="I252" s="20"/>
      <c r="R252" s="20"/>
      <c r="AA252" s="20"/>
      <c r="AK252" s="45"/>
    </row>
    <row r="253" spans="9:37" ht="12.75">
      <c r="I253" s="20"/>
      <c r="R253" s="20"/>
      <c r="AA253" s="20"/>
      <c r="AK253" s="45"/>
    </row>
    <row r="254" spans="9:37" ht="12.75">
      <c r="I254" s="20"/>
      <c r="R254" s="20"/>
      <c r="AA254" s="20"/>
      <c r="AK254" s="45"/>
    </row>
    <row r="255" spans="9:37" ht="12.75">
      <c r="I255" s="20"/>
      <c r="R255" s="20"/>
      <c r="AA255" s="20"/>
      <c r="AK255" s="45"/>
    </row>
    <row r="256" spans="9:37" ht="12.75">
      <c r="I256" s="20"/>
      <c r="R256" s="20"/>
      <c r="AA256" s="20"/>
      <c r="AK256" s="45"/>
    </row>
    <row r="257" spans="9:37" ht="12.75">
      <c r="I257" s="20"/>
      <c r="R257" s="20"/>
      <c r="AA257" s="20"/>
      <c r="AK257" s="45"/>
    </row>
    <row r="258" spans="9:37" ht="12.75">
      <c r="I258" s="20"/>
      <c r="R258" s="20"/>
      <c r="AA258" s="20"/>
      <c r="AK258" s="45"/>
    </row>
    <row r="259" spans="9:37" ht="12.75">
      <c r="I259" s="20"/>
      <c r="R259" s="20"/>
      <c r="AA259" s="20"/>
      <c r="AK259" s="45"/>
    </row>
    <row r="260" spans="9:37" ht="12.75">
      <c r="I260" s="20"/>
      <c r="R260" s="20"/>
      <c r="AA260" s="20"/>
      <c r="AK260" s="45"/>
    </row>
    <row r="261" spans="9:37" ht="12.75">
      <c r="I261" s="20"/>
      <c r="R261" s="20"/>
      <c r="AA261" s="20"/>
      <c r="AK261" s="45"/>
    </row>
    <row r="262" spans="9:37" ht="12.75">
      <c r="I262" s="20"/>
      <c r="R262" s="20"/>
      <c r="AA262" s="20"/>
      <c r="AK262" s="45"/>
    </row>
    <row r="263" spans="9:37" ht="12.75">
      <c r="I263" s="20"/>
      <c r="R263" s="20"/>
      <c r="AA263" s="20"/>
      <c r="AK263" s="45"/>
    </row>
    <row r="264" spans="9:37" ht="12.75">
      <c r="I264" s="20"/>
      <c r="R264" s="20"/>
      <c r="AA264" s="20"/>
      <c r="AK264" s="45"/>
    </row>
    <row r="265" spans="9:37" ht="12.75">
      <c r="I265" s="20"/>
      <c r="R265" s="20"/>
      <c r="AA265" s="20"/>
      <c r="AK265" s="45"/>
    </row>
    <row r="266" spans="9:37" ht="12.75">
      <c r="I266" s="20"/>
      <c r="R266" s="20"/>
      <c r="AA266" s="20"/>
      <c r="AK266" s="45"/>
    </row>
    <row r="267" spans="9:37" ht="12.75">
      <c r="I267" s="20"/>
      <c r="R267" s="20"/>
      <c r="AA267" s="20"/>
      <c r="AK267" s="45"/>
    </row>
    <row r="268" spans="9:37" ht="12.75">
      <c r="I268" s="20"/>
      <c r="R268" s="20"/>
      <c r="AA268" s="20"/>
      <c r="AK268" s="45"/>
    </row>
    <row r="269" spans="9:37" ht="12.75">
      <c r="I269" s="20"/>
      <c r="R269" s="20"/>
      <c r="AA269" s="20"/>
      <c r="AK269" s="45"/>
    </row>
    <row r="270" spans="9:37" ht="12.75">
      <c r="I270" s="20"/>
      <c r="R270" s="20"/>
      <c r="AA270" s="20"/>
      <c r="AK270" s="45"/>
    </row>
    <row r="271" spans="9:37" ht="12.75">
      <c r="I271" s="20"/>
      <c r="R271" s="20"/>
      <c r="AA271" s="20"/>
      <c r="AK271" s="45"/>
    </row>
    <row r="272" spans="9:37" ht="12.75">
      <c r="I272" s="20"/>
      <c r="R272" s="20"/>
      <c r="AA272" s="20"/>
      <c r="AK272" s="45"/>
    </row>
    <row r="273" spans="9:37" ht="12.75">
      <c r="I273" s="20"/>
      <c r="R273" s="20"/>
      <c r="AA273" s="20"/>
      <c r="AK273" s="45"/>
    </row>
    <row r="274" spans="9:37" ht="12.75">
      <c r="I274" s="20"/>
      <c r="R274" s="20"/>
      <c r="AA274" s="20"/>
      <c r="AK274" s="45"/>
    </row>
    <row r="275" spans="9:37" ht="12.75">
      <c r="I275" s="20"/>
      <c r="R275" s="20"/>
      <c r="AA275" s="20"/>
      <c r="AK275" s="45"/>
    </row>
    <row r="276" spans="9:37" ht="12.75">
      <c r="I276" s="20"/>
      <c r="R276" s="20"/>
      <c r="AA276" s="20"/>
      <c r="AK276" s="45"/>
    </row>
    <row r="277" spans="9:37" ht="12.75">
      <c r="I277" s="20"/>
      <c r="R277" s="20"/>
      <c r="AA277" s="20"/>
      <c r="AK277" s="45"/>
    </row>
    <row r="278" spans="9:37" ht="12.75">
      <c r="I278" s="20"/>
      <c r="R278" s="20"/>
      <c r="AA278" s="20"/>
      <c r="AK278" s="45"/>
    </row>
    <row r="279" spans="9:37" ht="12.75">
      <c r="I279" s="20"/>
      <c r="R279" s="20"/>
      <c r="AA279" s="20"/>
      <c r="AK279" s="45"/>
    </row>
    <row r="280" spans="9:37" ht="12.75">
      <c r="I280" s="20"/>
      <c r="R280" s="20"/>
      <c r="AA280" s="20"/>
      <c r="AK280" s="45"/>
    </row>
    <row r="281" spans="9:37" ht="12.75">
      <c r="I281" s="20"/>
      <c r="R281" s="20"/>
      <c r="AA281" s="20"/>
      <c r="AK281" s="45"/>
    </row>
    <row r="282" spans="9:37" ht="12.75">
      <c r="I282" s="20"/>
      <c r="R282" s="20"/>
      <c r="AA282" s="20"/>
      <c r="AK282" s="45"/>
    </row>
    <row r="283" spans="9:37" ht="12.75">
      <c r="I283" s="20"/>
      <c r="R283" s="20"/>
      <c r="AA283" s="20"/>
      <c r="AK283" s="45"/>
    </row>
    <row r="284" spans="9:37" ht="12.75">
      <c r="I284" s="20"/>
      <c r="R284" s="20"/>
      <c r="AA284" s="20"/>
      <c r="AK284" s="45"/>
    </row>
    <row r="285" spans="9:37" ht="12.75">
      <c r="I285" s="20"/>
      <c r="R285" s="20"/>
      <c r="AA285" s="20"/>
      <c r="AK285" s="45"/>
    </row>
    <row r="286" spans="9:37" ht="12.75">
      <c r="I286" s="20"/>
      <c r="R286" s="20"/>
      <c r="AA286" s="20"/>
      <c r="AK286" s="45"/>
    </row>
    <row r="287" spans="9:37" ht="12.75">
      <c r="I287" s="20"/>
      <c r="R287" s="20"/>
      <c r="AA287" s="20"/>
      <c r="AK287" s="45"/>
    </row>
    <row r="288" spans="9:37" ht="12.75">
      <c r="I288" s="20"/>
      <c r="R288" s="20"/>
      <c r="AA288" s="20"/>
      <c r="AK288" s="45"/>
    </row>
    <row r="289" spans="9:37" ht="12.75">
      <c r="I289" s="20"/>
      <c r="R289" s="20"/>
      <c r="AA289" s="20"/>
      <c r="AK289" s="45"/>
    </row>
    <row r="290" spans="9:37" ht="12.75">
      <c r="I290" s="20"/>
      <c r="R290" s="20"/>
      <c r="AA290" s="20"/>
      <c r="AK290" s="45"/>
    </row>
    <row r="291" spans="9:37" ht="12.75">
      <c r="I291" s="20"/>
      <c r="R291" s="20"/>
      <c r="AA291" s="20"/>
      <c r="AK291" s="45"/>
    </row>
    <row r="292" spans="9:37" ht="12.75">
      <c r="I292" s="20"/>
      <c r="R292" s="20"/>
      <c r="AA292" s="20"/>
      <c r="AK292" s="45"/>
    </row>
    <row r="293" spans="9:37" ht="12.75">
      <c r="I293" s="20"/>
      <c r="R293" s="20"/>
      <c r="AA293" s="20"/>
      <c r="AK293" s="45"/>
    </row>
    <row r="294" spans="9:37" ht="12.75">
      <c r="I294" s="20"/>
      <c r="R294" s="20"/>
      <c r="AA294" s="20"/>
      <c r="AK294" s="45"/>
    </row>
    <row r="295" spans="9:37" ht="12.75">
      <c r="I295" s="20"/>
      <c r="R295" s="20"/>
      <c r="AA295" s="20"/>
      <c r="AK295" s="45"/>
    </row>
    <row r="296" spans="9:37" ht="12.75">
      <c r="I296" s="20"/>
      <c r="R296" s="20"/>
      <c r="AA296" s="20"/>
      <c r="AK296" s="45"/>
    </row>
    <row r="297" spans="9:37" ht="12.75">
      <c r="I297" s="20"/>
      <c r="R297" s="20"/>
      <c r="AA297" s="20"/>
      <c r="AK297" s="45"/>
    </row>
    <row r="298" spans="9:37" ht="12.75">
      <c r="I298" s="20"/>
      <c r="R298" s="20"/>
      <c r="AA298" s="20"/>
      <c r="AK298" s="45"/>
    </row>
    <row r="299" spans="9:37" ht="12.75">
      <c r="I299" s="20"/>
      <c r="R299" s="20"/>
      <c r="AA299" s="20"/>
      <c r="AK299" s="45"/>
    </row>
    <row r="300" spans="9:37" ht="12.75">
      <c r="I300" s="20"/>
      <c r="R300" s="20"/>
      <c r="AA300" s="20"/>
      <c r="AK300" s="45"/>
    </row>
    <row r="301" spans="9:37" ht="12.75">
      <c r="I301" s="20"/>
      <c r="R301" s="20"/>
      <c r="AA301" s="20"/>
      <c r="AK301" s="45"/>
    </row>
    <row r="302" spans="9:37" ht="12.75">
      <c r="I302" s="20"/>
      <c r="R302" s="20"/>
      <c r="AA302" s="20"/>
      <c r="AK302" s="45"/>
    </row>
    <row r="303" spans="9:37" ht="12.75">
      <c r="I303" s="20"/>
      <c r="R303" s="20"/>
      <c r="AA303" s="20"/>
      <c r="AK303" s="45"/>
    </row>
    <row r="304" spans="9:37" ht="12.75">
      <c r="I304" s="20"/>
      <c r="R304" s="20"/>
      <c r="AA304" s="20"/>
      <c r="AK304" s="45"/>
    </row>
    <row r="305" spans="9:37" ht="12.75">
      <c r="I305" s="20"/>
      <c r="R305" s="20"/>
      <c r="AA305" s="20"/>
      <c r="AK305" s="45"/>
    </row>
    <row r="306" spans="9:37" ht="12.75">
      <c r="I306" s="20"/>
      <c r="R306" s="20"/>
      <c r="AA306" s="20"/>
      <c r="AK306" s="45"/>
    </row>
    <row r="307" spans="9:37" ht="12.75">
      <c r="I307" s="20"/>
      <c r="R307" s="20"/>
      <c r="AA307" s="20"/>
      <c r="AK307" s="45"/>
    </row>
    <row r="308" spans="9:37" ht="12.75">
      <c r="I308" s="20"/>
      <c r="R308" s="20"/>
      <c r="AA308" s="20"/>
      <c r="AK308" s="45"/>
    </row>
    <row r="309" spans="9:37" ht="12.75">
      <c r="I309" s="20"/>
      <c r="R309" s="20"/>
      <c r="AA309" s="20"/>
      <c r="AK309" s="45"/>
    </row>
    <row r="310" spans="9:37" ht="12.75">
      <c r="I310" s="20"/>
      <c r="R310" s="20"/>
      <c r="AA310" s="20"/>
      <c r="AK310" s="45"/>
    </row>
    <row r="311" spans="9:37" ht="12.75">
      <c r="I311" s="20"/>
      <c r="R311" s="20"/>
      <c r="AA311" s="20"/>
      <c r="AK311" s="45"/>
    </row>
    <row r="312" spans="9:37" ht="12.75">
      <c r="I312" s="20"/>
      <c r="R312" s="20"/>
      <c r="AA312" s="20"/>
      <c r="AK312" s="45"/>
    </row>
    <row r="313" spans="9:37" ht="12.75">
      <c r="I313" s="20"/>
      <c r="R313" s="20"/>
      <c r="AA313" s="20"/>
      <c r="AK313" s="45"/>
    </row>
    <row r="314" spans="9:37" ht="12.75">
      <c r="I314" s="20"/>
      <c r="R314" s="20"/>
      <c r="AA314" s="20"/>
      <c r="AK314" s="45"/>
    </row>
    <row r="315" spans="9:37" ht="12.75">
      <c r="I315" s="20"/>
      <c r="R315" s="20"/>
      <c r="AA315" s="20"/>
      <c r="AK315" s="45"/>
    </row>
    <row r="316" spans="9:37" ht="12.75">
      <c r="I316" s="20"/>
      <c r="R316" s="20"/>
      <c r="AA316" s="20"/>
      <c r="AK316" s="45"/>
    </row>
    <row r="317" spans="9:37" ht="12.75">
      <c r="I317" s="20"/>
      <c r="R317" s="20"/>
      <c r="AA317" s="20"/>
      <c r="AK317" s="45"/>
    </row>
    <row r="318" spans="9:37" ht="12.75">
      <c r="I318" s="20"/>
      <c r="R318" s="20"/>
      <c r="AA318" s="20"/>
      <c r="AK318" s="45"/>
    </row>
    <row r="319" spans="9:37" ht="12.75">
      <c r="I319" s="20"/>
      <c r="R319" s="20"/>
      <c r="AA319" s="20"/>
      <c r="AK319" s="45"/>
    </row>
    <row r="320" spans="9:37" ht="12.75">
      <c r="I320" s="20"/>
      <c r="R320" s="20"/>
      <c r="AA320" s="20"/>
      <c r="AK320" s="45"/>
    </row>
    <row r="321" spans="9:37" ht="12.75">
      <c r="I321" s="20"/>
      <c r="R321" s="20"/>
      <c r="AA321" s="20"/>
      <c r="AK321" s="45"/>
    </row>
    <row r="322" spans="9:37" ht="12.75">
      <c r="I322" s="20"/>
      <c r="R322" s="20"/>
      <c r="AA322" s="20"/>
      <c r="AK322" s="45"/>
    </row>
    <row r="323" spans="9:37" ht="12.75">
      <c r="I323" s="20"/>
      <c r="R323" s="20"/>
      <c r="AA323" s="20"/>
      <c r="AK323" s="45"/>
    </row>
    <row r="324" spans="9:37" ht="12.75">
      <c r="I324" s="20"/>
      <c r="R324" s="20"/>
      <c r="AA324" s="20"/>
      <c r="AK324" s="45"/>
    </row>
    <row r="325" spans="9:37" ht="12.75">
      <c r="I325" s="20"/>
      <c r="R325" s="20"/>
      <c r="AA325" s="20"/>
      <c r="AK325" s="45"/>
    </row>
    <row r="326" spans="9:37" ht="12.75">
      <c r="I326" s="20"/>
      <c r="R326" s="20"/>
      <c r="AA326" s="20"/>
      <c r="AK326" s="45"/>
    </row>
    <row r="327" spans="9:37" ht="12.75">
      <c r="I327" s="20"/>
      <c r="R327" s="20"/>
      <c r="AA327" s="20"/>
      <c r="AK327" s="45"/>
    </row>
    <row r="328" spans="9:37" ht="12.75">
      <c r="I328" s="20"/>
      <c r="R328" s="20"/>
      <c r="AA328" s="20"/>
      <c r="AK328" s="45"/>
    </row>
    <row r="329" spans="9:37" ht="12.75">
      <c r="I329" s="20"/>
      <c r="R329" s="20"/>
      <c r="AA329" s="20"/>
      <c r="AK329" s="45"/>
    </row>
    <row r="330" spans="9:37" ht="12.75">
      <c r="I330" s="20"/>
      <c r="R330" s="20"/>
      <c r="AA330" s="20"/>
      <c r="AK330" s="45"/>
    </row>
    <row r="331" spans="9:37" ht="12.75">
      <c r="I331" s="20"/>
      <c r="R331" s="20"/>
      <c r="AA331" s="20"/>
      <c r="AK331" s="45"/>
    </row>
    <row r="332" spans="9:37" ht="12.75">
      <c r="I332" s="20"/>
      <c r="R332" s="20"/>
      <c r="AA332" s="20"/>
      <c r="AK332" s="45"/>
    </row>
    <row r="333" spans="9:37" ht="12.75">
      <c r="I333" s="20"/>
      <c r="R333" s="20"/>
      <c r="AA333" s="20"/>
      <c r="AK333" s="45"/>
    </row>
    <row r="334" spans="9:37" ht="12.75">
      <c r="I334" s="20"/>
      <c r="R334" s="20"/>
      <c r="AA334" s="20"/>
      <c r="AK334" s="45"/>
    </row>
    <row r="335" spans="9:37" ht="12.75">
      <c r="I335" s="20"/>
      <c r="R335" s="20"/>
      <c r="AA335" s="20"/>
      <c r="AK335" s="45"/>
    </row>
    <row r="336" spans="9:37" ht="12.75">
      <c r="I336" s="20"/>
      <c r="R336" s="20"/>
      <c r="AA336" s="20"/>
      <c r="AK336" s="45"/>
    </row>
    <row r="337" spans="9:37" ht="12.75">
      <c r="I337" s="20"/>
      <c r="R337" s="20"/>
      <c r="AA337" s="20"/>
      <c r="AK337" s="45"/>
    </row>
    <row r="338" spans="9:37" ht="12.75">
      <c r="I338" s="20"/>
      <c r="R338" s="20"/>
      <c r="AA338" s="20"/>
      <c r="AK338" s="45"/>
    </row>
    <row r="339" spans="9:37" ht="12.75">
      <c r="I339" s="20"/>
      <c r="R339" s="20"/>
      <c r="AA339" s="20"/>
      <c r="AK339" s="45"/>
    </row>
    <row r="340" spans="9:37" ht="12.75">
      <c r="I340" s="20"/>
      <c r="R340" s="20"/>
      <c r="AA340" s="20"/>
      <c r="AK340" s="45"/>
    </row>
    <row r="341" spans="9:37" ht="12.75">
      <c r="I341" s="20"/>
      <c r="R341" s="20"/>
      <c r="AA341" s="20"/>
      <c r="AK341" s="45"/>
    </row>
    <row r="342" spans="9:37" ht="12.75">
      <c r="I342" s="20"/>
      <c r="R342" s="20"/>
      <c r="AA342" s="20"/>
      <c r="AK342" s="45"/>
    </row>
    <row r="343" spans="9:37" ht="12.75">
      <c r="I343" s="20"/>
      <c r="R343" s="20"/>
      <c r="AA343" s="20"/>
      <c r="AK343" s="45"/>
    </row>
    <row r="344" spans="9:37" ht="12.75">
      <c r="I344" s="20"/>
      <c r="R344" s="20"/>
      <c r="AA344" s="20"/>
      <c r="AK344" s="45"/>
    </row>
    <row r="345" spans="9:37" ht="12.75">
      <c r="I345" s="20"/>
      <c r="R345" s="20"/>
      <c r="AA345" s="20"/>
      <c r="AK345" s="45"/>
    </row>
    <row r="346" spans="9:37" ht="12.75">
      <c r="I346" s="20"/>
      <c r="R346" s="20"/>
      <c r="AA346" s="20"/>
      <c r="AK346" s="45"/>
    </row>
    <row r="347" spans="9:37" ht="12.75">
      <c r="I347" s="20"/>
      <c r="R347" s="20"/>
      <c r="AA347" s="20"/>
      <c r="AK347" s="45"/>
    </row>
    <row r="348" spans="9:37" ht="12.75">
      <c r="I348" s="20"/>
      <c r="R348" s="20"/>
      <c r="AA348" s="20"/>
      <c r="AK348" s="45"/>
    </row>
    <row r="349" spans="9:37" ht="12.75">
      <c r="I349" s="20"/>
      <c r="R349" s="20"/>
      <c r="AA349" s="20"/>
      <c r="AK349" s="45"/>
    </row>
    <row r="350" spans="9:37" ht="12.75">
      <c r="I350" s="20"/>
      <c r="R350" s="20"/>
      <c r="AA350" s="20"/>
      <c r="AK350" s="45"/>
    </row>
    <row r="351" spans="9:37" ht="12.75">
      <c r="I351" s="20"/>
      <c r="R351" s="20"/>
      <c r="AA351" s="20"/>
      <c r="AK351" s="45"/>
    </row>
    <row r="352" spans="9:37" ht="12.75">
      <c r="I352" s="20"/>
      <c r="R352" s="20"/>
      <c r="AA352" s="20"/>
      <c r="AK352" s="45"/>
    </row>
    <row r="353" spans="9:37" ht="12.75">
      <c r="I353" s="20"/>
      <c r="R353" s="20"/>
      <c r="AA353" s="20"/>
      <c r="AK353" s="45"/>
    </row>
    <row r="354" spans="9:37" ht="12.75">
      <c r="I354" s="20"/>
      <c r="R354" s="20"/>
      <c r="AA354" s="20"/>
      <c r="AK354" s="45"/>
    </row>
    <row r="355" spans="9:37" ht="12.75">
      <c r="I355" s="20"/>
      <c r="R355" s="20"/>
      <c r="AA355" s="20"/>
      <c r="AK355" s="45"/>
    </row>
    <row r="356" spans="9:37" ht="12.75">
      <c r="I356" s="20"/>
      <c r="R356" s="20"/>
      <c r="AA356" s="20"/>
      <c r="AK356" s="45"/>
    </row>
    <row r="357" spans="9:37" ht="12.75">
      <c r="I357" s="20"/>
      <c r="R357" s="20"/>
      <c r="AA357" s="20"/>
      <c r="AK357" s="45"/>
    </row>
    <row r="358" spans="9:37" ht="12.75">
      <c r="I358" s="20"/>
      <c r="R358" s="20"/>
      <c r="AA358" s="20"/>
      <c r="AK358" s="45"/>
    </row>
    <row r="359" spans="9:37" ht="12.75">
      <c r="I359" s="20"/>
      <c r="R359" s="20"/>
      <c r="AA359" s="20"/>
      <c r="AK359" s="45"/>
    </row>
    <row r="360" spans="9:37" ht="12.75">
      <c r="I360" s="20"/>
      <c r="R360" s="20"/>
      <c r="AA360" s="20"/>
      <c r="AK360" s="45"/>
    </row>
    <row r="361" spans="9:37" ht="12.75">
      <c r="I361" s="20"/>
      <c r="R361" s="20"/>
      <c r="AA361" s="20"/>
      <c r="AK361" s="45"/>
    </row>
    <row r="362" spans="9:37" ht="12.75">
      <c r="I362" s="20"/>
      <c r="R362" s="20"/>
      <c r="AA362" s="20"/>
      <c r="AK362" s="45"/>
    </row>
    <row r="363" spans="9:37" ht="12.75">
      <c r="I363" s="20"/>
      <c r="R363" s="20"/>
      <c r="AA363" s="20"/>
      <c r="AK363" s="45"/>
    </row>
    <row r="364" spans="9:37" ht="12.75">
      <c r="I364" s="20"/>
      <c r="R364" s="20"/>
      <c r="AA364" s="20"/>
      <c r="AK364" s="45"/>
    </row>
    <row r="365" spans="9:37" ht="12.75">
      <c r="I365" s="20"/>
      <c r="R365" s="20"/>
      <c r="AA365" s="20"/>
      <c r="AK365" s="45"/>
    </row>
    <row r="366" spans="9:37" ht="12.75">
      <c r="I366" s="20"/>
      <c r="R366" s="20"/>
      <c r="AA366" s="20"/>
      <c r="AK366" s="45"/>
    </row>
    <row r="367" spans="9:37" ht="12.75">
      <c r="I367" s="20"/>
      <c r="R367" s="20"/>
      <c r="AA367" s="20"/>
      <c r="AK367" s="45"/>
    </row>
    <row r="368" spans="9:37" ht="12.75">
      <c r="I368" s="20"/>
      <c r="R368" s="20"/>
      <c r="AA368" s="20"/>
      <c r="AK368" s="45"/>
    </row>
    <row r="369" spans="9:37" ht="12.75">
      <c r="I369" s="20"/>
      <c r="R369" s="20"/>
      <c r="AA369" s="20"/>
      <c r="AK369" s="45"/>
    </row>
    <row r="370" spans="9:37" ht="12.75">
      <c r="I370" s="20"/>
      <c r="R370" s="20"/>
      <c r="AA370" s="20"/>
      <c r="AK370" s="45"/>
    </row>
    <row r="371" spans="9:37" ht="12.75">
      <c r="I371" s="20"/>
      <c r="R371" s="20"/>
      <c r="AA371" s="20"/>
      <c r="AK371" s="45"/>
    </row>
    <row r="372" spans="9:37" ht="12.75">
      <c r="I372" s="20"/>
      <c r="R372" s="20"/>
      <c r="AA372" s="20"/>
      <c r="AK372" s="45"/>
    </row>
    <row r="373" spans="9:37" ht="12.75">
      <c r="I373" s="20"/>
      <c r="R373" s="20"/>
      <c r="AA373" s="20"/>
      <c r="AK373" s="45"/>
    </row>
    <row r="374" spans="9:37" ht="12.75">
      <c r="I374" s="20"/>
      <c r="R374" s="20"/>
      <c r="AA374" s="20"/>
      <c r="AK374" s="45"/>
    </row>
    <row r="375" spans="9:37" ht="12.75">
      <c r="I375" s="20"/>
      <c r="R375" s="20"/>
      <c r="AA375" s="20"/>
      <c r="AK375" s="45"/>
    </row>
    <row r="376" spans="9:37" ht="12.75">
      <c r="I376" s="20"/>
      <c r="R376" s="20"/>
      <c r="AA376" s="20"/>
      <c r="AK376" s="45"/>
    </row>
    <row r="377" spans="9:37" ht="12.75">
      <c r="I377" s="20"/>
      <c r="R377" s="20"/>
      <c r="AA377" s="20"/>
      <c r="AK377" s="45"/>
    </row>
    <row r="378" spans="9:37" ht="12.75">
      <c r="I378" s="20"/>
      <c r="R378" s="20"/>
      <c r="AA378" s="20"/>
      <c r="AK378" s="45"/>
    </row>
    <row r="379" spans="9:37" ht="12.75">
      <c r="I379" s="20"/>
      <c r="R379" s="20"/>
      <c r="AA379" s="20"/>
      <c r="AK379" s="45"/>
    </row>
    <row r="380" spans="9:37" ht="12.75">
      <c r="I380" s="20"/>
      <c r="R380" s="20"/>
      <c r="AA380" s="20"/>
      <c r="AK380" s="45"/>
    </row>
    <row r="381" spans="9:37" ht="12.75">
      <c r="I381" s="20"/>
      <c r="R381" s="20"/>
      <c r="AA381" s="20"/>
      <c r="AK381" s="45"/>
    </row>
    <row r="382" spans="9:37" ht="12.75">
      <c r="I382" s="20"/>
      <c r="R382" s="20"/>
      <c r="AA382" s="20"/>
      <c r="AK382" s="45"/>
    </row>
    <row r="383" spans="9:37" ht="12.75">
      <c r="I383" s="20"/>
      <c r="R383" s="20"/>
      <c r="AA383" s="20"/>
      <c r="AK383" s="45"/>
    </row>
    <row r="384" spans="9:37" ht="12.75">
      <c r="I384" s="20"/>
      <c r="R384" s="20"/>
      <c r="AA384" s="20"/>
      <c r="AK384" s="45"/>
    </row>
    <row r="385" spans="9:37" ht="12.75">
      <c r="I385" s="20"/>
      <c r="R385" s="20"/>
      <c r="AA385" s="20"/>
      <c r="AK385" s="45"/>
    </row>
    <row r="386" spans="9:37" ht="12.75">
      <c r="I386" s="20"/>
      <c r="R386" s="20"/>
      <c r="AA386" s="20"/>
      <c r="AK386" s="45"/>
    </row>
    <row r="387" spans="9:37" ht="12.75">
      <c r="I387" s="20"/>
      <c r="R387" s="20"/>
      <c r="AA387" s="20"/>
      <c r="AK387" s="45"/>
    </row>
    <row r="388" spans="9:37" ht="12.75">
      <c r="I388" s="20"/>
      <c r="R388" s="20"/>
      <c r="AA388" s="20"/>
      <c r="AK388" s="45"/>
    </row>
    <row r="389" spans="9:37" ht="12.75">
      <c r="I389" s="20"/>
      <c r="R389" s="20"/>
      <c r="AA389" s="20"/>
      <c r="AK389" s="45"/>
    </row>
    <row r="390" spans="9:37" ht="12.75">
      <c r="I390" s="20"/>
      <c r="R390" s="20"/>
      <c r="AA390" s="20"/>
      <c r="AK390" s="45"/>
    </row>
    <row r="391" spans="9:37" ht="12.75">
      <c r="I391" s="20"/>
      <c r="R391" s="20"/>
      <c r="AA391" s="20"/>
      <c r="AK391" s="45"/>
    </row>
    <row r="392" spans="9:37" ht="12.75">
      <c r="I392" s="20"/>
      <c r="R392" s="20"/>
      <c r="AA392" s="20"/>
      <c r="AK392" s="45"/>
    </row>
    <row r="393" spans="9:37" ht="12.75">
      <c r="I393" s="20"/>
      <c r="R393" s="20"/>
      <c r="AA393" s="20"/>
      <c r="AK393" s="45"/>
    </row>
    <row r="394" spans="9:37" ht="12.75">
      <c r="I394" s="20"/>
      <c r="R394" s="20"/>
      <c r="AA394" s="20"/>
      <c r="AK394" s="45"/>
    </row>
    <row r="395" spans="9:37" ht="12.75">
      <c r="I395" s="20"/>
      <c r="R395" s="20"/>
      <c r="AA395" s="20"/>
      <c r="AK395" s="45"/>
    </row>
    <row r="396" spans="9:37" ht="12.75">
      <c r="I396" s="20"/>
      <c r="R396" s="20"/>
      <c r="AA396" s="20"/>
      <c r="AK396" s="45"/>
    </row>
    <row r="397" spans="9:37" ht="12.75">
      <c r="I397" s="20"/>
      <c r="R397" s="20"/>
      <c r="AA397" s="20"/>
      <c r="AK397" s="45"/>
    </row>
    <row r="398" spans="9:37" ht="12.75">
      <c r="I398" s="20"/>
      <c r="R398" s="20"/>
      <c r="AA398" s="20"/>
      <c r="AK398" s="45"/>
    </row>
    <row r="399" spans="9:37" ht="12.75">
      <c r="I399" s="20"/>
      <c r="R399" s="20"/>
      <c r="AA399" s="20"/>
      <c r="AK399" s="45"/>
    </row>
    <row r="400" spans="9:37" ht="12.75">
      <c r="I400" s="20"/>
      <c r="R400" s="20"/>
      <c r="AA400" s="20"/>
      <c r="AK400" s="45"/>
    </row>
    <row r="401" spans="9:37" ht="12.75">
      <c r="I401" s="20"/>
      <c r="R401" s="20"/>
      <c r="AA401" s="20"/>
      <c r="AK401" s="45"/>
    </row>
    <row r="402" spans="9:37" ht="12.75">
      <c r="I402" s="20"/>
      <c r="R402" s="20"/>
      <c r="AA402" s="20"/>
      <c r="AK402" s="45"/>
    </row>
    <row r="403" spans="9:37" ht="12.75">
      <c r="I403" s="20"/>
      <c r="R403" s="20"/>
      <c r="AA403" s="20"/>
      <c r="AK403" s="45"/>
    </row>
    <row r="404" spans="9:37" ht="12.75">
      <c r="I404" s="20"/>
      <c r="R404" s="20"/>
      <c r="AA404" s="20"/>
      <c r="AK404" s="45"/>
    </row>
    <row r="405" spans="9:37" ht="12.75">
      <c r="I405" s="20"/>
      <c r="R405" s="20"/>
      <c r="AA405" s="20"/>
      <c r="AK405" s="45"/>
    </row>
    <row r="406" spans="9:37" ht="12.75">
      <c r="I406" s="20"/>
      <c r="R406" s="20"/>
      <c r="AA406" s="20"/>
      <c r="AK406" s="45"/>
    </row>
    <row r="407" spans="9:37" ht="12.75">
      <c r="I407" s="20"/>
      <c r="R407" s="20"/>
      <c r="AA407" s="20"/>
      <c r="AK407" s="45"/>
    </row>
    <row r="408" spans="9:37" ht="12.75">
      <c r="I408" s="20"/>
      <c r="R408" s="20"/>
      <c r="AA408" s="20"/>
      <c r="AK408" s="45"/>
    </row>
    <row r="409" spans="9:37" ht="12.75">
      <c r="I409" s="20"/>
      <c r="R409" s="20"/>
      <c r="AA409" s="20"/>
      <c r="AK409" s="45"/>
    </row>
    <row r="410" spans="9:37" ht="12.75">
      <c r="I410" s="20"/>
      <c r="R410" s="20"/>
      <c r="AA410" s="20"/>
      <c r="AK410" s="45"/>
    </row>
    <row r="411" spans="9:37" ht="12.75">
      <c r="I411" s="20"/>
      <c r="R411" s="20"/>
      <c r="AA411" s="20"/>
      <c r="AK411" s="45"/>
    </row>
    <row r="412" spans="9:37" ht="12.75">
      <c r="I412" s="20"/>
      <c r="R412" s="20"/>
      <c r="AA412" s="20"/>
      <c r="AK412" s="45"/>
    </row>
    <row r="413" spans="9:37" ht="12.75">
      <c r="I413" s="20"/>
      <c r="R413" s="20"/>
      <c r="AA413" s="20"/>
      <c r="AK413" s="45"/>
    </row>
    <row r="414" spans="9:37" ht="12.75">
      <c r="I414" s="20"/>
      <c r="R414" s="20"/>
      <c r="AA414" s="20"/>
      <c r="AK414" s="45"/>
    </row>
    <row r="415" spans="9:37" ht="12.75">
      <c r="I415" s="20"/>
      <c r="R415" s="20"/>
      <c r="AA415" s="20"/>
      <c r="AK415" s="45"/>
    </row>
    <row r="416" spans="9:37" ht="12.75">
      <c r="I416" s="20"/>
      <c r="R416" s="20"/>
      <c r="AA416" s="20"/>
      <c r="AK416" s="45"/>
    </row>
    <row r="417" spans="9:37" ht="12.75">
      <c r="I417" s="20"/>
      <c r="R417" s="20"/>
      <c r="AA417" s="20"/>
      <c r="AK417" s="45"/>
    </row>
    <row r="418" spans="9:37" ht="12.75">
      <c r="I418" s="20"/>
      <c r="R418" s="20"/>
      <c r="AA418" s="20"/>
      <c r="AK418" s="45"/>
    </row>
    <row r="419" spans="9:37" ht="12.75">
      <c r="I419" s="20"/>
      <c r="R419" s="20"/>
      <c r="AA419" s="20"/>
      <c r="AK419" s="45"/>
    </row>
    <row r="420" spans="9:37" ht="12.75">
      <c r="I420" s="20"/>
      <c r="R420" s="20"/>
      <c r="AA420" s="20"/>
      <c r="AK420" s="45"/>
    </row>
    <row r="421" spans="9:37" ht="12.75">
      <c r="I421" s="20"/>
      <c r="R421" s="20"/>
      <c r="AA421" s="20"/>
      <c r="AK421" s="45"/>
    </row>
    <row r="422" spans="9:37" ht="12.75">
      <c r="I422" s="20"/>
      <c r="R422" s="20"/>
      <c r="AA422" s="20"/>
      <c r="AK422" s="45"/>
    </row>
    <row r="423" spans="9:37" ht="12.75">
      <c r="I423" s="20"/>
      <c r="R423" s="20"/>
      <c r="AA423" s="20"/>
      <c r="AK423" s="45"/>
    </row>
    <row r="424" spans="9:37" ht="12.75">
      <c r="I424" s="20"/>
      <c r="R424" s="20"/>
      <c r="AA424" s="20"/>
      <c r="AK424" s="45"/>
    </row>
    <row r="425" spans="9:37" ht="12.75">
      <c r="I425" s="20"/>
      <c r="R425" s="20"/>
      <c r="AA425" s="20"/>
      <c r="AK425" s="45"/>
    </row>
    <row r="426" spans="9:37" ht="12.75">
      <c r="I426" s="20"/>
      <c r="R426" s="20"/>
      <c r="AA426" s="20"/>
      <c r="AK426" s="45"/>
    </row>
    <row r="427" spans="9:37" ht="12.75">
      <c r="I427" s="20"/>
      <c r="R427" s="20"/>
      <c r="AA427" s="20"/>
      <c r="AK427" s="45"/>
    </row>
    <row r="428" spans="9:37" ht="12.75">
      <c r="I428" s="20"/>
      <c r="R428" s="20"/>
      <c r="AA428" s="20"/>
      <c r="AK428" s="45"/>
    </row>
    <row r="429" spans="9:37" ht="12.75">
      <c r="I429" s="20"/>
      <c r="R429" s="20"/>
      <c r="AA429" s="20"/>
      <c r="AK429" s="45"/>
    </row>
    <row r="430" spans="9:37" ht="12.75">
      <c r="I430" s="20"/>
      <c r="R430" s="20"/>
      <c r="AA430" s="20"/>
      <c r="AK430" s="45"/>
    </row>
    <row r="431" spans="9:37" ht="12.75">
      <c r="I431" s="20"/>
      <c r="R431" s="20"/>
      <c r="AA431" s="20"/>
      <c r="AK431" s="45"/>
    </row>
    <row r="432" spans="9:37" ht="12.75">
      <c r="I432" s="20"/>
      <c r="R432" s="20"/>
      <c r="AA432" s="20"/>
      <c r="AK432" s="45"/>
    </row>
    <row r="433" spans="9:37" ht="12.75">
      <c r="I433" s="20"/>
      <c r="R433" s="20"/>
      <c r="AA433" s="20"/>
      <c r="AK433" s="45"/>
    </row>
    <row r="434" spans="9:37" ht="12.75">
      <c r="I434" s="20"/>
      <c r="R434" s="20"/>
      <c r="AA434" s="20"/>
      <c r="AK434" s="45"/>
    </row>
    <row r="435" spans="9:37" ht="12.75">
      <c r="I435" s="20"/>
      <c r="R435" s="20"/>
      <c r="AA435" s="20"/>
      <c r="AK435" s="45"/>
    </row>
    <row r="436" spans="9:37" ht="12.75">
      <c r="I436" s="20"/>
      <c r="R436" s="20"/>
      <c r="AA436" s="20"/>
      <c r="AK436" s="45"/>
    </row>
    <row r="437" spans="9:37" ht="12.75">
      <c r="I437" s="20"/>
      <c r="R437" s="20"/>
      <c r="AA437" s="20"/>
      <c r="AK437" s="45"/>
    </row>
    <row r="438" spans="9:37" ht="12.75">
      <c r="I438" s="20"/>
      <c r="R438" s="20"/>
      <c r="AA438" s="20"/>
      <c r="AK438" s="45"/>
    </row>
    <row r="439" spans="9:37" ht="12.75">
      <c r="I439" s="20"/>
      <c r="R439" s="20"/>
      <c r="AA439" s="20"/>
      <c r="AK439" s="45"/>
    </row>
    <row r="440" spans="9:37" ht="12.75">
      <c r="I440" s="20"/>
      <c r="R440" s="20"/>
      <c r="AA440" s="20"/>
      <c r="AK440" s="45"/>
    </row>
    <row r="441" spans="9:37" ht="12.75">
      <c r="I441" s="20"/>
      <c r="R441" s="20"/>
      <c r="AA441" s="20"/>
      <c r="AK441" s="45"/>
    </row>
    <row r="442" spans="9:37" ht="12.75">
      <c r="I442" s="20"/>
      <c r="R442" s="20"/>
      <c r="AA442" s="20"/>
      <c r="AK442" s="45"/>
    </row>
    <row r="443" spans="9:37" ht="12.75">
      <c r="I443" s="20"/>
      <c r="R443" s="20"/>
      <c r="AA443" s="20"/>
      <c r="AK443" s="45"/>
    </row>
    <row r="444" spans="9:37" ht="12.75">
      <c r="I444" s="20"/>
      <c r="R444" s="20"/>
      <c r="AA444" s="20"/>
      <c r="AK444" s="45"/>
    </row>
    <row r="445" spans="9:37" ht="12.75">
      <c r="I445" s="20"/>
      <c r="R445" s="20"/>
      <c r="AA445" s="20"/>
      <c r="AK445" s="45"/>
    </row>
    <row r="446" spans="9:37" ht="12.75">
      <c r="I446" s="20"/>
      <c r="R446" s="20"/>
      <c r="AA446" s="20"/>
      <c r="AK446" s="45"/>
    </row>
    <row r="447" spans="9:37" ht="12.75">
      <c r="I447" s="20"/>
      <c r="R447" s="20"/>
      <c r="AA447" s="20"/>
      <c r="AK447" s="45"/>
    </row>
    <row r="448" spans="9:37" ht="12.75">
      <c r="I448" s="20"/>
      <c r="R448" s="20"/>
      <c r="AA448" s="20"/>
      <c r="AK448" s="45"/>
    </row>
    <row r="449" spans="9:37" ht="12.75">
      <c r="I449" s="20"/>
      <c r="R449" s="20"/>
      <c r="AA449" s="20"/>
      <c r="AK449" s="45"/>
    </row>
    <row r="450" spans="9:37" ht="12.75">
      <c r="I450" s="20"/>
      <c r="R450" s="20"/>
      <c r="AA450" s="20"/>
      <c r="AK450" s="45"/>
    </row>
    <row r="451" spans="9:37" ht="12.75">
      <c r="I451" s="20"/>
      <c r="R451" s="20"/>
      <c r="AA451" s="20"/>
      <c r="AK451" s="45"/>
    </row>
    <row r="452" spans="9:37" ht="12.75">
      <c r="I452" s="20"/>
      <c r="R452" s="20"/>
      <c r="AA452" s="20"/>
      <c r="AK452" s="45"/>
    </row>
    <row r="453" spans="9:37" ht="12.75">
      <c r="I453" s="20"/>
      <c r="R453" s="20"/>
      <c r="AA453" s="20"/>
      <c r="AK453" s="45"/>
    </row>
    <row r="454" spans="9:37" ht="12.75">
      <c r="I454" s="20"/>
      <c r="R454" s="20"/>
      <c r="AA454" s="20"/>
      <c r="AK454" s="45"/>
    </row>
    <row r="455" spans="9:37" ht="12.75">
      <c r="I455" s="20"/>
      <c r="R455" s="20"/>
      <c r="AA455" s="20"/>
      <c r="AK455" s="45"/>
    </row>
    <row r="456" spans="9:37" ht="12.75">
      <c r="I456" s="20"/>
      <c r="R456" s="20"/>
      <c r="AA456" s="20"/>
      <c r="AK456" s="45"/>
    </row>
    <row r="457" spans="9:37" ht="12.75">
      <c r="I457" s="20"/>
      <c r="R457" s="20"/>
      <c r="AA457" s="20"/>
      <c r="AK457" s="45"/>
    </row>
    <row r="458" spans="9:37" ht="12.75">
      <c r="I458" s="20"/>
      <c r="R458" s="20"/>
      <c r="AA458" s="20"/>
      <c r="AK458" s="45"/>
    </row>
    <row r="459" spans="9:37" ht="12.75">
      <c r="I459" s="20"/>
      <c r="R459" s="20"/>
      <c r="AA459" s="20"/>
      <c r="AK459" s="45"/>
    </row>
    <row r="460" spans="9:37" ht="12.75">
      <c r="I460" s="20"/>
      <c r="R460" s="20"/>
      <c r="AA460" s="20"/>
      <c r="AK460" s="45"/>
    </row>
    <row r="461" spans="9:37" ht="12.75">
      <c r="I461" s="20"/>
      <c r="R461" s="20"/>
      <c r="AA461" s="20"/>
      <c r="AK461" s="45"/>
    </row>
    <row r="462" spans="9:37" ht="12.75">
      <c r="I462" s="20"/>
      <c r="R462" s="20"/>
      <c r="AA462" s="20"/>
      <c r="AK462" s="45"/>
    </row>
    <row r="463" spans="9:37" ht="12.75">
      <c r="I463" s="20"/>
      <c r="R463" s="20"/>
      <c r="AA463" s="20"/>
      <c r="AK463" s="45"/>
    </row>
    <row r="464" spans="9:37" ht="12.75">
      <c r="I464" s="20"/>
      <c r="R464" s="20"/>
      <c r="AA464" s="20"/>
      <c r="AK464" s="45"/>
    </row>
    <row r="465" spans="9:37" ht="12.75">
      <c r="I465" s="20"/>
      <c r="R465" s="20"/>
      <c r="AA465" s="20"/>
      <c r="AK465" s="45"/>
    </row>
    <row r="466" spans="9:37" ht="12.75">
      <c r="I466" s="20"/>
      <c r="R466" s="20"/>
      <c r="AA466" s="20"/>
      <c r="AK466" s="45"/>
    </row>
    <row r="467" spans="9:37" ht="12.75">
      <c r="I467" s="20"/>
      <c r="R467" s="20"/>
      <c r="AA467" s="20"/>
      <c r="AK467" s="45"/>
    </row>
    <row r="468" spans="9:37" ht="12.75">
      <c r="I468" s="20"/>
      <c r="R468" s="20"/>
      <c r="AA468" s="20"/>
      <c r="AK468" s="45"/>
    </row>
    <row r="469" spans="9:37" ht="12.75">
      <c r="I469" s="20"/>
      <c r="R469" s="20"/>
      <c r="AA469" s="20"/>
      <c r="AK469" s="45"/>
    </row>
    <row r="470" spans="9:37" ht="12.75">
      <c r="I470" s="20"/>
      <c r="R470" s="20"/>
      <c r="AA470" s="20"/>
      <c r="AK470" s="45"/>
    </row>
    <row r="471" spans="9:37" ht="12.75">
      <c r="I471" s="20"/>
      <c r="R471" s="20"/>
      <c r="AA471" s="20"/>
      <c r="AK471" s="45"/>
    </row>
    <row r="472" spans="9:37" ht="12.75">
      <c r="I472" s="20"/>
      <c r="R472" s="20"/>
      <c r="AA472" s="20"/>
      <c r="AK472" s="45"/>
    </row>
    <row r="473" spans="9:37" ht="12.75">
      <c r="I473" s="20"/>
      <c r="R473" s="20"/>
      <c r="AA473" s="20"/>
      <c r="AK473" s="45"/>
    </row>
    <row r="474" spans="9:37" ht="12.75">
      <c r="I474" s="20"/>
      <c r="R474" s="20"/>
      <c r="AA474" s="20"/>
      <c r="AK474" s="45"/>
    </row>
    <row r="475" spans="9:37" ht="12.75">
      <c r="I475" s="20"/>
      <c r="R475" s="20"/>
      <c r="AA475" s="20"/>
      <c r="AK475" s="45"/>
    </row>
    <row r="476" spans="9:37" ht="12.75">
      <c r="I476" s="20"/>
      <c r="R476" s="20"/>
      <c r="AA476" s="20"/>
      <c r="AK476" s="45"/>
    </row>
    <row r="477" spans="9:37" ht="12.75">
      <c r="I477" s="20"/>
      <c r="R477" s="20"/>
      <c r="AA477" s="20"/>
      <c r="AK477" s="45"/>
    </row>
    <row r="478" spans="9:37" ht="12.75">
      <c r="I478" s="20"/>
      <c r="R478" s="20"/>
      <c r="AA478" s="20"/>
      <c r="AK478" s="45"/>
    </row>
    <row r="479" spans="9:37" ht="12.75">
      <c r="I479" s="20"/>
      <c r="R479" s="20"/>
      <c r="AA479" s="20"/>
      <c r="AK479" s="45"/>
    </row>
    <row r="480" spans="9:37" ht="12.75">
      <c r="I480" s="20"/>
      <c r="R480" s="20"/>
      <c r="AA480" s="20"/>
      <c r="AK480" s="45"/>
    </row>
    <row r="481" spans="9:37" ht="12.75">
      <c r="I481" s="20"/>
      <c r="R481" s="20"/>
      <c r="AA481" s="20"/>
      <c r="AK481" s="45"/>
    </row>
    <row r="482" spans="9:37" ht="12.75">
      <c r="I482" s="20"/>
      <c r="R482" s="20"/>
      <c r="AA482" s="20"/>
      <c r="AK482" s="45"/>
    </row>
    <row r="483" spans="9:37" ht="12.75">
      <c r="I483" s="20"/>
      <c r="R483" s="20"/>
      <c r="AA483" s="20"/>
      <c r="AK483" s="45"/>
    </row>
    <row r="484" spans="9:37" ht="12.75">
      <c r="I484" s="20"/>
      <c r="R484" s="20"/>
      <c r="AA484" s="20"/>
      <c r="AK484" s="45"/>
    </row>
    <row r="485" spans="9:37" ht="12.75">
      <c r="I485" s="20"/>
      <c r="R485" s="20"/>
      <c r="AA485" s="20"/>
      <c r="AK485" s="45"/>
    </row>
    <row r="486" spans="9:37" ht="12.75">
      <c r="I486" s="20"/>
      <c r="R486" s="20"/>
      <c r="AA486" s="20"/>
      <c r="AK486" s="45"/>
    </row>
    <row r="487" spans="9:37" ht="12.75">
      <c r="I487" s="20"/>
      <c r="R487" s="20"/>
      <c r="AA487" s="20"/>
      <c r="AK487" s="45"/>
    </row>
    <row r="488" spans="9:37" ht="12.75">
      <c r="I488" s="20"/>
      <c r="R488" s="20"/>
      <c r="AA488" s="20"/>
      <c r="AK488" s="45"/>
    </row>
    <row r="489" spans="9:37" ht="12.75">
      <c r="I489" s="20"/>
      <c r="R489" s="20"/>
      <c r="AA489" s="20"/>
      <c r="AK489" s="45"/>
    </row>
    <row r="490" spans="9:37" ht="12.75">
      <c r="I490" s="20"/>
      <c r="R490" s="20"/>
      <c r="AA490" s="20"/>
      <c r="AK490" s="45"/>
    </row>
    <row r="491" spans="9:37" ht="12.75">
      <c r="I491" s="20"/>
      <c r="R491" s="20"/>
      <c r="AA491" s="20"/>
      <c r="AK491" s="45"/>
    </row>
    <row r="492" spans="9:37" ht="12.75">
      <c r="I492" s="20"/>
      <c r="R492" s="20"/>
      <c r="AA492" s="20"/>
      <c r="AK492" s="45"/>
    </row>
    <row r="493" spans="9:37" ht="12.75">
      <c r="I493" s="20"/>
      <c r="R493" s="20"/>
      <c r="AA493" s="20"/>
      <c r="AK493" s="45"/>
    </row>
    <row r="494" spans="9:37" ht="12.75">
      <c r="I494" s="20"/>
      <c r="R494" s="20"/>
      <c r="AA494" s="20"/>
      <c r="AK494" s="45"/>
    </row>
    <row r="495" spans="9:37" ht="12.75">
      <c r="I495" s="20"/>
      <c r="R495" s="20"/>
      <c r="AA495" s="20"/>
      <c r="AK495" s="45"/>
    </row>
    <row r="496" spans="9:37" ht="12.75">
      <c r="I496" s="20"/>
      <c r="R496" s="20"/>
      <c r="AA496" s="20"/>
      <c r="AK496" s="45"/>
    </row>
    <row r="497" spans="9:37" ht="12.75">
      <c r="I497" s="20"/>
      <c r="R497" s="20"/>
      <c r="AA497" s="20"/>
      <c r="AK497" s="45"/>
    </row>
    <row r="498" spans="9:37" ht="12.75">
      <c r="I498" s="20"/>
      <c r="R498" s="20"/>
      <c r="AA498" s="20"/>
      <c r="AK498" s="45"/>
    </row>
    <row r="499" spans="9:37" ht="12.75">
      <c r="I499" s="20"/>
      <c r="R499" s="20"/>
      <c r="AA499" s="20"/>
      <c r="AK499" s="45"/>
    </row>
    <row r="500" spans="9:37" ht="12.75">
      <c r="I500" s="20"/>
      <c r="R500" s="20"/>
      <c r="AA500" s="20"/>
      <c r="AK500" s="45"/>
    </row>
    <row r="501" spans="9:37" ht="12.75">
      <c r="I501" s="20"/>
      <c r="R501" s="20"/>
      <c r="AA501" s="20"/>
      <c r="AK501" s="45"/>
    </row>
    <row r="502" spans="9:37" ht="12.75">
      <c r="I502" s="20"/>
      <c r="R502" s="20"/>
      <c r="AA502" s="20"/>
      <c r="AK502" s="45"/>
    </row>
    <row r="503" spans="9:37" ht="12.75">
      <c r="I503" s="20"/>
      <c r="R503" s="20"/>
      <c r="AA503" s="20"/>
      <c r="AK503" s="45"/>
    </row>
    <row r="504" spans="9:37" ht="12.75">
      <c r="I504" s="20"/>
      <c r="R504" s="20"/>
      <c r="AA504" s="20"/>
      <c r="AK504" s="45"/>
    </row>
    <row r="505" spans="9:37" ht="12.75">
      <c r="I505" s="20"/>
      <c r="R505" s="20"/>
      <c r="AA505" s="20"/>
      <c r="AK505" s="45"/>
    </row>
    <row r="506" spans="9:37" ht="12.75">
      <c r="I506" s="20"/>
      <c r="R506" s="20"/>
      <c r="AA506" s="20"/>
      <c r="AK506" s="45"/>
    </row>
    <row r="507" spans="9:37" ht="12.75">
      <c r="I507" s="20"/>
      <c r="R507" s="20"/>
      <c r="AA507" s="20"/>
      <c r="AK507" s="45"/>
    </row>
    <row r="508" spans="9:37" ht="12.75">
      <c r="I508" s="20"/>
      <c r="R508" s="20"/>
      <c r="AA508" s="20"/>
      <c r="AK508" s="45"/>
    </row>
    <row r="509" spans="9:37" ht="12.75">
      <c r="I509" s="20"/>
      <c r="R509" s="20"/>
      <c r="AA509" s="20"/>
      <c r="AK509" s="45"/>
    </row>
    <row r="510" spans="9:37" ht="12.75">
      <c r="I510" s="20"/>
      <c r="R510" s="20"/>
      <c r="AA510" s="20"/>
      <c r="AK510" s="45"/>
    </row>
    <row r="511" spans="9:37" ht="12.75">
      <c r="I511" s="20"/>
      <c r="R511" s="20"/>
      <c r="AA511" s="20"/>
      <c r="AK511" s="45"/>
    </row>
    <row r="512" spans="9:37" ht="12.75">
      <c r="I512" s="20"/>
      <c r="R512" s="20"/>
      <c r="AA512" s="20"/>
      <c r="AK512" s="45"/>
    </row>
    <row r="513" spans="9:37" ht="12.75">
      <c r="I513" s="20"/>
      <c r="R513" s="20"/>
      <c r="AA513" s="20"/>
      <c r="AK513" s="45"/>
    </row>
    <row r="514" spans="9:37" ht="12.75">
      <c r="I514" s="20"/>
      <c r="R514" s="20"/>
      <c r="AA514" s="20"/>
      <c r="AK514" s="45"/>
    </row>
    <row r="515" spans="9:37" ht="12.75">
      <c r="I515" s="20"/>
      <c r="R515" s="20"/>
      <c r="AA515" s="20"/>
      <c r="AK515" s="45"/>
    </row>
    <row r="516" spans="9:37" ht="12.75">
      <c r="I516" s="20"/>
      <c r="R516" s="20"/>
      <c r="AA516" s="20"/>
      <c r="AK516" s="45"/>
    </row>
    <row r="517" spans="9:37" ht="12.75">
      <c r="I517" s="20"/>
      <c r="R517" s="20"/>
      <c r="AA517" s="20"/>
      <c r="AK517" s="45"/>
    </row>
    <row r="518" spans="9:37" ht="12.75">
      <c r="I518" s="20"/>
      <c r="R518" s="20"/>
      <c r="AA518" s="20"/>
      <c r="AK518" s="45"/>
    </row>
    <row r="519" spans="9:37" ht="12.75">
      <c r="I519" s="20"/>
      <c r="R519" s="20"/>
      <c r="AA519" s="20"/>
      <c r="AK519" s="45"/>
    </row>
    <row r="520" spans="9:37" ht="12.75">
      <c r="I520" s="20"/>
      <c r="R520" s="20"/>
      <c r="AA520" s="20"/>
      <c r="AK520" s="45"/>
    </row>
    <row r="521" spans="9:37" ht="12.75">
      <c r="I521" s="20"/>
      <c r="R521" s="20"/>
      <c r="AA521" s="20"/>
      <c r="AK521" s="45"/>
    </row>
    <row r="522" spans="9:37" ht="12.75">
      <c r="I522" s="20"/>
      <c r="R522" s="20"/>
      <c r="AA522" s="20"/>
      <c r="AK522" s="45"/>
    </row>
    <row r="523" spans="9:37" ht="12.75">
      <c r="I523" s="20"/>
      <c r="R523" s="20"/>
      <c r="AA523" s="20"/>
      <c r="AK523" s="45"/>
    </row>
    <row r="524" spans="9:37" ht="12.75">
      <c r="I524" s="20"/>
      <c r="R524" s="20"/>
      <c r="AA524" s="20"/>
      <c r="AK524" s="45"/>
    </row>
    <row r="525" spans="9:37" ht="12.75">
      <c r="I525" s="20"/>
      <c r="R525" s="20"/>
      <c r="AA525" s="20"/>
      <c r="AK525" s="45"/>
    </row>
    <row r="526" spans="9:37" ht="12.75">
      <c r="I526" s="20"/>
      <c r="R526" s="20"/>
      <c r="AA526" s="20"/>
      <c r="AK526" s="45"/>
    </row>
    <row r="527" spans="9:37" ht="12.75">
      <c r="I527" s="20"/>
      <c r="R527" s="20"/>
      <c r="AA527" s="20"/>
      <c r="AK527" s="45"/>
    </row>
    <row r="528" spans="9:37" ht="12.75">
      <c r="I528" s="20"/>
      <c r="R528" s="20"/>
      <c r="AA528" s="20"/>
      <c r="AK528" s="45"/>
    </row>
    <row r="529" spans="9:37" ht="12.75">
      <c r="I529" s="20"/>
      <c r="R529" s="20"/>
      <c r="AA529" s="20"/>
      <c r="AK529" s="45"/>
    </row>
    <row r="530" spans="9:37" ht="12.75">
      <c r="I530" s="20"/>
      <c r="R530" s="20"/>
      <c r="AA530" s="20"/>
      <c r="AK530" s="45"/>
    </row>
    <row r="531" spans="9:37" ht="12.75">
      <c r="I531" s="20"/>
      <c r="R531" s="20"/>
      <c r="AA531" s="20"/>
      <c r="AK531" s="45"/>
    </row>
    <row r="532" spans="9:37" ht="12.75">
      <c r="I532" s="20"/>
      <c r="R532" s="20"/>
      <c r="AA532" s="20"/>
      <c r="AK532" s="45"/>
    </row>
    <row r="533" spans="9:37" ht="12.75">
      <c r="I533" s="20"/>
      <c r="R533" s="20"/>
      <c r="AA533" s="20"/>
      <c r="AK533" s="45"/>
    </row>
    <row r="534" spans="9:37" ht="12.75">
      <c r="I534" s="20"/>
      <c r="R534" s="20"/>
      <c r="AA534" s="20"/>
      <c r="AK534" s="45"/>
    </row>
    <row r="535" spans="9:37" ht="12.75">
      <c r="I535" s="20"/>
      <c r="R535" s="20"/>
      <c r="AA535" s="20"/>
      <c r="AK535" s="45"/>
    </row>
    <row r="536" spans="9:37" ht="12.75">
      <c r="I536" s="20"/>
      <c r="R536" s="20"/>
      <c r="AA536" s="20"/>
      <c r="AK536" s="45"/>
    </row>
    <row r="537" spans="9:37" ht="12.75">
      <c r="I537" s="20"/>
      <c r="R537" s="20"/>
      <c r="AA537" s="20"/>
      <c r="AK537" s="45"/>
    </row>
    <row r="538" spans="9:37" ht="12.75">
      <c r="I538" s="20"/>
      <c r="R538" s="20"/>
      <c r="AA538" s="20"/>
      <c r="AK538" s="45"/>
    </row>
    <row r="539" spans="9:37" ht="12.75">
      <c r="I539" s="20"/>
      <c r="R539" s="20"/>
      <c r="AA539" s="20"/>
      <c r="AK539" s="45"/>
    </row>
    <row r="540" spans="9:37" ht="12.75">
      <c r="I540" s="20"/>
      <c r="R540" s="20"/>
      <c r="AA540" s="20"/>
      <c r="AK540" s="45"/>
    </row>
    <row r="541" spans="9:37" ht="12.75">
      <c r="I541" s="20"/>
      <c r="R541" s="20"/>
      <c r="AA541" s="20"/>
      <c r="AK541" s="45"/>
    </row>
    <row r="542" spans="9:37" ht="12.75">
      <c r="I542" s="20"/>
      <c r="R542" s="20"/>
      <c r="AA542" s="20"/>
      <c r="AK542" s="45"/>
    </row>
    <row r="543" spans="9:37" ht="12.75">
      <c r="I543" s="20"/>
      <c r="R543" s="20"/>
      <c r="AA543" s="20"/>
      <c r="AK543" s="45"/>
    </row>
    <row r="544" spans="9:37" ht="12.75">
      <c r="I544" s="20"/>
      <c r="R544" s="20"/>
      <c r="AA544" s="20"/>
      <c r="AK544" s="45"/>
    </row>
    <row r="545" spans="9:37" ht="12.75">
      <c r="I545" s="20"/>
      <c r="R545" s="20"/>
      <c r="AA545" s="20"/>
      <c r="AK545" s="45"/>
    </row>
    <row r="546" spans="9:37" ht="12.75">
      <c r="I546" s="20"/>
      <c r="R546" s="20"/>
      <c r="AA546" s="20"/>
      <c r="AK546" s="45"/>
    </row>
    <row r="547" spans="9:37" ht="12.75">
      <c r="I547" s="20"/>
      <c r="R547" s="20"/>
      <c r="AA547" s="20"/>
      <c r="AK547" s="45"/>
    </row>
    <row r="548" spans="9:37" ht="12.75">
      <c r="I548" s="20"/>
      <c r="R548" s="20"/>
      <c r="AA548" s="20"/>
      <c r="AK548" s="45"/>
    </row>
    <row r="549" spans="9:37" ht="12.75">
      <c r="I549" s="20"/>
      <c r="R549" s="20"/>
      <c r="AA549" s="20"/>
      <c r="AK549" s="45"/>
    </row>
    <row r="550" spans="9:37" ht="12.75">
      <c r="I550" s="20"/>
      <c r="R550" s="20"/>
      <c r="AA550" s="20"/>
      <c r="AK550" s="45"/>
    </row>
    <row r="551" spans="9:37" ht="12.75">
      <c r="I551" s="20"/>
      <c r="R551" s="20"/>
      <c r="AA551" s="20"/>
      <c r="AK551" s="45"/>
    </row>
    <row r="552" spans="9:37" ht="12.75">
      <c r="I552" s="20"/>
      <c r="R552" s="20"/>
      <c r="AA552" s="20"/>
      <c r="AK552" s="45"/>
    </row>
    <row r="553" spans="9:37" ht="12.75">
      <c r="I553" s="20"/>
      <c r="R553" s="20"/>
      <c r="AA553" s="20"/>
      <c r="AK553" s="45"/>
    </row>
    <row r="554" spans="9:37" ht="12.75">
      <c r="I554" s="20"/>
      <c r="R554" s="20"/>
      <c r="AA554" s="20"/>
      <c r="AK554" s="45"/>
    </row>
    <row r="555" spans="9:37" ht="12.75">
      <c r="I555" s="20"/>
      <c r="R555" s="20"/>
      <c r="AA555" s="20"/>
      <c r="AK555" s="45"/>
    </row>
    <row r="556" spans="9:37" ht="12.75">
      <c r="I556" s="20"/>
      <c r="R556" s="20"/>
      <c r="AA556" s="20"/>
      <c r="AK556" s="45"/>
    </row>
    <row r="557" spans="9:37" ht="12.75">
      <c r="I557" s="20"/>
      <c r="R557" s="20"/>
      <c r="AA557" s="20"/>
      <c r="AK557" s="45"/>
    </row>
    <row r="558" spans="9:37" ht="12.75">
      <c r="I558" s="20"/>
      <c r="R558" s="20"/>
      <c r="AA558" s="20"/>
      <c r="AK558" s="45"/>
    </row>
    <row r="559" spans="9:37" ht="12.75">
      <c r="I559" s="20"/>
      <c r="R559" s="20"/>
      <c r="AA559" s="20"/>
      <c r="AK559" s="45"/>
    </row>
    <row r="560" spans="9:37" ht="12.75">
      <c r="I560" s="20"/>
      <c r="R560" s="20"/>
      <c r="AA560" s="20"/>
      <c r="AK560" s="45"/>
    </row>
    <row r="561" spans="9:37" ht="12.75">
      <c r="I561" s="20"/>
      <c r="R561" s="20"/>
      <c r="AA561" s="20"/>
      <c r="AK561" s="45"/>
    </row>
    <row r="562" spans="9:37" ht="12.75">
      <c r="I562" s="20"/>
      <c r="R562" s="20"/>
      <c r="AA562" s="20"/>
      <c r="AK562" s="45"/>
    </row>
    <row r="563" spans="9:37" ht="12.75">
      <c r="I563" s="20"/>
      <c r="R563" s="20"/>
      <c r="AA563" s="20"/>
      <c r="AK563" s="45"/>
    </row>
    <row r="564" spans="9:37" ht="12.75">
      <c r="I564" s="20"/>
      <c r="R564" s="20"/>
      <c r="AA564" s="20"/>
      <c r="AK564" s="45"/>
    </row>
    <row r="565" spans="9:37" ht="12.75">
      <c r="I565" s="20"/>
      <c r="R565" s="20"/>
      <c r="AA565" s="20"/>
      <c r="AK565" s="45"/>
    </row>
    <row r="566" spans="9:37" ht="12.75">
      <c r="I566" s="20"/>
      <c r="R566" s="20"/>
      <c r="AA566" s="20"/>
      <c r="AK566" s="45"/>
    </row>
    <row r="567" spans="9:37" ht="12.75">
      <c r="I567" s="20"/>
      <c r="R567" s="20"/>
      <c r="AA567" s="20"/>
      <c r="AK567" s="45"/>
    </row>
    <row r="568" spans="9:37" ht="12.75">
      <c r="I568" s="20"/>
      <c r="R568" s="20"/>
      <c r="AA568" s="20"/>
      <c r="AK568" s="45"/>
    </row>
    <row r="569" spans="9:37" ht="12.75">
      <c r="I569" s="20"/>
      <c r="R569" s="20"/>
      <c r="AA569" s="20"/>
      <c r="AK569" s="45"/>
    </row>
    <row r="570" spans="9:37" ht="12.75">
      <c r="I570" s="20"/>
      <c r="R570" s="20"/>
      <c r="AA570" s="20"/>
      <c r="AK570" s="45"/>
    </row>
    <row r="571" spans="9:37" ht="12.75">
      <c r="I571" s="20"/>
      <c r="R571" s="20"/>
      <c r="AA571" s="20"/>
      <c r="AK571" s="45"/>
    </row>
    <row r="572" spans="9:37" ht="12.75">
      <c r="I572" s="20"/>
      <c r="R572" s="20"/>
      <c r="AA572" s="20"/>
      <c r="AK572" s="45"/>
    </row>
    <row r="573" spans="9:37" ht="12.75">
      <c r="I573" s="20"/>
      <c r="R573" s="20"/>
      <c r="AA573" s="20"/>
      <c r="AK573" s="45"/>
    </row>
    <row r="574" spans="9:37" ht="12.75">
      <c r="I574" s="20"/>
      <c r="R574" s="20"/>
      <c r="AA574" s="20"/>
      <c r="AK574" s="45"/>
    </row>
    <row r="575" spans="9:37" ht="12.75">
      <c r="I575" s="20"/>
      <c r="R575" s="20"/>
      <c r="AA575" s="20"/>
      <c r="AK575" s="45"/>
    </row>
    <row r="576" spans="9:37" ht="12.75">
      <c r="I576" s="20"/>
      <c r="R576" s="20"/>
      <c r="AA576" s="20"/>
      <c r="AK576" s="45"/>
    </row>
    <row r="577" spans="9:37" ht="12.75">
      <c r="I577" s="20"/>
      <c r="R577" s="20"/>
      <c r="AA577" s="20"/>
      <c r="AK577" s="45"/>
    </row>
    <row r="578" spans="9:37" ht="12.75">
      <c r="I578" s="20"/>
      <c r="R578" s="20"/>
      <c r="AA578" s="20"/>
      <c r="AK578" s="45"/>
    </row>
    <row r="579" spans="9:37" ht="12.75">
      <c r="I579" s="20"/>
      <c r="R579" s="20"/>
      <c r="AA579" s="20"/>
      <c r="AK579" s="45"/>
    </row>
    <row r="580" spans="9:37" ht="12.75">
      <c r="I580" s="20"/>
      <c r="R580" s="20"/>
      <c r="AA580" s="20"/>
      <c r="AK580" s="45"/>
    </row>
    <row r="581" spans="9:37" ht="12.75">
      <c r="I581" s="20"/>
      <c r="R581" s="20"/>
      <c r="AA581" s="20"/>
      <c r="AK581" s="45"/>
    </row>
    <row r="582" spans="9:37" ht="12.75">
      <c r="I582" s="20"/>
      <c r="R582" s="20"/>
      <c r="AA582" s="20"/>
      <c r="AK582" s="45"/>
    </row>
    <row r="583" spans="9:37" ht="12.75">
      <c r="I583" s="20"/>
      <c r="R583" s="20"/>
      <c r="AA583" s="20"/>
      <c r="AK583" s="45"/>
    </row>
    <row r="584" spans="9:37" ht="12.75">
      <c r="I584" s="20"/>
      <c r="R584" s="20"/>
      <c r="AA584" s="20"/>
      <c r="AK584" s="45"/>
    </row>
    <row r="585" spans="9:37" ht="12.75">
      <c r="I585" s="20"/>
      <c r="R585" s="20"/>
      <c r="AA585" s="20"/>
      <c r="AK585" s="45"/>
    </row>
    <row r="586" spans="9:37" ht="12.75">
      <c r="I586" s="20"/>
      <c r="R586" s="20"/>
      <c r="AA586" s="20"/>
      <c r="AK586" s="45"/>
    </row>
    <row r="587" spans="9:37" ht="12.75">
      <c r="I587" s="20"/>
      <c r="R587" s="20"/>
      <c r="AA587" s="20"/>
      <c r="AK587" s="45"/>
    </row>
    <row r="588" spans="9:37" ht="12.75">
      <c r="I588" s="20"/>
      <c r="R588" s="20"/>
      <c r="AA588" s="20"/>
      <c r="AK588" s="45"/>
    </row>
    <row r="589" spans="9:37" ht="12.75">
      <c r="I589" s="20"/>
      <c r="R589" s="20"/>
      <c r="AA589" s="20"/>
      <c r="AK589" s="45"/>
    </row>
    <row r="590" spans="9:37" ht="12.75">
      <c r="I590" s="20"/>
      <c r="R590" s="20"/>
      <c r="AA590" s="20"/>
      <c r="AK590" s="45"/>
    </row>
    <row r="591" spans="9:37" ht="12.75">
      <c r="I591" s="20"/>
      <c r="R591" s="20"/>
      <c r="AA591" s="20"/>
      <c r="AK591" s="45"/>
    </row>
    <row r="592" spans="9:37" ht="12.75">
      <c r="I592" s="20"/>
      <c r="R592" s="20"/>
      <c r="AA592" s="20"/>
      <c r="AK592" s="45"/>
    </row>
    <row r="593" spans="9:37" ht="12.75">
      <c r="I593" s="20"/>
      <c r="R593" s="20"/>
      <c r="AA593" s="20"/>
      <c r="AK593" s="45"/>
    </row>
    <row r="594" spans="9:37" ht="12.75">
      <c r="I594" s="20"/>
      <c r="R594" s="20"/>
      <c r="AA594" s="20"/>
      <c r="AK594" s="45"/>
    </row>
    <row r="595" spans="9:37" ht="12.75">
      <c r="I595" s="20"/>
      <c r="R595" s="20"/>
      <c r="AA595" s="20"/>
      <c r="AK595" s="45"/>
    </row>
    <row r="596" spans="9:37" ht="12.75">
      <c r="I596" s="20"/>
      <c r="R596" s="20"/>
      <c r="AA596" s="20"/>
      <c r="AK596" s="45"/>
    </row>
    <row r="597" spans="9:37" ht="12.75">
      <c r="I597" s="20"/>
      <c r="R597" s="20"/>
      <c r="AA597" s="20"/>
      <c r="AK597" s="45"/>
    </row>
    <row r="598" spans="9:37" ht="12.75">
      <c r="I598" s="20"/>
      <c r="R598" s="20"/>
      <c r="AA598" s="20"/>
      <c r="AK598" s="45"/>
    </row>
    <row r="599" spans="9:37" ht="12.75">
      <c r="I599" s="20"/>
      <c r="R599" s="20"/>
      <c r="AA599" s="20"/>
      <c r="AK599" s="45"/>
    </row>
    <row r="600" spans="9:37" ht="12.75">
      <c r="I600" s="20"/>
      <c r="R600" s="20"/>
      <c r="AA600" s="20"/>
      <c r="AK600" s="45"/>
    </row>
    <row r="601" spans="9:37" ht="12.75">
      <c r="I601" s="20"/>
      <c r="R601" s="20"/>
      <c r="AA601" s="20"/>
      <c r="AK601" s="45"/>
    </row>
    <row r="602" spans="9:37" ht="12.75">
      <c r="I602" s="20"/>
      <c r="R602" s="20"/>
      <c r="AA602" s="20"/>
      <c r="AK602" s="45"/>
    </row>
    <row r="603" spans="9:37" ht="12.75">
      <c r="I603" s="20"/>
      <c r="R603" s="20"/>
      <c r="AA603" s="20"/>
      <c r="AK603" s="45"/>
    </row>
    <row r="604" spans="9:37" ht="12.75">
      <c r="I604" s="20"/>
      <c r="R604" s="20"/>
      <c r="AA604" s="20"/>
      <c r="AK604" s="45"/>
    </row>
    <row r="605" spans="9:37" ht="12.75">
      <c r="I605" s="20"/>
      <c r="R605" s="20"/>
      <c r="AA605" s="20"/>
      <c r="AK605" s="45"/>
    </row>
    <row r="606" spans="9:37" ht="12.75">
      <c r="I606" s="20"/>
      <c r="R606" s="20"/>
      <c r="AA606" s="20"/>
      <c r="AK606" s="45"/>
    </row>
    <row r="607" spans="9:37" ht="12.75">
      <c r="I607" s="20"/>
      <c r="R607" s="20"/>
      <c r="AA607" s="20"/>
      <c r="AK607" s="45"/>
    </row>
    <row r="608" spans="9:37" ht="12.75">
      <c r="I608" s="20"/>
      <c r="R608" s="20"/>
      <c r="AA608" s="20"/>
      <c r="AK608" s="45"/>
    </row>
    <row r="609" spans="9:37" ht="12.75">
      <c r="I609" s="20"/>
      <c r="R609" s="20"/>
      <c r="AA609" s="20"/>
      <c r="AK609" s="45"/>
    </row>
    <row r="610" spans="9:37" ht="12.75">
      <c r="I610" s="20"/>
      <c r="R610" s="20"/>
      <c r="AA610" s="20"/>
      <c r="AK610" s="45"/>
    </row>
    <row r="611" spans="9:37" ht="12.75">
      <c r="I611" s="20"/>
      <c r="R611" s="20"/>
      <c r="AA611" s="20"/>
      <c r="AK611" s="45"/>
    </row>
    <row r="612" spans="9:37" ht="12.75">
      <c r="I612" s="20"/>
      <c r="R612" s="20"/>
      <c r="AA612" s="20"/>
      <c r="AK612" s="45"/>
    </row>
    <row r="613" spans="9:37" ht="12.75">
      <c r="I613" s="20"/>
      <c r="R613" s="20"/>
      <c r="AA613" s="20"/>
      <c r="AK613" s="45"/>
    </row>
    <row r="614" spans="9:37" ht="12.75">
      <c r="I614" s="20"/>
      <c r="R614" s="20"/>
      <c r="AA614" s="20"/>
      <c r="AK614" s="45"/>
    </row>
    <row r="615" spans="9:37" ht="12.75">
      <c r="I615" s="20"/>
      <c r="R615" s="20"/>
      <c r="AA615" s="20"/>
      <c r="AK615" s="45"/>
    </row>
    <row r="616" spans="9:37" ht="12.75">
      <c r="I616" s="20"/>
      <c r="R616" s="20"/>
      <c r="AA616" s="20"/>
      <c r="AK616" s="45"/>
    </row>
    <row r="617" spans="9:37" ht="12.75">
      <c r="I617" s="20"/>
      <c r="R617" s="20"/>
      <c r="AA617" s="20"/>
      <c r="AK617" s="45"/>
    </row>
    <row r="618" spans="9:37" ht="12.75">
      <c r="I618" s="20"/>
      <c r="R618" s="20"/>
      <c r="AA618" s="20"/>
      <c r="AK618" s="45"/>
    </row>
    <row r="619" spans="9:37" ht="12.75">
      <c r="I619" s="20"/>
      <c r="R619" s="20"/>
      <c r="AA619" s="20"/>
      <c r="AK619" s="45"/>
    </row>
    <row r="620" spans="9:37" ht="12.75">
      <c r="I620" s="20"/>
      <c r="R620" s="20"/>
      <c r="AA620" s="20"/>
      <c r="AK620" s="45"/>
    </row>
    <row r="621" spans="9:37" ht="12.75">
      <c r="I621" s="20"/>
      <c r="R621" s="20"/>
      <c r="AA621" s="20"/>
      <c r="AK621" s="45"/>
    </row>
    <row r="622" spans="9:37" ht="12.75">
      <c r="I622" s="20"/>
      <c r="R622" s="20"/>
      <c r="AA622" s="20"/>
      <c r="AK622" s="45"/>
    </row>
    <row r="623" spans="9:37" ht="12.75">
      <c r="I623" s="20"/>
      <c r="R623" s="20"/>
      <c r="AA623" s="20"/>
      <c r="AK623" s="45"/>
    </row>
    <row r="624" spans="9:37" ht="12.75">
      <c r="I624" s="20"/>
      <c r="R624" s="20"/>
      <c r="AA624" s="20"/>
      <c r="AK624" s="45"/>
    </row>
    <row r="625" spans="9:37" ht="12.75">
      <c r="I625" s="20"/>
      <c r="R625" s="20"/>
      <c r="AA625" s="20"/>
      <c r="AK625" s="45"/>
    </row>
    <row r="626" spans="9:37" ht="12.75">
      <c r="I626" s="20"/>
      <c r="R626" s="20"/>
      <c r="AA626" s="20"/>
      <c r="AK626" s="45"/>
    </row>
    <row r="627" spans="9:37" ht="12.75">
      <c r="I627" s="20"/>
      <c r="R627" s="20"/>
      <c r="AA627" s="20"/>
      <c r="AK627" s="45"/>
    </row>
    <row r="628" spans="9:37" ht="12.75">
      <c r="I628" s="20"/>
      <c r="R628" s="20"/>
      <c r="AA628" s="20"/>
      <c r="AK628" s="45"/>
    </row>
    <row r="629" spans="9:37" ht="12.75">
      <c r="I629" s="20"/>
      <c r="R629" s="20"/>
      <c r="AA629" s="20"/>
      <c r="AK629" s="45"/>
    </row>
    <row r="630" spans="9:37" ht="12.75">
      <c r="I630" s="20"/>
      <c r="R630" s="20"/>
      <c r="AA630" s="20"/>
      <c r="AK630" s="45"/>
    </row>
    <row r="631" spans="9:37" ht="12.75">
      <c r="I631" s="20"/>
      <c r="R631" s="20"/>
      <c r="AA631" s="20"/>
      <c r="AK631" s="45"/>
    </row>
    <row r="632" spans="9:37" ht="12.75">
      <c r="I632" s="20"/>
      <c r="R632" s="20"/>
      <c r="AA632" s="20"/>
      <c r="AK632" s="45"/>
    </row>
    <row r="633" spans="9:37" ht="12.75">
      <c r="I633" s="20"/>
      <c r="R633" s="20"/>
      <c r="AA633" s="20"/>
      <c r="AK633" s="45"/>
    </row>
    <row r="634" spans="9:37" ht="12.75">
      <c r="I634" s="20"/>
      <c r="R634" s="20"/>
      <c r="AA634" s="20"/>
      <c r="AK634" s="45"/>
    </row>
    <row r="635" spans="9:37" ht="12.75">
      <c r="I635" s="20"/>
      <c r="R635" s="20"/>
      <c r="AA635" s="20"/>
      <c r="AK635" s="45"/>
    </row>
    <row r="636" spans="9:37" ht="12.75">
      <c r="I636" s="20"/>
      <c r="R636" s="20"/>
      <c r="AA636" s="20"/>
      <c r="AK636" s="45"/>
    </row>
    <row r="637" spans="9:37" ht="12.75">
      <c r="I637" s="20"/>
      <c r="R637" s="20"/>
      <c r="AA637" s="20"/>
      <c r="AK637" s="45"/>
    </row>
    <row r="638" spans="9:37" ht="12.75">
      <c r="I638" s="20"/>
      <c r="R638" s="20"/>
      <c r="AA638" s="20"/>
      <c r="AK638" s="45"/>
    </row>
    <row r="639" spans="9:37" ht="12.75">
      <c r="I639" s="20"/>
      <c r="R639" s="20"/>
      <c r="AA639" s="20"/>
      <c r="AK639" s="45"/>
    </row>
    <row r="640" spans="9:37" ht="12.75">
      <c r="I640" s="20"/>
      <c r="R640" s="20"/>
      <c r="AA640" s="20"/>
      <c r="AK640" s="45"/>
    </row>
    <row r="641" spans="9:37" ht="12.75">
      <c r="I641" s="20"/>
      <c r="R641" s="20"/>
      <c r="AA641" s="20"/>
      <c r="AK641" s="45"/>
    </row>
    <row r="642" spans="9:37" ht="12.75">
      <c r="I642" s="20"/>
      <c r="R642" s="20"/>
      <c r="AA642" s="20"/>
      <c r="AK642" s="45"/>
    </row>
    <row r="643" spans="9:37" ht="12.75">
      <c r="I643" s="20"/>
      <c r="R643" s="20"/>
      <c r="AA643" s="20"/>
      <c r="AK643" s="45"/>
    </row>
    <row r="644" spans="9:37" ht="12.75">
      <c r="I644" s="20"/>
      <c r="R644" s="20"/>
      <c r="AA644" s="20"/>
      <c r="AK644" s="45"/>
    </row>
    <row r="645" spans="9:37" ht="12.75">
      <c r="I645" s="20"/>
      <c r="R645" s="20"/>
      <c r="AA645" s="20"/>
      <c r="AK645" s="45"/>
    </row>
    <row r="646" spans="9:37" ht="12.75">
      <c r="I646" s="20"/>
      <c r="R646" s="20"/>
      <c r="AA646" s="20"/>
      <c r="AK646" s="45"/>
    </row>
    <row r="647" spans="9:37" ht="12.75">
      <c r="I647" s="20"/>
      <c r="R647" s="20"/>
      <c r="AA647" s="20"/>
      <c r="AK647" s="45"/>
    </row>
    <row r="648" spans="9:37" ht="12.75">
      <c r="I648" s="20"/>
      <c r="R648" s="20"/>
      <c r="AA648" s="20"/>
      <c r="AK648" s="45"/>
    </row>
    <row r="649" spans="9:37" ht="12.75">
      <c r="I649" s="20"/>
      <c r="R649" s="20"/>
      <c r="AA649" s="20"/>
      <c r="AK649" s="45"/>
    </row>
    <row r="650" spans="9:37" ht="12.75">
      <c r="I650" s="20"/>
      <c r="R650" s="20"/>
      <c r="AA650" s="20"/>
      <c r="AK650" s="45"/>
    </row>
    <row r="651" spans="9:37" ht="12.75">
      <c r="I651" s="20"/>
      <c r="R651" s="20"/>
      <c r="AA651" s="20"/>
      <c r="AK651" s="45"/>
    </row>
    <row r="652" spans="9:37" ht="12.75">
      <c r="I652" s="20"/>
      <c r="R652" s="20"/>
      <c r="AA652" s="20"/>
      <c r="AK652" s="45"/>
    </row>
    <row r="653" spans="9:37" ht="12.75">
      <c r="I653" s="20"/>
      <c r="R653" s="20"/>
      <c r="AA653" s="20"/>
      <c r="AK653" s="45"/>
    </row>
    <row r="654" spans="9:37" ht="12.75">
      <c r="I654" s="20"/>
      <c r="R654" s="20"/>
      <c r="AA654" s="20"/>
      <c r="AK654" s="45"/>
    </row>
    <row r="655" spans="9:37" ht="12.75">
      <c r="I655" s="20"/>
      <c r="R655" s="20"/>
      <c r="AA655" s="20"/>
      <c r="AK655" s="45"/>
    </row>
    <row r="656" spans="9:37" ht="12.75">
      <c r="I656" s="20"/>
      <c r="R656" s="20"/>
      <c r="AA656" s="20"/>
      <c r="AK656" s="45"/>
    </row>
    <row r="657" spans="9:37" ht="12.75">
      <c r="I657" s="20"/>
      <c r="R657" s="20"/>
      <c r="AA657" s="20"/>
      <c r="AK657" s="45"/>
    </row>
    <row r="658" spans="9:37" ht="12.75">
      <c r="I658" s="20"/>
      <c r="R658" s="20"/>
      <c r="AA658" s="20"/>
      <c r="AK658" s="45"/>
    </row>
    <row r="659" spans="9:37" ht="12.75">
      <c r="I659" s="20"/>
      <c r="R659" s="20"/>
      <c r="AA659" s="20"/>
      <c r="AK659" s="45"/>
    </row>
    <row r="660" spans="9:37" ht="12.75">
      <c r="I660" s="20"/>
      <c r="R660" s="20"/>
      <c r="AA660" s="20"/>
      <c r="AK660" s="45"/>
    </row>
    <row r="661" spans="9:37" ht="12.75">
      <c r="I661" s="20"/>
      <c r="R661" s="20"/>
      <c r="AA661" s="20"/>
      <c r="AK661" s="45"/>
    </row>
    <row r="662" spans="9:37" ht="12.75">
      <c r="I662" s="20"/>
      <c r="R662" s="20"/>
      <c r="AA662" s="20"/>
      <c r="AK662" s="45"/>
    </row>
    <row r="663" spans="9:37" ht="12.75">
      <c r="I663" s="20"/>
      <c r="R663" s="20"/>
      <c r="AA663" s="20"/>
      <c r="AK663" s="45"/>
    </row>
    <row r="664" spans="9:37" ht="12.75">
      <c r="I664" s="20"/>
      <c r="R664" s="20"/>
      <c r="AA664" s="20"/>
      <c r="AK664" s="45"/>
    </row>
    <row r="665" spans="9:37" ht="12.75">
      <c r="I665" s="20"/>
      <c r="R665" s="20"/>
      <c r="AA665" s="20"/>
      <c r="AK665" s="45"/>
    </row>
    <row r="666" spans="9:37" ht="12.75">
      <c r="I666" s="20"/>
      <c r="R666" s="20"/>
      <c r="AA666" s="20"/>
      <c r="AK666" s="45"/>
    </row>
    <row r="667" spans="9:37" ht="12.75">
      <c r="I667" s="20"/>
      <c r="R667" s="20"/>
      <c r="AA667" s="20"/>
      <c r="AK667" s="45"/>
    </row>
    <row r="668" spans="9:37" ht="12.75">
      <c r="I668" s="20"/>
      <c r="R668" s="20"/>
      <c r="AA668" s="20"/>
      <c r="AK668" s="45"/>
    </row>
    <row r="669" spans="9:37" ht="12.75">
      <c r="I669" s="20"/>
      <c r="R669" s="20"/>
      <c r="AA669" s="20"/>
      <c r="AK669" s="45"/>
    </row>
    <row r="670" spans="9:37" ht="12.75">
      <c r="I670" s="20"/>
      <c r="R670" s="20"/>
      <c r="AA670" s="20"/>
      <c r="AK670" s="45"/>
    </row>
    <row r="671" spans="9:37" ht="12.75">
      <c r="I671" s="20"/>
      <c r="R671" s="20"/>
      <c r="AA671" s="20"/>
      <c r="AK671" s="45"/>
    </row>
    <row r="672" spans="9:37" ht="12.75">
      <c r="I672" s="20"/>
      <c r="R672" s="20"/>
      <c r="AA672" s="20"/>
      <c r="AK672" s="45"/>
    </row>
    <row r="673" spans="9:37" ht="12.75">
      <c r="I673" s="20"/>
      <c r="R673" s="20"/>
      <c r="AA673" s="20"/>
      <c r="AK673" s="45"/>
    </row>
    <row r="674" spans="9:37" ht="12.75">
      <c r="I674" s="20"/>
      <c r="R674" s="20"/>
      <c r="AA674" s="20"/>
      <c r="AK674" s="45"/>
    </row>
    <row r="675" spans="9:37" ht="12.75">
      <c r="I675" s="20"/>
      <c r="R675" s="20"/>
      <c r="AA675" s="20"/>
      <c r="AK675" s="45"/>
    </row>
    <row r="676" spans="9:37" ht="12.75">
      <c r="I676" s="20"/>
      <c r="R676" s="20"/>
      <c r="AA676" s="20"/>
      <c r="AK676" s="45"/>
    </row>
    <row r="677" spans="9:37" ht="12.75">
      <c r="I677" s="20"/>
      <c r="R677" s="20"/>
      <c r="AA677" s="20"/>
      <c r="AK677" s="45"/>
    </row>
    <row r="678" spans="9:37" ht="12.75">
      <c r="I678" s="20"/>
      <c r="R678" s="20"/>
      <c r="AA678" s="20"/>
      <c r="AK678" s="45"/>
    </row>
    <row r="679" spans="9:37" ht="12.75">
      <c r="I679" s="20"/>
      <c r="R679" s="20"/>
      <c r="AA679" s="20"/>
      <c r="AK679" s="45"/>
    </row>
    <row r="680" spans="9:37" ht="12.75">
      <c r="I680" s="20"/>
      <c r="R680" s="20"/>
      <c r="AA680" s="20"/>
      <c r="AK680" s="45"/>
    </row>
    <row r="681" spans="9:37" ht="12.75">
      <c r="I681" s="20"/>
      <c r="R681" s="20"/>
      <c r="AA681" s="20"/>
      <c r="AK681" s="45"/>
    </row>
    <row r="682" spans="9:37" ht="12.75">
      <c r="I682" s="20"/>
      <c r="R682" s="20"/>
      <c r="AA682" s="20"/>
      <c r="AK682" s="45"/>
    </row>
    <row r="683" spans="9:37" ht="12.75">
      <c r="I683" s="20"/>
      <c r="R683" s="20"/>
      <c r="AA683" s="20"/>
      <c r="AK683" s="45"/>
    </row>
    <row r="684" spans="9:37" ht="12.75">
      <c r="I684" s="20"/>
      <c r="R684" s="20"/>
      <c r="AA684" s="20"/>
      <c r="AK684" s="45"/>
    </row>
    <row r="685" spans="9:37" ht="12.75">
      <c r="I685" s="20"/>
      <c r="R685" s="20"/>
      <c r="AA685" s="20"/>
      <c r="AK685" s="45"/>
    </row>
    <row r="686" spans="9:37" ht="12.75">
      <c r="I686" s="20"/>
      <c r="R686" s="20"/>
      <c r="AA686" s="20"/>
      <c r="AK686" s="45"/>
    </row>
    <row r="687" spans="9:37" ht="12.75">
      <c r="I687" s="20"/>
      <c r="R687" s="20"/>
      <c r="AA687" s="20"/>
      <c r="AK687" s="45"/>
    </row>
    <row r="688" spans="9:37" ht="12.75">
      <c r="I688" s="20"/>
      <c r="R688" s="20"/>
      <c r="AA688" s="20"/>
      <c r="AK688" s="45"/>
    </row>
    <row r="689" spans="9:37" ht="12.75">
      <c r="I689" s="20"/>
      <c r="R689" s="20"/>
      <c r="AA689" s="20"/>
      <c r="AK689" s="45"/>
    </row>
    <row r="690" spans="9:37" ht="12.75">
      <c r="I690" s="20"/>
      <c r="R690" s="20"/>
      <c r="AA690" s="20"/>
      <c r="AK690" s="45"/>
    </row>
    <row r="691" spans="9:37" ht="12.75">
      <c r="I691" s="20"/>
      <c r="R691" s="20"/>
      <c r="AA691" s="20"/>
      <c r="AK691" s="45"/>
    </row>
    <row r="692" spans="9:37" ht="12.75">
      <c r="I692" s="20"/>
      <c r="R692" s="20"/>
      <c r="AA692" s="20"/>
      <c r="AK692" s="45"/>
    </row>
    <row r="693" spans="9:37" ht="12.75">
      <c r="I693" s="20"/>
      <c r="R693" s="20"/>
      <c r="AA693" s="20"/>
      <c r="AK693" s="45"/>
    </row>
    <row r="694" spans="9:37" ht="12.75">
      <c r="I694" s="20"/>
      <c r="R694" s="20"/>
      <c r="AA694" s="20"/>
      <c r="AK694" s="45"/>
    </row>
    <row r="695" spans="9:37" ht="12.75">
      <c r="I695" s="20"/>
      <c r="R695" s="20"/>
      <c r="AA695" s="20"/>
      <c r="AK695" s="45"/>
    </row>
    <row r="696" spans="9:37" ht="12.75">
      <c r="I696" s="20"/>
      <c r="R696" s="20"/>
      <c r="AA696" s="20"/>
      <c r="AK696" s="45"/>
    </row>
    <row r="697" spans="9:37" ht="12.75">
      <c r="I697" s="20"/>
      <c r="R697" s="20"/>
      <c r="AA697" s="20"/>
      <c r="AK697" s="45"/>
    </row>
    <row r="698" spans="9:37" ht="12.75">
      <c r="I698" s="20"/>
      <c r="R698" s="20"/>
      <c r="AA698" s="20"/>
      <c r="AK698" s="45"/>
    </row>
    <row r="699" spans="9:37" ht="12.75">
      <c r="I699" s="20"/>
      <c r="R699" s="20"/>
      <c r="AA699" s="20"/>
      <c r="AK699" s="45"/>
    </row>
    <row r="700" spans="9:37" ht="12.75">
      <c r="I700" s="20"/>
      <c r="R700" s="20"/>
      <c r="AA700" s="20"/>
      <c r="AK700" s="45"/>
    </row>
    <row r="701" spans="9:37" ht="12.75">
      <c r="I701" s="20"/>
      <c r="R701" s="20"/>
      <c r="AA701" s="20"/>
      <c r="AK701" s="45"/>
    </row>
    <row r="702" spans="9:37" ht="12.75">
      <c r="I702" s="20"/>
      <c r="R702" s="20"/>
      <c r="AA702" s="20"/>
      <c r="AK702" s="45"/>
    </row>
    <row r="703" spans="9:37" ht="12.75">
      <c r="I703" s="20"/>
      <c r="R703" s="20"/>
      <c r="AA703" s="20"/>
      <c r="AK703" s="45"/>
    </row>
    <row r="704" spans="9:37" ht="12.75">
      <c r="I704" s="20"/>
      <c r="R704" s="20"/>
      <c r="AA704" s="20"/>
      <c r="AK704" s="45"/>
    </row>
    <row r="705" spans="9:37" ht="12.75">
      <c r="I705" s="20"/>
      <c r="R705" s="20"/>
      <c r="AA705" s="20"/>
      <c r="AK705" s="45"/>
    </row>
    <row r="706" spans="9:37" ht="12.75">
      <c r="I706" s="20"/>
      <c r="R706" s="20"/>
      <c r="AA706" s="20"/>
      <c r="AK706" s="45"/>
    </row>
    <row r="707" spans="9:37" ht="12.75">
      <c r="I707" s="20"/>
      <c r="R707" s="20"/>
      <c r="AA707" s="20"/>
      <c r="AK707" s="45"/>
    </row>
    <row r="708" spans="9:37" ht="12.75">
      <c r="I708" s="20"/>
      <c r="R708" s="20"/>
      <c r="AA708" s="20"/>
      <c r="AK708" s="45"/>
    </row>
    <row r="709" spans="9:37" ht="12.75">
      <c r="I709" s="20"/>
      <c r="R709" s="20"/>
      <c r="AA709" s="20"/>
      <c r="AK709" s="45"/>
    </row>
    <row r="710" spans="9:37" ht="12.75">
      <c r="I710" s="20"/>
      <c r="R710" s="20"/>
      <c r="AA710" s="20"/>
      <c r="AK710" s="45"/>
    </row>
    <row r="711" spans="9:37" ht="12.75">
      <c r="I711" s="20"/>
      <c r="R711" s="20"/>
      <c r="AA711" s="20"/>
      <c r="AK711" s="45"/>
    </row>
    <row r="712" spans="9:37" ht="12.75">
      <c r="I712" s="20"/>
      <c r="R712" s="20"/>
      <c r="AA712" s="20"/>
      <c r="AK712" s="45"/>
    </row>
    <row r="713" spans="9:37" ht="12.75">
      <c r="I713" s="20"/>
      <c r="R713" s="20"/>
      <c r="AA713" s="20"/>
      <c r="AK713" s="45"/>
    </row>
    <row r="714" spans="9:37" ht="12.75">
      <c r="I714" s="20"/>
      <c r="R714" s="20"/>
      <c r="AA714" s="20"/>
      <c r="AK714" s="45"/>
    </row>
    <row r="715" spans="9:37" ht="12.75">
      <c r="I715" s="20"/>
      <c r="R715" s="20"/>
      <c r="AA715" s="20"/>
      <c r="AK715" s="45"/>
    </row>
    <row r="716" spans="9:37" ht="12.75">
      <c r="I716" s="20"/>
      <c r="R716" s="20"/>
      <c r="AA716" s="20"/>
      <c r="AK716" s="45"/>
    </row>
    <row r="717" spans="9:37" ht="12.75">
      <c r="I717" s="20"/>
      <c r="R717" s="20"/>
      <c r="AA717" s="20"/>
      <c r="AK717" s="45"/>
    </row>
    <row r="718" spans="9:37" ht="12.75">
      <c r="I718" s="20"/>
      <c r="R718" s="20"/>
      <c r="AA718" s="20"/>
      <c r="AK718" s="45"/>
    </row>
    <row r="719" spans="9:37" ht="12.75">
      <c r="I719" s="20"/>
      <c r="R719" s="20"/>
      <c r="AA719" s="20"/>
      <c r="AK719" s="45"/>
    </row>
    <row r="720" spans="9:37" ht="12.75">
      <c r="I720" s="20"/>
      <c r="R720" s="20"/>
      <c r="AA720" s="20"/>
      <c r="AK720" s="45"/>
    </row>
    <row r="721" spans="9:37" ht="12.75">
      <c r="I721" s="20"/>
      <c r="R721" s="20"/>
      <c r="AA721" s="20"/>
      <c r="AK721" s="45"/>
    </row>
    <row r="722" spans="9:37" ht="12.75">
      <c r="I722" s="20"/>
      <c r="R722" s="20"/>
      <c r="AA722" s="20"/>
      <c r="AK722" s="45"/>
    </row>
    <row r="723" spans="9:37" ht="12.75">
      <c r="I723" s="20"/>
      <c r="R723" s="20"/>
      <c r="AA723" s="20"/>
      <c r="AK723" s="45"/>
    </row>
    <row r="724" spans="9:37" ht="12.75">
      <c r="I724" s="20"/>
      <c r="R724" s="20"/>
      <c r="AA724" s="20"/>
      <c r="AK724" s="45"/>
    </row>
    <row r="725" spans="9:37" ht="12.75">
      <c r="I725" s="20"/>
      <c r="R725" s="20"/>
      <c r="AA725" s="20"/>
      <c r="AK725" s="45"/>
    </row>
    <row r="726" spans="9:37" ht="12.75">
      <c r="I726" s="20"/>
      <c r="R726" s="20"/>
      <c r="AA726" s="20"/>
      <c r="AK726" s="45"/>
    </row>
    <row r="727" spans="9:37" ht="12.75">
      <c r="I727" s="20"/>
      <c r="R727" s="20"/>
      <c r="AA727" s="20"/>
      <c r="AK727" s="45"/>
    </row>
    <row r="728" spans="9:37" ht="12.75">
      <c r="I728" s="20"/>
      <c r="R728" s="20"/>
      <c r="AA728" s="20"/>
      <c r="AK728" s="45"/>
    </row>
    <row r="729" spans="9:37" ht="12.75">
      <c r="I729" s="20"/>
      <c r="R729" s="20"/>
      <c r="AA729" s="20"/>
      <c r="AK729" s="45"/>
    </row>
    <row r="730" spans="9:37" ht="12.75">
      <c r="I730" s="20"/>
      <c r="R730" s="20"/>
      <c r="AA730" s="20"/>
      <c r="AK730" s="45"/>
    </row>
    <row r="731" spans="9:37" ht="12.75">
      <c r="I731" s="20"/>
      <c r="R731" s="20"/>
      <c r="AA731" s="20"/>
      <c r="AK731" s="45"/>
    </row>
    <row r="732" spans="9:37" ht="12.75">
      <c r="I732" s="20"/>
      <c r="R732" s="20"/>
      <c r="AA732" s="20"/>
      <c r="AK732" s="45"/>
    </row>
    <row r="733" spans="9:37" ht="12.75">
      <c r="I733" s="20"/>
      <c r="R733" s="20"/>
      <c r="AA733" s="20"/>
      <c r="AK733" s="45"/>
    </row>
    <row r="734" spans="9:37" ht="12.75">
      <c r="I734" s="20"/>
      <c r="R734" s="20"/>
      <c r="AA734" s="20"/>
      <c r="AK734" s="45"/>
    </row>
    <row r="735" spans="9:37" ht="12.75">
      <c r="I735" s="20"/>
      <c r="R735" s="20"/>
      <c r="AA735" s="20"/>
      <c r="AK735" s="45"/>
    </row>
    <row r="736" spans="9:37" ht="12.75">
      <c r="I736" s="20"/>
      <c r="R736" s="20"/>
      <c r="AA736" s="20"/>
      <c r="AK736" s="45"/>
    </row>
    <row r="737" spans="9:37" ht="12.75">
      <c r="I737" s="20"/>
      <c r="R737" s="20"/>
      <c r="AA737" s="20"/>
      <c r="AK737" s="45"/>
    </row>
    <row r="738" spans="9:37" ht="12.75">
      <c r="I738" s="20"/>
      <c r="R738" s="20"/>
      <c r="AA738" s="20"/>
      <c r="AK738" s="45"/>
    </row>
    <row r="739" spans="9:37" ht="12.75">
      <c r="I739" s="20"/>
      <c r="R739" s="20"/>
      <c r="AA739" s="20"/>
      <c r="AK739" s="45"/>
    </row>
    <row r="740" spans="9:37" ht="12.75">
      <c r="I740" s="20"/>
      <c r="R740" s="20"/>
      <c r="AA740" s="20"/>
      <c r="AK740" s="45"/>
    </row>
    <row r="741" spans="9:37" ht="12.75">
      <c r="I741" s="20"/>
      <c r="R741" s="20"/>
      <c r="AA741" s="20"/>
      <c r="AK741" s="45"/>
    </row>
    <row r="742" spans="9:37" ht="12.75">
      <c r="I742" s="20"/>
      <c r="R742" s="20"/>
      <c r="AA742" s="20"/>
      <c r="AK742" s="45"/>
    </row>
    <row r="743" spans="9:37" ht="12.75">
      <c r="I743" s="20"/>
      <c r="R743" s="20"/>
      <c r="AA743" s="20"/>
      <c r="AK743" s="45"/>
    </row>
    <row r="744" spans="9:37" ht="12.75">
      <c r="I744" s="20"/>
      <c r="R744" s="20"/>
      <c r="AA744" s="20"/>
      <c r="AK744" s="45"/>
    </row>
    <row r="745" spans="9:37" ht="12.75">
      <c r="I745" s="20"/>
      <c r="R745" s="20"/>
      <c r="AA745" s="20"/>
      <c r="AK745" s="45"/>
    </row>
    <row r="746" spans="9:37" ht="12.75">
      <c r="I746" s="20"/>
      <c r="R746" s="20"/>
      <c r="AA746" s="20"/>
      <c r="AK746" s="45"/>
    </row>
    <row r="747" spans="9:37" ht="12.75">
      <c r="I747" s="20"/>
      <c r="R747" s="20"/>
      <c r="AA747" s="20"/>
      <c r="AK747" s="45"/>
    </row>
    <row r="748" spans="9:37" ht="12.75">
      <c r="I748" s="20"/>
      <c r="R748" s="20"/>
      <c r="AA748" s="20"/>
      <c r="AK748" s="45"/>
    </row>
    <row r="749" spans="9:37" ht="12.75">
      <c r="I749" s="20"/>
      <c r="R749" s="20"/>
      <c r="AA749" s="20"/>
      <c r="AK749" s="45"/>
    </row>
    <row r="750" spans="9:37" ht="12.75">
      <c r="I750" s="20"/>
      <c r="R750" s="20"/>
      <c r="AA750" s="20"/>
      <c r="AK750" s="45"/>
    </row>
    <row r="751" spans="9:37" ht="12.75">
      <c r="I751" s="20"/>
      <c r="R751" s="20"/>
      <c r="AA751" s="20"/>
      <c r="AK751" s="45"/>
    </row>
    <row r="752" spans="9:37" ht="12.75">
      <c r="I752" s="20"/>
      <c r="R752" s="20"/>
      <c r="AA752" s="20"/>
      <c r="AK752" s="45"/>
    </row>
    <row r="753" spans="9:37" ht="12.75">
      <c r="I753" s="20"/>
      <c r="R753" s="20"/>
      <c r="AA753" s="20"/>
      <c r="AK753" s="45"/>
    </row>
    <row r="754" spans="9:37" ht="12.75">
      <c r="I754" s="20"/>
      <c r="R754" s="20"/>
      <c r="AA754" s="20"/>
      <c r="AK754" s="45"/>
    </row>
    <row r="755" spans="9:37" ht="12.75">
      <c r="I755" s="20"/>
      <c r="R755" s="20"/>
      <c r="AA755" s="20"/>
      <c r="AK755" s="45"/>
    </row>
    <row r="756" spans="9:37" ht="12.75">
      <c r="I756" s="20"/>
      <c r="R756" s="20"/>
      <c r="AA756" s="20"/>
      <c r="AK756" s="45"/>
    </row>
    <row r="757" spans="9:37" ht="12.75">
      <c r="I757" s="20"/>
      <c r="R757" s="20"/>
      <c r="AA757" s="20"/>
      <c r="AK757" s="45"/>
    </row>
    <row r="758" spans="9:37" ht="12.75">
      <c r="I758" s="20"/>
      <c r="R758" s="20"/>
      <c r="AA758" s="20"/>
      <c r="AK758" s="45"/>
    </row>
    <row r="759" spans="9:37" ht="12.75">
      <c r="I759" s="20"/>
      <c r="R759" s="20"/>
      <c r="AA759" s="20"/>
      <c r="AK759" s="45"/>
    </row>
    <row r="760" spans="9:37" ht="12.75">
      <c r="I760" s="20"/>
      <c r="R760" s="20"/>
      <c r="AA760" s="20"/>
      <c r="AK760" s="45"/>
    </row>
    <row r="761" spans="9:37" ht="12.75">
      <c r="I761" s="20"/>
      <c r="R761" s="20"/>
      <c r="AA761" s="20"/>
      <c r="AK761" s="45"/>
    </row>
    <row r="762" spans="9:37" ht="12.75">
      <c r="I762" s="20"/>
      <c r="R762" s="20"/>
      <c r="AA762" s="20"/>
      <c r="AK762" s="45"/>
    </row>
    <row r="763" spans="9:37" ht="12.75">
      <c r="I763" s="20"/>
      <c r="R763" s="20"/>
      <c r="AA763" s="20"/>
      <c r="AK763" s="45"/>
    </row>
    <row r="764" spans="9:37" ht="12.75">
      <c r="I764" s="20"/>
      <c r="R764" s="20"/>
      <c r="AA764" s="20"/>
      <c r="AK764" s="45"/>
    </row>
    <row r="765" spans="9:37" ht="12.75">
      <c r="I765" s="20"/>
      <c r="R765" s="20"/>
      <c r="AA765" s="20"/>
      <c r="AK765" s="45"/>
    </row>
    <row r="766" spans="9:37" ht="12.75">
      <c r="I766" s="20"/>
      <c r="R766" s="20"/>
      <c r="AA766" s="20"/>
      <c r="AK766" s="45"/>
    </row>
    <row r="767" spans="9:37" ht="12.75">
      <c r="I767" s="20"/>
      <c r="R767" s="20"/>
      <c r="AA767" s="20"/>
      <c r="AK767" s="45"/>
    </row>
    <row r="768" spans="9:37" ht="12.75">
      <c r="I768" s="20"/>
      <c r="R768" s="20"/>
      <c r="AA768" s="20"/>
      <c r="AK768" s="45"/>
    </row>
    <row r="769" spans="9:37" ht="12.75">
      <c r="I769" s="20"/>
      <c r="R769" s="20"/>
      <c r="AA769" s="20"/>
      <c r="AK769" s="45"/>
    </row>
    <row r="770" spans="9:37" ht="12.75">
      <c r="I770" s="20"/>
      <c r="R770" s="20"/>
      <c r="AA770" s="20"/>
      <c r="AK770" s="45"/>
    </row>
    <row r="771" spans="9:37" ht="12.75">
      <c r="I771" s="20"/>
      <c r="R771" s="20"/>
      <c r="AA771" s="20"/>
      <c r="AK771" s="45"/>
    </row>
    <row r="772" spans="9:37" ht="12.75">
      <c r="I772" s="20"/>
      <c r="R772" s="20"/>
      <c r="AA772" s="20"/>
      <c r="AK772" s="45"/>
    </row>
    <row r="773" spans="9:37" ht="12.75">
      <c r="I773" s="20"/>
      <c r="R773" s="20"/>
      <c r="AA773" s="20"/>
      <c r="AK773" s="45"/>
    </row>
    <row r="774" spans="9:37" ht="12.75">
      <c r="I774" s="20"/>
      <c r="R774" s="20"/>
      <c r="AA774" s="20"/>
      <c r="AK774" s="45"/>
    </row>
    <row r="775" spans="9:37" ht="12.75">
      <c r="I775" s="20"/>
      <c r="R775" s="20"/>
      <c r="AA775" s="20"/>
      <c r="AK775" s="45"/>
    </row>
    <row r="776" spans="9:37" ht="12.75">
      <c r="I776" s="20"/>
      <c r="R776" s="20"/>
      <c r="AA776" s="20"/>
      <c r="AK776" s="45"/>
    </row>
    <row r="777" spans="9:37" ht="12.75">
      <c r="I777" s="20"/>
      <c r="R777" s="20"/>
      <c r="AA777" s="20"/>
      <c r="AK777" s="45"/>
    </row>
    <row r="778" spans="9:37" ht="12.75">
      <c r="I778" s="20"/>
      <c r="R778" s="20"/>
      <c r="AA778" s="20"/>
      <c r="AK778" s="45"/>
    </row>
    <row r="779" spans="9:37" ht="12.75">
      <c r="I779" s="20"/>
      <c r="R779" s="20"/>
      <c r="AA779" s="20"/>
      <c r="AK779" s="45"/>
    </row>
    <row r="780" spans="9:37" ht="12.75">
      <c r="I780" s="20"/>
      <c r="R780" s="20"/>
      <c r="AA780" s="20"/>
      <c r="AK780" s="45"/>
    </row>
    <row r="781" spans="9:37" ht="12.75">
      <c r="I781" s="20"/>
      <c r="R781" s="20"/>
      <c r="AA781" s="20"/>
      <c r="AK781" s="45"/>
    </row>
    <row r="782" spans="9:37" ht="12.75">
      <c r="I782" s="20"/>
      <c r="R782" s="20"/>
      <c r="AA782" s="20"/>
      <c r="AK782" s="45"/>
    </row>
    <row r="783" spans="9:37" ht="12.75">
      <c r="I783" s="20"/>
      <c r="R783" s="20"/>
      <c r="AA783" s="20"/>
      <c r="AK783" s="45"/>
    </row>
    <row r="784" spans="9:37" ht="12.75">
      <c r="I784" s="20"/>
      <c r="R784" s="20"/>
      <c r="AA784" s="20"/>
      <c r="AK784" s="45"/>
    </row>
    <row r="785" spans="9:37" ht="12.75">
      <c r="I785" s="20"/>
      <c r="R785" s="20"/>
      <c r="AA785" s="20"/>
      <c r="AK785" s="45"/>
    </row>
    <row r="786" spans="9:37" ht="12.75">
      <c r="I786" s="20"/>
      <c r="R786" s="20"/>
      <c r="AA786" s="20"/>
      <c r="AK786" s="45"/>
    </row>
    <row r="787" spans="9:37" ht="12.75">
      <c r="I787" s="20"/>
      <c r="R787" s="20"/>
      <c r="AA787" s="20"/>
      <c r="AK787" s="45"/>
    </row>
    <row r="788" spans="9:37" ht="12.75">
      <c r="I788" s="20"/>
      <c r="R788" s="20"/>
      <c r="AA788" s="20"/>
      <c r="AK788" s="45"/>
    </row>
    <row r="789" spans="9:37" ht="12.75">
      <c r="I789" s="20"/>
      <c r="R789" s="20"/>
      <c r="AA789" s="20"/>
      <c r="AK789" s="45"/>
    </row>
    <row r="790" spans="9:37" ht="12.75">
      <c r="I790" s="20"/>
      <c r="R790" s="20"/>
      <c r="AA790" s="20"/>
      <c r="AK790" s="45"/>
    </row>
    <row r="791" spans="9:37" ht="12.75">
      <c r="I791" s="20"/>
      <c r="R791" s="20"/>
      <c r="AA791" s="20"/>
      <c r="AK791" s="45"/>
    </row>
    <row r="792" spans="9:37" ht="12.75">
      <c r="I792" s="20"/>
      <c r="R792" s="20"/>
      <c r="AA792" s="20"/>
      <c r="AK792" s="45"/>
    </row>
    <row r="793" spans="9:37" ht="12.75">
      <c r="I793" s="20"/>
      <c r="R793" s="20"/>
      <c r="AA793" s="20"/>
      <c r="AK793" s="45"/>
    </row>
    <row r="794" spans="9:37" ht="12.75">
      <c r="I794" s="20"/>
      <c r="R794" s="20"/>
      <c r="AA794" s="20"/>
      <c r="AK794" s="45"/>
    </row>
    <row r="795" spans="9:37" ht="12.75">
      <c r="I795" s="20"/>
      <c r="R795" s="20"/>
      <c r="AA795" s="20"/>
      <c r="AK795" s="45"/>
    </row>
    <row r="796" spans="9:37" ht="12.75">
      <c r="I796" s="20"/>
      <c r="R796" s="20"/>
      <c r="AA796" s="20"/>
      <c r="AK796" s="45"/>
    </row>
    <row r="797" spans="9:37" ht="12.75">
      <c r="I797" s="20"/>
      <c r="R797" s="20"/>
      <c r="AA797" s="20"/>
      <c r="AK797" s="45"/>
    </row>
    <row r="798" spans="9:37" ht="12.75">
      <c r="I798" s="20"/>
      <c r="R798" s="20"/>
      <c r="AA798" s="20"/>
      <c r="AK798" s="45"/>
    </row>
    <row r="799" spans="9:37" ht="12.75">
      <c r="I799" s="20"/>
      <c r="R799" s="20"/>
      <c r="AA799" s="20"/>
      <c r="AK799" s="45"/>
    </row>
    <row r="800" spans="9:37" ht="12.75">
      <c r="I800" s="20"/>
      <c r="R800" s="20"/>
      <c r="AA800" s="20"/>
      <c r="AK800" s="45"/>
    </row>
    <row r="801" spans="9:37" ht="12.75">
      <c r="I801" s="20"/>
      <c r="R801" s="20"/>
      <c r="AA801" s="20"/>
      <c r="AK801" s="45"/>
    </row>
    <row r="802" spans="9:37" ht="12.75">
      <c r="I802" s="20"/>
      <c r="R802" s="20"/>
      <c r="AA802" s="20"/>
      <c r="AK802" s="45"/>
    </row>
    <row r="803" spans="9:37" ht="12.75">
      <c r="I803" s="20"/>
      <c r="R803" s="20"/>
      <c r="AA803" s="20"/>
      <c r="AK803" s="45"/>
    </row>
    <row r="804" spans="9:37" ht="12.75">
      <c r="I804" s="20"/>
      <c r="R804" s="20"/>
      <c r="AA804" s="20"/>
      <c r="AK804" s="45"/>
    </row>
    <row r="805" spans="9:37" ht="12.75">
      <c r="I805" s="20"/>
      <c r="R805" s="20"/>
      <c r="AA805" s="20"/>
      <c r="AK805" s="45"/>
    </row>
    <row r="806" spans="9:37" ht="12.75">
      <c r="I806" s="20"/>
      <c r="R806" s="20"/>
      <c r="AA806" s="20"/>
      <c r="AK806" s="45"/>
    </row>
    <row r="807" spans="9:37" ht="12.75">
      <c r="I807" s="20"/>
      <c r="R807" s="20"/>
      <c r="AA807" s="20"/>
      <c r="AK807" s="45"/>
    </row>
    <row r="808" spans="9:37" ht="12.75">
      <c r="I808" s="20"/>
      <c r="R808" s="20"/>
      <c r="AA808" s="20"/>
      <c r="AK808" s="45"/>
    </row>
    <row r="809" spans="9:37" ht="12.75">
      <c r="I809" s="20"/>
      <c r="R809" s="20"/>
      <c r="AA809" s="20"/>
      <c r="AK809" s="45"/>
    </row>
    <row r="810" spans="9:37" ht="12.75">
      <c r="I810" s="20"/>
      <c r="R810" s="20"/>
      <c r="AA810" s="20"/>
      <c r="AK810" s="45"/>
    </row>
    <row r="811" spans="9:37" ht="12.75">
      <c r="I811" s="20"/>
      <c r="R811" s="20"/>
      <c r="AA811" s="20"/>
      <c r="AK811" s="45"/>
    </row>
    <row r="812" spans="9:37" ht="12.75">
      <c r="I812" s="20"/>
      <c r="R812" s="20"/>
      <c r="AA812" s="20"/>
      <c r="AK812" s="45"/>
    </row>
    <row r="813" spans="9:37" ht="12.75">
      <c r="I813" s="20"/>
      <c r="R813" s="20"/>
      <c r="AA813" s="20"/>
      <c r="AK813" s="45"/>
    </row>
    <row r="814" spans="9:37" ht="12.75">
      <c r="I814" s="20"/>
      <c r="R814" s="20"/>
      <c r="AA814" s="20"/>
      <c r="AK814" s="45"/>
    </row>
    <row r="815" spans="9:37" ht="12.75">
      <c r="I815" s="20"/>
      <c r="R815" s="20"/>
      <c r="AA815" s="20"/>
      <c r="AK815" s="45"/>
    </row>
    <row r="816" spans="9:37" ht="12.75">
      <c r="I816" s="20"/>
      <c r="R816" s="20"/>
      <c r="AA816" s="20"/>
      <c r="AK816" s="45"/>
    </row>
    <row r="817" spans="9:37" ht="12.75">
      <c r="I817" s="20"/>
      <c r="R817" s="20"/>
      <c r="AA817" s="20"/>
      <c r="AK817" s="45"/>
    </row>
    <row r="818" spans="9:37" ht="12.75">
      <c r="I818" s="20"/>
      <c r="R818" s="20"/>
      <c r="AA818" s="20"/>
      <c r="AK818" s="45"/>
    </row>
    <row r="819" spans="9:37" ht="12.75">
      <c r="I819" s="20"/>
      <c r="R819" s="20"/>
      <c r="AA819" s="20"/>
      <c r="AK819" s="45"/>
    </row>
    <row r="820" spans="9:37" ht="12.75">
      <c r="I820" s="20"/>
      <c r="R820" s="20"/>
      <c r="AA820" s="20"/>
      <c r="AK820" s="45"/>
    </row>
    <row r="821" spans="9:37" ht="12.75">
      <c r="I821" s="20"/>
      <c r="R821" s="20"/>
      <c r="AA821" s="20"/>
      <c r="AK821" s="45"/>
    </row>
    <row r="822" spans="9:37" ht="12.75">
      <c r="I822" s="20"/>
      <c r="R822" s="20"/>
      <c r="AA822" s="20"/>
      <c r="AK822" s="45"/>
    </row>
    <row r="823" spans="9:37" ht="12.75">
      <c r="I823" s="20"/>
      <c r="R823" s="20"/>
      <c r="AA823" s="20"/>
      <c r="AK823" s="45"/>
    </row>
    <row r="824" spans="9:37" ht="12.75">
      <c r="I824" s="20"/>
      <c r="R824" s="20"/>
      <c r="AA824" s="20"/>
      <c r="AK824" s="45"/>
    </row>
    <row r="825" spans="9:37" ht="12.75">
      <c r="I825" s="20"/>
      <c r="R825" s="20"/>
      <c r="AA825" s="20"/>
      <c r="AK825" s="45"/>
    </row>
    <row r="826" spans="9:37" ht="12.75">
      <c r="I826" s="20"/>
      <c r="R826" s="20"/>
      <c r="AA826" s="20"/>
      <c r="AK826" s="45"/>
    </row>
    <row r="827" spans="9:37" ht="12.75">
      <c r="I827" s="20"/>
      <c r="R827" s="20"/>
      <c r="AA827" s="20"/>
      <c r="AK827" s="45"/>
    </row>
    <row r="828" spans="9:37" ht="12.75">
      <c r="I828" s="20"/>
      <c r="R828" s="20"/>
      <c r="AA828" s="20"/>
      <c r="AK828" s="45"/>
    </row>
    <row r="829" spans="9:37" ht="12.75">
      <c r="I829" s="20"/>
      <c r="R829" s="20"/>
      <c r="AA829" s="20"/>
      <c r="AK829" s="45"/>
    </row>
    <row r="830" spans="9:37" ht="12.75">
      <c r="I830" s="20"/>
      <c r="R830" s="20"/>
      <c r="AA830" s="20"/>
      <c r="AK830" s="45"/>
    </row>
    <row r="831" spans="9:37" ht="12.75">
      <c r="I831" s="20"/>
      <c r="R831" s="20"/>
      <c r="AA831" s="20"/>
      <c r="AK831" s="45"/>
    </row>
    <row r="832" spans="9:37" ht="12.75">
      <c r="I832" s="20"/>
      <c r="R832" s="20"/>
      <c r="AA832" s="20"/>
      <c r="AK832" s="45"/>
    </row>
    <row r="833" spans="9:37" ht="12.75">
      <c r="I833" s="20"/>
      <c r="R833" s="20"/>
      <c r="AA833" s="20"/>
      <c r="AK833" s="45"/>
    </row>
    <row r="834" spans="9:37" ht="12.75">
      <c r="I834" s="20"/>
      <c r="R834" s="20"/>
      <c r="AA834" s="20"/>
      <c r="AK834" s="45"/>
    </row>
    <row r="835" spans="9:37" ht="12.75">
      <c r="I835" s="20"/>
      <c r="R835" s="20"/>
      <c r="AA835" s="20"/>
      <c r="AK835" s="45"/>
    </row>
    <row r="836" spans="9:37" ht="12.75">
      <c r="I836" s="20"/>
      <c r="R836" s="20"/>
      <c r="AA836" s="20"/>
      <c r="AK836" s="45"/>
    </row>
    <row r="837" spans="9:37" ht="12.75">
      <c r="I837" s="20"/>
      <c r="R837" s="20"/>
      <c r="AA837" s="20"/>
      <c r="AK837" s="45"/>
    </row>
    <row r="838" spans="9:37" ht="12.75">
      <c r="I838" s="20"/>
      <c r="R838" s="20"/>
      <c r="AA838" s="20"/>
      <c r="AK838" s="45"/>
    </row>
    <row r="839" spans="9:37" ht="12.75">
      <c r="I839" s="20"/>
      <c r="R839" s="20"/>
      <c r="AA839" s="20"/>
      <c r="AK839" s="45"/>
    </row>
    <row r="840" spans="9:37" ht="12.75">
      <c r="I840" s="20"/>
      <c r="R840" s="20"/>
      <c r="AA840" s="20"/>
      <c r="AK840" s="45"/>
    </row>
    <row r="841" spans="9:37" ht="12.75">
      <c r="I841" s="20"/>
      <c r="R841" s="20"/>
      <c r="AA841" s="20"/>
      <c r="AK841" s="45"/>
    </row>
    <row r="842" spans="9:37" ht="12.75">
      <c r="I842" s="20"/>
      <c r="R842" s="20"/>
      <c r="AA842" s="20"/>
      <c r="AK842" s="45"/>
    </row>
    <row r="843" spans="9:37" ht="12.75">
      <c r="I843" s="20"/>
      <c r="R843" s="20"/>
      <c r="AA843" s="20"/>
      <c r="AK843" s="45"/>
    </row>
    <row r="844" spans="9:37" ht="12.75">
      <c r="I844" s="20"/>
      <c r="R844" s="20"/>
      <c r="AA844" s="20"/>
      <c r="AK844" s="45"/>
    </row>
    <row r="845" spans="9:37" ht="12.75">
      <c r="I845" s="20"/>
      <c r="R845" s="20"/>
      <c r="AA845" s="20"/>
      <c r="AK845" s="45"/>
    </row>
    <row r="846" spans="9:37" ht="12.75">
      <c r="I846" s="20"/>
      <c r="R846" s="20"/>
      <c r="AA846" s="20"/>
      <c r="AK846" s="45"/>
    </row>
    <row r="847" spans="9:37" ht="12.75">
      <c r="I847" s="20"/>
      <c r="R847" s="20"/>
      <c r="AA847" s="20"/>
      <c r="AK847" s="45"/>
    </row>
    <row r="848" spans="9:37" ht="12.75">
      <c r="I848" s="20"/>
      <c r="R848" s="20"/>
      <c r="AA848" s="20"/>
      <c r="AK848" s="45"/>
    </row>
    <row r="849" spans="9:37" ht="12.75">
      <c r="I849" s="20"/>
      <c r="R849" s="20"/>
      <c r="AA849" s="20"/>
      <c r="AK849" s="45"/>
    </row>
    <row r="850" spans="9:37" ht="12.75">
      <c r="I850" s="20"/>
      <c r="R850" s="20"/>
      <c r="AA850" s="20"/>
      <c r="AK850" s="45"/>
    </row>
    <row r="851" spans="9:37" ht="12.75">
      <c r="I851" s="20"/>
      <c r="R851" s="20"/>
      <c r="AA851" s="20"/>
      <c r="AK851" s="45"/>
    </row>
    <row r="852" spans="9:37" ht="12.75">
      <c r="I852" s="20"/>
      <c r="R852" s="20"/>
      <c r="AA852" s="20"/>
      <c r="AK852" s="45"/>
    </row>
    <row r="853" spans="9:37" ht="12.75">
      <c r="I853" s="20"/>
      <c r="R853" s="20"/>
      <c r="AA853" s="20"/>
      <c r="AK853" s="45"/>
    </row>
    <row r="854" spans="9:37" ht="12.75">
      <c r="I854" s="20"/>
      <c r="R854" s="20"/>
      <c r="AA854" s="20"/>
      <c r="AK854" s="45"/>
    </row>
    <row r="855" spans="9:37" ht="12.75">
      <c r="I855" s="20"/>
      <c r="R855" s="20"/>
      <c r="AA855" s="20"/>
      <c r="AK855" s="45"/>
    </row>
    <row r="856" spans="9:37" ht="12.75">
      <c r="I856" s="20"/>
      <c r="R856" s="20"/>
      <c r="AA856" s="20"/>
      <c r="AK856" s="45"/>
    </row>
    <row r="857" spans="9:37" ht="12.75">
      <c r="I857" s="20"/>
      <c r="R857" s="20"/>
      <c r="AA857" s="20"/>
      <c r="AK857" s="45"/>
    </row>
    <row r="858" spans="9:37" ht="12.75">
      <c r="I858" s="20"/>
      <c r="R858" s="20"/>
      <c r="AA858" s="20"/>
      <c r="AK858" s="45"/>
    </row>
    <row r="859" spans="9:37" ht="12.75">
      <c r="I859" s="20"/>
      <c r="R859" s="20"/>
      <c r="AA859" s="20"/>
      <c r="AK859" s="45"/>
    </row>
    <row r="860" spans="9:37" ht="12.75">
      <c r="I860" s="20"/>
      <c r="R860" s="20"/>
      <c r="AA860" s="20"/>
      <c r="AK860" s="45"/>
    </row>
    <row r="861" spans="9:37" ht="12.75">
      <c r="I861" s="20"/>
      <c r="R861" s="20"/>
      <c r="AA861" s="20"/>
      <c r="AK861" s="45"/>
    </row>
    <row r="862" spans="9:37" ht="12.75">
      <c r="I862" s="20"/>
      <c r="R862" s="20"/>
      <c r="AA862" s="20"/>
      <c r="AK862" s="45"/>
    </row>
    <row r="863" spans="9:37" ht="12.75">
      <c r="I863" s="20"/>
      <c r="R863" s="20"/>
      <c r="AA863" s="20"/>
      <c r="AK863" s="45"/>
    </row>
    <row r="864" spans="9:37" ht="12.75">
      <c r="I864" s="20"/>
      <c r="R864" s="20"/>
      <c r="AA864" s="20"/>
      <c r="AK864" s="45"/>
    </row>
    <row r="865" spans="9:37" ht="12.75">
      <c r="I865" s="20"/>
      <c r="R865" s="20"/>
      <c r="AA865" s="20"/>
      <c r="AK865" s="45"/>
    </row>
    <row r="866" spans="9:37" ht="12.75">
      <c r="I866" s="20"/>
      <c r="R866" s="20"/>
      <c r="AA866" s="20"/>
      <c r="AK866" s="45"/>
    </row>
    <row r="867" spans="9:37" ht="12.75">
      <c r="I867" s="20"/>
      <c r="R867" s="20"/>
      <c r="AA867" s="20"/>
      <c r="AK867" s="45"/>
    </row>
    <row r="868" spans="9:37" ht="12.75">
      <c r="I868" s="20"/>
      <c r="R868" s="20"/>
      <c r="AA868" s="20"/>
      <c r="AK868" s="45"/>
    </row>
    <row r="869" spans="9:37" ht="12.75">
      <c r="I869" s="20"/>
      <c r="R869" s="20"/>
      <c r="AA869" s="20"/>
      <c r="AK869" s="45"/>
    </row>
    <row r="870" spans="9:37" ht="12.75">
      <c r="I870" s="20"/>
      <c r="R870" s="20"/>
      <c r="AA870" s="20"/>
      <c r="AK870" s="45"/>
    </row>
    <row r="871" spans="9:37" ht="12.75">
      <c r="I871" s="20"/>
      <c r="R871" s="20"/>
      <c r="AA871" s="20"/>
      <c r="AK871" s="45"/>
    </row>
    <row r="872" spans="9:37" ht="12.75">
      <c r="I872" s="20"/>
      <c r="R872" s="20"/>
      <c r="AA872" s="20"/>
      <c r="AK872" s="45"/>
    </row>
    <row r="873" spans="9:37" ht="12.75">
      <c r="I873" s="20"/>
      <c r="R873" s="20"/>
      <c r="AA873" s="20"/>
      <c r="AK873" s="45"/>
    </row>
    <row r="874" spans="9:37" ht="12.75">
      <c r="I874" s="20"/>
      <c r="R874" s="20"/>
      <c r="AA874" s="20"/>
      <c r="AK874" s="45"/>
    </row>
    <row r="875" spans="9:37" ht="12.75">
      <c r="I875" s="20"/>
      <c r="R875" s="20"/>
      <c r="AA875" s="20"/>
      <c r="AK875" s="45"/>
    </row>
    <row r="876" spans="9:37" ht="12.75">
      <c r="I876" s="20"/>
      <c r="R876" s="20"/>
      <c r="AA876" s="20"/>
      <c r="AK876" s="45"/>
    </row>
    <row r="877" spans="9:37" ht="12.75">
      <c r="I877" s="20"/>
      <c r="R877" s="20"/>
      <c r="AA877" s="20"/>
      <c r="AK877" s="45"/>
    </row>
    <row r="878" spans="9:37" ht="12.75">
      <c r="I878" s="20"/>
      <c r="R878" s="20"/>
      <c r="AA878" s="20"/>
      <c r="AK878" s="45"/>
    </row>
    <row r="879" spans="9:37" ht="12.75">
      <c r="I879" s="20"/>
      <c r="R879" s="20"/>
      <c r="AA879" s="20"/>
      <c r="AK879" s="45"/>
    </row>
    <row r="880" spans="9:37" ht="12.75">
      <c r="I880" s="20"/>
      <c r="R880" s="20"/>
      <c r="AA880" s="20"/>
      <c r="AK880" s="45"/>
    </row>
    <row r="881" spans="9:37" ht="12.75">
      <c r="I881" s="20"/>
      <c r="R881" s="20"/>
      <c r="AA881" s="20"/>
      <c r="AK881" s="45"/>
    </row>
    <row r="882" spans="9:37" ht="12.75">
      <c r="I882" s="20"/>
      <c r="R882" s="20"/>
      <c r="AA882" s="20"/>
      <c r="AK882" s="45"/>
    </row>
    <row r="883" spans="9:37" ht="12.75">
      <c r="I883" s="20"/>
      <c r="R883" s="20"/>
      <c r="AA883" s="20"/>
      <c r="AK883" s="45"/>
    </row>
    <row r="884" spans="9:37" ht="12.75">
      <c r="I884" s="20"/>
      <c r="R884" s="20"/>
      <c r="AA884" s="20"/>
      <c r="AK884" s="45"/>
    </row>
    <row r="885" spans="9:37" ht="12.75">
      <c r="I885" s="20"/>
      <c r="R885" s="20"/>
      <c r="AA885" s="20"/>
      <c r="AK885" s="45"/>
    </row>
    <row r="886" spans="9:37" ht="12.75">
      <c r="I886" s="20"/>
      <c r="R886" s="20"/>
      <c r="AA886" s="20"/>
      <c r="AK886" s="45"/>
    </row>
    <row r="887" spans="9:37" ht="12.75">
      <c r="I887" s="20"/>
      <c r="R887" s="20"/>
      <c r="AA887" s="20"/>
      <c r="AK887" s="45"/>
    </row>
    <row r="888" spans="9:37" ht="12.75">
      <c r="I888" s="20"/>
      <c r="R888" s="20"/>
      <c r="AA888" s="20"/>
      <c r="AK888" s="45"/>
    </row>
    <row r="889" spans="9:37" ht="12.75">
      <c r="I889" s="20"/>
      <c r="R889" s="20"/>
      <c r="AA889" s="20"/>
      <c r="AK889" s="45"/>
    </row>
    <row r="890" spans="9:37" ht="12.75">
      <c r="I890" s="20"/>
      <c r="R890" s="20"/>
      <c r="AA890" s="20"/>
      <c r="AK890" s="45"/>
    </row>
    <row r="891" spans="9:37" ht="12.75">
      <c r="I891" s="20"/>
      <c r="R891" s="20"/>
      <c r="AA891" s="20"/>
      <c r="AK891" s="45"/>
    </row>
    <row r="892" spans="9:37" ht="12.75">
      <c r="I892" s="20"/>
      <c r="R892" s="20"/>
      <c r="AA892" s="20"/>
      <c r="AK892" s="45"/>
    </row>
    <row r="893" spans="9:37" ht="12.75">
      <c r="I893" s="20"/>
      <c r="R893" s="20"/>
      <c r="AA893" s="20"/>
      <c r="AK893" s="45"/>
    </row>
    <row r="894" spans="9:37" ht="12.75">
      <c r="I894" s="20"/>
      <c r="R894" s="20"/>
      <c r="AA894" s="20"/>
      <c r="AK894" s="45"/>
    </row>
    <row r="895" spans="9:37" ht="12.75">
      <c r="I895" s="20"/>
      <c r="R895" s="20"/>
      <c r="AA895" s="20"/>
      <c r="AK895" s="45"/>
    </row>
    <row r="896" spans="9:37" ht="12.75">
      <c r="I896" s="20"/>
      <c r="R896" s="20"/>
      <c r="AA896" s="20"/>
      <c r="AK896" s="45"/>
    </row>
    <row r="897" spans="9:37" ht="12.75">
      <c r="I897" s="20"/>
      <c r="R897" s="20"/>
      <c r="AA897" s="20"/>
      <c r="AK897" s="45"/>
    </row>
    <row r="898" spans="9:37" ht="12.75">
      <c r="I898" s="20"/>
      <c r="R898" s="20"/>
      <c r="AA898" s="20"/>
      <c r="AK898" s="45"/>
    </row>
    <row r="899" spans="9:37" ht="12.75">
      <c r="I899" s="20"/>
      <c r="R899" s="20"/>
      <c r="AA899" s="20"/>
      <c r="AK899" s="45"/>
    </row>
    <row r="900" spans="9:37" ht="12.75">
      <c r="I900" s="20"/>
      <c r="R900" s="20"/>
      <c r="AA900" s="20"/>
      <c r="AK900" s="45"/>
    </row>
    <row r="901" spans="9:37" ht="12.75">
      <c r="I901" s="20"/>
      <c r="R901" s="20"/>
      <c r="AA901" s="20"/>
      <c r="AK901" s="45"/>
    </row>
    <row r="902" spans="9:37" ht="12.75">
      <c r="I902" s="20"/>
      <c r="R902" s="20"/>
      <c r="AA902" s="20"/>
      <c r="AK902" s="45"/>
    </row>
    <row r="903" spans="9:37" ht="12.75">
      <c r="I903" s="20"/>
      <c r="R903" s="20"/>
      <c r="AA903" s="20"/>
      <c r="AK903" s="45"/>
    </row>
    <row r="904" spans="9:37" ht="12.75">
      <c r="I904" s="20"/>
      <c r="R904" s="20"/>
      <c r="AA904" s="20"/>
      <c r="AK904" s="45"/>
    </row>
    <row r="905" spans="9:37" ht="12.75">
      <c r="I905" s="20"/>
      <c r="R905" s="20"/>
      <c r="AA905" s="20"/>
      <c r="AK905" s="45"/>
    </row>
    <row r="906" spans="9:37" ht="12.75">
      <c r="I906" s="20"/>
      <c r="R906" s="20"/>
      <c r="AA906" s="20"/>
      <c r="AK906" s="45"/>
    </row>
    <row r="907" spans="9:37" ht="12.75">
      <c r="I907" s="20"/>
      <c r="R907" s="20"/>
      <c r="AA907" s="20"/>
      <c r="AK907" s="45"/>
    </row>
    <row r="908" spans="9:37" ht="12.75">
      <c r="I908" s="20"/>
      <c r="R908" s="20"/>
      <c r="AA908" s="20"/>
      <c r="AK908" s="45"/>
    </row>
    <row r="909" spans="9:37" ht="12.75">
      <c r="I909" s="20"/>
      <c r="R909" s="20"/>
      <c r="AA909" s="20"/>
      <c r="AK909" s="45"/>
    </row>
    <row r="910" spans="9:37" ht="12.75">
      <c r="I910" s="20"/>
      <c r="R910" s="20"/>
      <c r="AA910" s="20"/>
      <c r="AK910" s="45"/>
    </row>
    <row r="911" spans="9:37" ht="12.75">
      <c r="I911" s="20"/>
      <c r="R911" s="20"/>
      <c r="AA911" s="20"/>
      <c r="AK911" s="45"/>
    </row>
    <row r="912" spans="9:37" ht="12.75">
      <c r="I912" s="20"/>
      <c r="R912" s="20"/>
      <c r="AA912" s="20"/>
      <c r="AK912" s="45"/>
    </row>
    <row r="913" spans="9:37" ht="12.75">
      <c r="I913" s="20"/>
      <c r="R913" s="20"/>
      <c r="AA913" s="20"/>
      <c r="AK913" s="45"/>
    </row>
    <row r="914" spans="9:37" ht="12.75">
      <c r="I914" s="20"/>
      <c r="R914" s="20"/>
      <c r="AA914" s="20"/>
      <c r="AK914" s="45"/>
    </row>
    <row r="915" spans="9:37" ht="12.75">
      <c r="I915" s="20"/>
      <c r="R915" s="20"/>
      <c r="AA915" s="20"/>
      <c r="AK915" s="45"/>
    </row>
    <row r="916" spans="9:37" ht="12.75">
      <c r="I916" s="20"/>
      <c r="R916" s="20"/>
      <c r="AA916" s="20"/>
      <c r="AK916" s="45"/>
    </row>
    <row r="917" spans="9:37" ht="12.75">
      <c r="I917" s="20"/>
      <c r="R917" s="20"/>
      <c r="AA917" s="20"/>
      <c r="AK917" s="45"/>
    </row>
    <row r="918" spans="9:37" ht="12.75">
      <c r="I918" s="20"/>
      <c r="R918" s="20"/>
      <c r="AA918" s="20"/>
      <c r="AK918" s="45"/>
    </row>
    <row r="919" spans="9:37" ht="12.75">
      <c r="I919" s="20"/>
      <c r="R919" s="20"/>
      <c r="AA919" s="20"/>
      <c r="AK919" s="45"/>
    </row>
    <row r="920" spans="9:37" ht="12.75">
      <c r="I920" s="20"/>
      <c r="R920" s="20"/>
      <c r="AA920" s="20"/>
      <c r="AK920" s="45"/>
    </row>
    <row r="921" spans="9:37" ht="12.75">
      <c r="I921" s="20"/>
      <c r="R921" s="20"/>
      <c r="AA921" s="20"/>
      <c r="AK921" s="45"/>
    </row>
    <row r="922" spans="9:37" ht="12.75">
      <c r="I922" s="20"/>
      <c r="R922" s="20"/>
      <c r="AA922" s="20"/>
      <c r="AK922" s="45"/>
    </row>
    <row r="923" spans="9:37" ht="12.75">
      <c r="I923" s="20"/>
      <c r="R923" s="20"/>
      <c r="AA923" s="20"/>
      <c r="AK923" s="45"/>
    </row>
    <row r="924" spans="9:37" ht="12.75">
      <c r="I924" s="20"/>
      <c r="R924" s="20"/>
      <c r="AA924" s="20"/>
      <c r="AK924" s="45"/>
    </row>
    <row r="925" spans="9:37" ht="12.75">
      <c r="I925" s="20"/>
      <c r="R925" s="20"/>
      <c r="AA925" s="20"/>
      <c r="AK925" s="45"/>
    </row>
    <row r="926" spans="9:37" ht="12.75">
      <c r="I926" s="20"/>
      <c r="R926" s="20"/>
      <c r="AA926" s="20"/>
      <c r="AK926" s="45"/>
    </row>
    <row r="927" spans="9:37" ht="12.75">
      <c r="I927" s="20"/>
      <c r="R927" s="20"/>
      <c r="AA927" s="20"/>
      <c r="AK927" s="45"/>
    </row>
    <row r="928" spans="9:37" ht="12.75">
      <c r="I928" s="20"/>
      <c r="R928" s="20"/>
      <c r="AA928" s="20"/>
      <c r="AK928" s="45"/>
    </row>
    <row r="929" spans="9:37" ht="12.75">
      <c r="I929" s="20"/>
      <c r="R929" s="20"/>
      <c r="AA929" s="20"/>
      <c r="AK929" s="45"/>
    </row>
    <row r="930" spans="9:37" ht="12.75">
      <c r="I930" s="20"/>
      <c r="R930" s="20"/>
      <c r="AA930" s="20"/>
      <c r="AK930" s="45"/>
    </row>
    <row r="931" spans="9:37" ht="12.75">
      <c r="I931" s="20"/>
      <c r="R931" s="20"/>
      <c r="AA931" s="20"/>
      <c r="AK931" s="45"/>
    </row>
    <row r="932" spans="9:37" ht="12.75">
      <c r="I932" s="20"/>
      <c r="R932" s="20"/>
      <c r="AA932" s="20"/>
      <c r="AK932" s="45"/>
    </row>
    <row r="933" spans="9:37" ht="12.75">
      <c r="I933" s="20"/>
      <c r="R933" s="20"/>
      <c r="AA933" s="20"/>
      <c r="AK933" s="45"/>
    </row>
    <row r="934" spans="9:37" ht="12.75">
      <c r="I934" s="20"/>
      <c r="R934" s="20"/>
      <c r="AA934" s="20"/>
      <c r="AK934" s="45"/>
    </row>
    <row r="935" spans="9:37" ht="12.75">
      <c r="I935" s="20"/>
      <c r="R935" s="20"/>
      <c r="AA935" s="20"/>
      <c r="AK935" s="45"/>
    </row>
    <row r="936" spans="9:37" ht="12.75">
      <c r="I936" s="20"/>
      <c r="R936" s="20"/>
      <c r="AA936" s="20"/>
      <c r="AK936" s="45"/>
    </row>
    <row r="937" spans="9:37" ht="12.75">
      <c r="I937" s="20"/>
      <c r="R937" s="20"/>
      <c r="AA937" s="20"/>
      <c r="AK937" s="45"/>
    </row>
    <row r="938" spans="9:37" ht="12.75">
      <c r="I938" s="20"/>
      <c r="R938" s="20"/>
      <c r="AA938" s="20"/>
      <c r="AK938" s="45"/>
    </row>
    <row r="939" spans="9:37" ht="12.75">
      <c r="I939" s="20"/>
      <c r="R939" s="20"/>
      <c r="AA939" s="20"/>
      <c r="AK939" s="45"/>
    </row>
    <row r="940" spans="9:37" ht="12.75">
      <c r="I940" s="20"/>
      <c r="R940" s="20"/>
      <c r="AA940" s="20"/>
      <c r="AK940" s="45"/>
    </row>
    <row r="941" spans="9:37" ht="12.75">
      <c r="I941" s="20"/>
      <c r="R941" s="20"/>
      <c r="AA941" s="20"/>
      <c r="AK941" s="45"/>
    </row>
    <row r="942" spans="9:37" ht="12.75">
      <c r="I942" s="20"/>
      <c r="R942" s="20"/>
      <c r="AA942" s="20"/>
      <c r="AK942" s="45"/>
    </row>
    <row r="943" spans="9:37" ht="12.75">
      <c r="I943" s="20"/>
      <c r="R943" s="20"/>
      <c r="AA943" s="20"/>
      <c r="AK943" s="45"/>
    </row>
    <row r="944" spans="9:37" ht="12.75">
      <c r="I944" s="20"/>
      <c r="R944" s="20"/>
      <c r="AA944" s="20"/>
      <c r="AK944" s="45"/>
    </row>
    <row r="945" spans="9:37" ht="12.75">
      <c r="I945" s="20"/>
      <c r="R945" s="20"/>
      <c r="AA945" s="20"/>
      <c r="AK945" s="45"/>
    </row>
    <row r="946" spans="9:37" ht="12.75">
      <c r="I946" s="20"/>
      <c r="R946" s="20"/>
      <c r="AA946" s="20"/>
      <c r="AK946" s="45"/>
    </row>
    <row r="947" spans="9:37" ht="12.75">
      <c r="I947" s="20"/>
      <c r="R947" s="20"/>
      <c r="AA947" s="20"/>
      <c r="AK947" s="45"/>
    </row>
    <row r="948" spans="9:37" ht="12.75">
      <c r="I948" s="20"/>
      <c r="R948" s="20"/>
      <c r="AA948" s="20"/>
      <c r="AK948" s="45"/>
    </row>
    <row r="949" spans="9:37" ht="12.75">
      <c r="I949" s="20"/>
      <c r="R949" s="20"/>
      <c r="AA949" s="20"/>
      <c r="AK949" s="45"/>
    </row>
    <row r="950" spans="9:37" ht="12.75">
      <c r="I950" s="20"/>
      <c r="R950" s="20"/>
      <c r="AA950" s="20"/>
      <c r="AK950" s="45"/>
    </row>
    <row r="951" spans="9:37" ht="12.75">
      <c r="I951" s="20"/>
      <c r="R951" s="20"/>
      <c r="AA951" s="20"/>
      <c r="AK951" s="45"/>
    </row>
    <row r="952" spans="9:37" ht="12.75">
      <c r="I952" s="20"/>
      <c r="R952" s="20"/>
      <c r="AA952" s="20"/>
      <c r="AK952" s="45"/>
    </row>
    <row r="953" spans="9:37" ht="12.75">
      <c r="I953" s="20"/>
      <c r="R953" s="20"/>
      <c r="AA953" s="20"/>
      <c r="AK953" s="45"/>
    </row>
    <row r="954" spans="9:37" ht="12.75">
      <c r="I954" s="20"/>
      <c r="R954" s="20"/>
      <c r="AA954" s="20"/>
      <c r="AK954" s="45"/>
    </row>
    <row r="955" spans="9:37" ht="12.75">
      <c r="I955" s="20"/>
      <c r="R955" s="20"/>
      <c r="AA955" s="20"/>
      <c r="AK955" s="45"/>
    </row>
    <row r="956" spans="9:37" ht="12.75">
      <c r="I956" s="20"/>
      <c r="R956" s="20"/>
      <c r="AA956" s="20"/>
      <c r="AK956" s="45"/>
    </row>
    <row r="957" spans="9:37" ht="12.75">
      <c r="I957" s="20"/>
      <c r="R957" s="20"/>
      <c r="AA957" s="20"/>
      <c r="AK957" s="45"/>
    </row>
    <row r="958" spans="9:37" ht="12.75">
      <c r="I958" s="20"/>
      <c r="R958" s="20"/>
      <c r="AA958" s="20"/>
      <c r="AK958" s="45"/>
    </row>
    <row r="959" spans="9:37" ht="12.75">
      <c r="I959" s="20"/>
      <c r="R959" s="20"/>
      <c r="AA959" s="20"/>
      <c r="AK959" s="45"/>
    </row>
    <row r="960" spans="9:37" ht="12.75">
      <c r="I960" s="20"/>
      <c r="R960" s="20"/>
      <c r="AA960" s="20"/>
      <c r="AK960" s="45"/>
    </row>
    <row r="961" spans="9:37" ht="12.75">
      <c r="I961" s="20"/>
      <c r="R961" s="20"/>
      <c r="AA961" s="20"/>
      <c r="AK961" s="45"/>
    </row>
    <row r="962" spans="9:37" ht="12.75">
      <c r="I962" s="20"/>
      <c r="R962" s="20"/>
      <c r="AA962" s="20"/>
      <c r="AK962" s="45"/>
    </row>
    <row r="963" spans="9:37" ht="12.75">
      <c r="I963" s="20"/>
      <c r="R963" s="20"/>
      <c r="AA963" s="20"/>
      <c r="AK963" s="45"/>
    </row>
    <row r="964" spans="9:37" ht="12.75">
      <c r="I964" s="20"/>
      <c r="R964" s="20"/>
      <c r="AA964" s="20"/>
      <c r="AK964" s="45"/>
    </row>
    <row r="965" spans="9:37" ht="12.75">
      <c r="I965" s="20"/>
      <c r="R965" s="20"/>
      <c r="AA965" s="20"/>
      <c r="AK965" s="45"/>
    </row>
    <row r="966" spans="9:37" ht="12.75">
      <c r="I966" s="20"/>
      <c r="R966" s="20"/>
      <c r="AA966" s="20"/>
      <c r="AK966" s="45"/>
    </row>
    <row r="967" spans="9:37" ht="12.75">
      <c r="I967" s="20"/>
      <c r="R967" s="20"/>
      <c r="AA967" s="20"/>
      <c r="AK967" s="45"/>
    </row>
    <row r="968" spans="9:37" ht="12.75">
      <c r="I968" s="20"/>
      <c r="R968" s="20"/>
      <c r="AA968" s="20"/>
      <c r="AK968" s="45"/>
    </row>
    <row r="969" spans="9:37" ht="12.75">
      <c r="I969" s="20"/>
      <c r="R969" s="20"/>
      <c r="AA969" s="20"/>
      <c r="AK969" s="45"/>
    </row>
    <row r="970" spans="9:37" ht="12.75">
      <c r="I970" s="20"/>
      <c r="R970" s="20"/>
      <c r="AA970" s="20"/>
      <c r="AK970" s="45"/>
    </row>
    <row r="971" spans="9:37" ht="12.75">
      <c r="I971" s="20"/>
      <c r="R971" s="20"/>
      <c r="AA971" s="20"/>
      <c r="AK971" s="45"/>
    </row>
    <row r="972" spans="9:37" ht="12.75">
      <c r="I972" s="20"/>
      <c r="R972" s="20"/>
      <c r="AA972" s="20"/>
      <c r="AK972" s="45"/>
    </row>
    <row r="973" spans="9:37" ht="12.75">
      <c r="I973" s="20"/>
      <c r="R973" s="20"/>
      <c r="AA973" s="20"/>
      <c r="AK973" s="45"/>
    </row>
    <row r="974" spans="9:37" ht="12.75">
      <c r="I974" s="20"/>
      <c r="R974" s="20"/>
      <c r="AA974" s="20"/>
      <c r="AK974" s="45"/>
    </row>
    <row r="975" spans="9:37" ht="12.75">
      <c r="I975" s="20"/>
      <c r="R975" s="20"/>
      <c r="AA975" s="20"/>
      <c r="AK975" s="45"/>
    </row>
    <row r="976" spans="9:37" ht="12.75">
      <c r="I976" s="20"/>
      <c r="R976" s="20"/>
      <c r="AA976" s="20"/>
      <c r="AK976" s="45"/>
    </row>
    <row r="977" spans="9:37" ht="12.75">
      <c r="I977" s="20"/>
      <c r="R977" s="20"/>
      <c r="AA977" s="20"/>
      <c r="AK977" s="45"/>
    </row>
    <row r="978" spans="9:37" ht="12.75">
      <c r="I978" s="20"/>
      <c r="R978" s="20"/>
      <c r="AA978" s="20"/>
      <c r="AK978" s="45"/>
    </row>
    <row r="979" spans="9:37" ht="12.75">
      <c r="I979" s="20"/>
      <c r="R979" s="20"/>
      <c r="AA979" s="20"/>
      <c r="AK979" s="45"/>
    </row>
    <row r="980" spans="9:37" ht="12.75">
      <c r="I980" s="20"/>
      <c r="R980" s="20"/>
      <c r="AA980" s="20"/>
      <c r="AK980" s="45"/>
    </row>
    <row r="981" spans="9:37" ht="12.75">
      <c r="I981" s="20"/>
      <c r="R981" s="20"/>
      <c r="AA981" s="20"/>
      <c r="AK981" s="45"/>
    </row>
    <row r="982" spans="9:37" ht="12.75">
      <c r="I982" s="20"/>
      <c r="R982" s="20"/>
      <c r="AA982" s="20"/>
      <c r="AK982" s="45"/>
    </row>
    <row r="983" spans="9:37" ht="12.75">
      <c r="I983" s="20"/>
      <c r="R983" s="20"/>
      <c r="AA983" s="20"/>
      <c r="AK983" s="45"/>
    </row>
    <row r="984" spans="9:37" ht="12.75">
      <c r="I984" s="20"/>
      <c r="R984" s="20"/>
      <c r="AA984" s="20"/>
      <c r="AK984" s="45"/>
    </row>
    <row r="985" spans="9:37" ht="12.75">
      <c r="I985" s="20"/>
      <c r="R985" s="20"/>
      <c r="AA985" s="20"/>
      <c r="AK985" s="45"/>
    </row>
    <row r="986" spans="9:37" ht="12.75">
      <c r="I986" s="20"/>
      <c r="R986" s="20"/>
      <c r="AA986" s="20"/>
      <c r="AK986" s="45"/>
    </row>
    <row r="987" spans="9:37" ht="12.75">
      <c r="I987" s="20"/>
      <c r="R987" s="20"/>
      <c r="AA987" s="20"/>
      <c r="AK987" s="45"/>
    </row>
    <row r="988" spans="9:37" ht="12.75">
      <c r="I988" s="20"/>
      <c r="R988" s="20"/>
      <c r="AA988" s="20"/>
      <c r="AK988" s="45"/>
    </row>
    <row r="989" spans="9:37" ht="12.75">
      <c r="I989" s="20"/>
      <c r="R989" s="20"/>
      <c r="AA989" s="20"/>
      <c r="AK989" s="45"/>
    </row>
    <row r="990" spans="9:37" ht="12.75">
      <c r="I990" s="20"/>
      <c r="R990" s="20"/>
      <c r="AA990" s="20"/>
      <c r="AK990" s="45"/>
    </row>
    <row r="991" spans="9:37" ht="12.75">
      <c r="I991" s="20"/>
      <c r="R991" s="20"/>
      <c r="AA991" s="20"/>
      <c r="AK991" s="45"/>
    </row>
    <row r="992" spans="9:37" ht="12.75">
      <c r="I992" s="20"/>
      <c r="R992" s="20"/>
      <c r="AA992" s="20"/>
      <c r="AK992" s="45"/>
    </row>
    <row r="993" spans="9:37" ht="12.75">
      <c r="I993" s="20"/>
      <c r="R993" s="20"/>
      <c r="AA993" s="20"/>
      <c r="AK993" s="45"/>
    </row>
    <row r="994" spans="9:37" ht="12.75">
      <c r="I994" s="20"/>
      <c r="R994" s="20"/>
      <c r="AA994" s="20"/>
      <c r="AK994" s="45"/>
    </row>
  </sheetData>
  <mergeCells count="7">
    <mergeCell ref="A1:AS1"/>
    <mergeCell ref="A2:B2"/>
    <mergeCell ref="G2:H2"/>
    <mergeCell ref="P2:Q2"/>
    <mergeCell ref="Y2:Z2"/>
    <mergeCell ref="AH2:AI2"/>
    <mergeCell ref="AQ2:AR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25C02-A7AF-4808-8475-C7DD554916EC}">
  <sheetPr>
    <outlinePr summaryBelow="0" summaryRight="0"/>
    <pageSetUpPr fitToPage="1"/>
  </sheetPr>
  <dimension ref="A1:AW231"/>
  <sheetViews>
    <sheetView topLeftCell="AP1" workbookViewId="0">
      <selection activeCell="AP6" sqref="AP6"/>
    </sheetView>
  </sheetViews>
  <sheetFormatPr defaultColWidth="12.5703125" defaultRowHeight="15.75" customHeight="1"/>
  <cols>
    <col min="1" max="1" width="13.140625" bestFit="1" customWidth="1"/>
    <col min="2" max="2" width="16.140625" bestFit="1" customWidth="1"/>
    <col min="3" max="10" width="10.42578125" customWidth="1"/>
    <col min="11" max="11" width="13.140625" bestFit="1" customWidth="1"/>
    <col min="12" max="12" width="16.140625" bestFit="1" customWidth="1"/>
    <col min="13" max="20" width="10.42578125" customWidth="1"/>
    <col min="21" max="22" width="9.140625"/>
    <col min="23" max="23" width="13" bestFit="1" customWidth="1"/>
    <col min="24" max="26" width="9.140625"/>
    <col min="27" max="27" width="17.5703125" customWidth="1"/>
  </cols>
  <sheetData>
    <row r="1" spans="1:49" s="84" customFormat="1" ht="15.75" customHeight="1">
      <c r="A1" s="85" t="s">
        <v>52</v>
      </c>
      <c r="C1" s="87">
        <v>45745</v>
      </c>
      <c r="D1" s="79">
        <f>X14</f>
        <v>7009</v>
      </c>
      <c r="F1" s="87">
        <v>45752</v>
      </c>
      <c r="G1" s="79">
        <f>X60</f>
        <v>8040</v>
      </c>
      <c r="I1" s="87">
        <v>45759</v>
      </c>
      <c r="J1" s="79">
        <f>X106</f>
        <v>7010</v>
      </c>
      <c r="L1" s="87">
        <v>45766</v>
      </c>
      <c r="M1" s="79">
        <f>X152</f>
        <v>6835</v>
      </c>
      <c r="O1" s="87">
        <v>45773</v>
      </c>
      <c r="P1" s="79">
        <f>X198</f>
        <v>7417</v>
      </c>
      <c r="R1" s="86" t="s">
        <v>53</v>
      </c>
      <c r="S1" s="79">
        <f>SUM(D1,G1,J1,M1,P1)</f>
        <v>36311</v>
      </c>
    </row>
    <row r="3" spans="1:49" ht="18.75" customHeight="1">
      <c r="A3" s="1"/>
      <c r="B3" s="1"/>
      <c r="C3" s="183" t="s">
        <v>0</v>
      </c>
      <c r="D3" s="225"/>
      <c r="E3" s="225"/>
      <c r="F3" s="225"/>
      <c r="G3" s="226"/>
      <c r="H3" s="2"/>
      <c r="I3" s="1"/>
    </row>
    <row r="4" spans="1:49" ht="18.75" customHeight="1">
      <c r="A4" s="1"/>
      <c r="B4" s="183" t="s">
        <v>1</v>
      </c>
      <c r="C4" s="225"/>
      <c r="D4" s="226"/>
      <c r="E4" s="1"/>
      <c r="F4" s="184" t="s">
        <v>54</v>
      </c>
      <c r="G4" s="225"/>
      <c r="H4" s="226"/>
      <c r="I4" s="1"/>
      <c r="K4" s="1"/>
      <c r="L4" s="183" t="s">
        <v>26</v>
      </c>
      <c r="M4" s="225"/>
      <c r="N4" s="226"/>
      <c r="O4" s="1"/>
      <c r="P4" s="184" t="s">
        <v>54</v>
      </c>
      <c r="Q4" s="225"/>
      <c r="R4" s="226"/>
      <c r="S4" s="1"/>
    </row>
    <row r="5" spans="1:49" ht="18.75" customHeight="1">
      <c r="A5" s="54" t="s">
        <v>35</v>
      </c>
      <c r="B5" s="54" t="s">
        <v>4</v>
      </c>
      <c r="C5" s="54" t="s">
        <v>12</v>
      </c>
      <c r="D5" s="54" t="s">
        <v>19</v>
      </c>
      <c r="E5" s="54" t="s">
        <v>20</v>
      </c>
      <c r="F5" s="54" t="s">
        <v>21</v>
      </c>
      <c r="G5" s="54" t="s">
        <v>22</v>
      </c>
      <c r="H5" s="54" t="s">
        <v>23</v>
      </c>
      <c r="I5" s="54" t="s">
        <v>24</v>
      </c>
      <c r="J5" s="54" t="s">
        <v>25</v>
      </c>
      <c r="K5" s="54" t="s">
        <v>35</v>
      </c>
      <c r="L5" s="54" t="s">
        <v>4</v>
      </c>
      <c r="M5" s="54" t="s">
        <v>27</v>
      </c>
      <c r="N5" s="54" t="s">
        <v>28</v>
      </c>
      <c r="O5" s="54" t="s">
        <v>29</v>
      </c>
      <c r="P5" s="54" t="s">
        <v>30</v>
      </c>
      <c r="Q5" s="54" t="s">
        <v>31</v>
      </c>
      <c r="R5" s="54" t="s">
        <v>32</v>
      </c>
      <c r="S5" s="54" t="s">
        <v>33</v>
      </c>
      <c r="T5" s="54" t="s">
        <v>34</v>
      </c>
      <c r="U5" s="54" t="s">
        <v>55</v>
      </c>
    </row>
    <row r="6" spans="1:49" ht="18.75" customHeight="1">
      <c r="A6" s="195" t="s">
        <v>5</v>
      </c>
      <c r="B6" s="56" t="s">
        <v>13</v>
      </c>
      <c r="C6" s="57"/>
      <c r="D6" s="57"/>
      <c r="E6" s="56">
        <v>26</v>
      </c>
      <c r="F6" s="56">
        <v>24</v>
      </c>
      <c r="G6" s="56">
        <v>34</v>
      </c>
      <c r="H6" s="56">
        <v>41</v>
      </c>
      <c r="I6" s="56">
        <v>32</v>
      </c>
      <c r="J6" s="56">
        <v>41</v>
      </c>
      <c r="K6" s="196" t="s">
        <v>5</v>
      </c>
      <c r="L6" s="56" t="s">
        <v>13</v>
      </c>
      <c r="M6" s="56">
        <v>40</v>
      </c>
      <c r="N6" s="56">
        <v>38</v>
      </c>
      <c r="O6" s="56">
        <v>27</v>
      </c>
      <c r="P6" s="56">
        <v>13</v>
      </c>
      <c r="Q6" s="56">
        <v>9</v>
      </c>
      <c r="R6" s="57"/>
      <c r="S6" s="57"/>
      <c r="T6" s="58"/>
      <c r="U6" s="59">
        <f>SUM(M6:T6,C6:J6)</f>
        <v>325</v>
      </c>
      <c r="W6" s="197" t="s">
        <v>54</v>
      </c>
      <c r="X6" s="198"/>
      <c r="Z6" s="197" t="s">
        <v>56</v>
      </c>
      <c r="AA6" s="203"/>
      <c r="AB6" s="83">
        <f>SUM(X14,X60,X106,X152,X198)</f>
        <v>36311</v>
      </c>
      <c r="AD6" s="197" t="s">
        <v>57</v>
      </c>
      <c r="AE6" s="198"/>
      <c r="AG6" s="190" t="s">
        <v>58</v>
      </c>
      <c r="AH6" s="191"/>
      <c r="AI6" s="191"/>
      <c r="AJ6" s="191"/>
      <c r="AK6" s="191"/>
      <c r="AL6" s="191"/>
      <c r="AM6" s="191"/>
      <c r="AN6" s="192"/>
      <c r="AP6" s="190" t="s">
        <v>59</v>
      </c>
      <c r="AQ6" s="191"/>
      <c r="AR6" s="191"/>
      <c r="AS6" s="191"/>
      <c r="AT6" s="191"/>
      <c r="AU6" s="191"/>
      <c r="AV6" s="191"/>
      <c r="AW6" s="192"/>
    </row>
    <row r="7" spans="1:49" ht="18.75" customHeight="1">
      <c r="A7" s="230"/>
      <c r="B7" s="4" t="s">
        <v>14</v>
      </c>
      <c r="C7" s="5"/>
      <c r="D7" s="5"/>
      <c r="E7" s="4">
        <v>8</v>
      </c>
      <c r="F7" s="4">
        <v>8</v>
      </c>
      <c r="G7" s="4">
        <v>9</v>
      </c>
      <c r="H7" s="4">
        <v>13</v>
      </c>
      <c r="I7" s="4">
        <v>7</v>
      </c>
      <c r="J7" s="4">
        <v>12</v>
      </c>
      <c r="K7" s="227"/>
      <c r="L7" s="4" t="s">
        <v>14</v>
      </c>
      <c r="M7" s="4">
        <v>11</v>
      </c>
      <c r="N7" s="4">
        <v>12</v>
      </c>
      <c r="O7" s="4">
        <v>8</v>
      </c>
      <c r="P7" s="4">
        <v>4</v>
      </c>
      <c r="Q7" s="4">
        <v>5</v>
      </c>
      <c r="R7" s="5"/>
      <c r="S7" s="5"/>
      <c r="T7" s="49"/>
      <c r="U7" s="60">
        <f>SUM(M7:Q7,E7:J7)</f>
        <v>97</v>
      </c>
      <c r="W7" s="55" t="s">
        <v>5</v>
      </c>
      <c r="X7" s="48">
        <f>SUM(U6:U11)</f>
        <v>1011</v>
      </c>
      <c r="AD7" s="55" t="s">
        <v>5</v>
      </c>
      <c r="AE7" s="48">
        <f>AVERAGE(X7,X53,X99,X145,X191)</f>
        <v>866</v>
      </c>
      <c r="AG7" s="98" t="s">
        <v>4</v>
      </c>
      <c r="AH7" s="98" t="s">
        <v>5</v>
      </c>
      <c r="AI7" s="98" t="s">
        <v>6</v>
      </c>
      <c r="AJ7" s="98" t="s">
        <v>7</v>
      </c>
      <c r="AK7" s="98" t="s">
        <v>8</v>
      </c>
      <c r="AL7" s="98" t="s">
        <v>9</v>
      </c>
      <c r="AM7" s="98" t="s">
        <v>10</v>
      </c>
      <c r="AN7" s="98" t="s">
        <v>11</v>
      </c>
      <c r="AP7" s="98" t="s">
        <v>4</v>
      </c>
      <c r="AQ7" s="98" t="s">
        <v>5</v>
      </c>
      <c r="AR7" s="98" t="s">
        <v>6</v>
      </c>
      <c r="AS7" s="98" t="s">
        <v>7</v>
      </c>
      <c r="AT7" s="98" t="s">
        <v>8</v>
      </c>
      <c r="AU7" s="98" t="s">
        <v>9</v>
      </c>
      <c r="AV7" s="98" t="s">
        <v>10</v>
      </c>
      <c r="AW7" s="98" t="s">
        <v>11</v>
      </c>
    </row>
    <row r="8" spans="1:49" ht="18.75" customHeight="1">
      <c r="A8" s="230"/>
      <c r="B8" s="4" t="s">
        <v>15</v>
      </c>
      <c r="C8" s="5"/>
      <c r="D8" s="5"/>
      <c r="E8" s="4">
        <v>20</v>
      </c>
      <c r="F8" s="4">
        <v>10</v>
      </c>
      <c r="G8" s="4">
        <v>11</v>
      </c>
      <c r="H8" s="4">
        <v>32</v>
      </c>
      <c r="I8" s="4">
        <v>40</v>
      </c>
      <c r="J8" s="4">
        <v>35</v>
      </c>
      <c r="K8" s="227"/>
      <c r="L8" s="4" t="s">
        <v>15</v>
      </c>
      <c r="M8" s="4">
        <v>30</v>
      </c>
      <c r="N8" s="4">
        <v>25</v>
      </c>
      <c r="O8" s="4">
        <v>13</v>
      </c>
      <c r="P8" s="4">
        <v>15</v>
      </c>
      <c r="Q8" s="4">
        <v>10</v>
      </c>
      <c r="R8" s="5"/>
      <c r="S8" s="5"/>
      <c r="T8" s="49"/>
      <c r="U8" s="60">
        <f t="shared" ref="U8:U47" si="0">SUM(M8:Q8,E8:J8)</f>
        <v>241</v>
      </c>
      <c r="W8" s="55" t="s">
        <v>6</v>
      </c>
      <c r="X8" s="48">
        <f>SUM(U12:U17)</f>
        <v>840</v>
      </c>
      <c r="Z8" s="197" t="s">
        <v>60</v>
      </c>
      <c r="AA8" s="203"/>
      <c r="AB8" s="83"/>
      <c r="AD8" s="55" t="s">
        <v>6</v>
      </c>
      <c r="AE8" s="48">
        <f t="shared" ref="AE8:AE13" si="1">AVERAGE(X8,X54,X100,X146,X192)</f>
        <v>543</v>
      </c>
      <c r="AG8" s="79" t="s">
        <v>13</v>
      </c>
      <c r="AH8" s="79">
        <f t="shared" ref="AH8:AH13" si="2">U6</f>
        <v>325</v>
      </c>
      <c r="AI8" s="79">
        <f t="shared" ref="AI8:AI13" si="3">U12</f>
        <v>292</v>
      </c>
      <c r="AJ8" s="79">
        <f t="shared" ref="AJ8:AJ13" si="4">U18</f>
        <v>346</v>
      </c>
      <c r="AK8" s="79">
        <f t="shared" ref="AK8:AK13" si="5">U24</f>
        <v>333</v>
      </c>
      <c r="AL8" s="79">
        <f t="shared" ref="AL8:AL13" si="6">U30</f>
        <v>359</v>
      </c>
      <c r="AM8" s="79">
        <f t="shared" ref="AM8:AM13" si="7">U36</f>
        <v>256</v>
      </c>
      <c r="AN8" s="79">
        <f t="shared" ref="AN8:AN13" si="8">U42</f>
        <v>301</v>
      </c>
      <c r="AP8" s="79" t="s">
        <v>13</v>
      </c>
      <c r="AQ8" s="79">
        <f t="shared" ref="AQ8:AW13" si="9">SUM(AH8,AH54,AH100,AH146,AH192)</f>
        <v>1451</v>
      </c>
      <c r="AR8" s="79">
        <f t="shared" si="9"/>
        <v>945</v>
      </c>
      <c r="AS8" s="79">
        <f t="shared" si="9"/>
        <v>2080</v>
      </c>
      <c r="AT8" s="79">
        <f t="shared" si="9"/>
        <v>1963</v>
      </c>
      <c r="AU8" s="79">
        <f t="shared" si="9"/>
        <v>1922</v>
      </c>
      <c r="AV8" s="79">
        <f t="shared" si="9"/>
        <v>1598</v>
      </c>
      <c r="AW8" s="79">
        <f t="shared" si="9"/>
        <v>1489</v>
      </c>
    </row>
    <row r="9" spans="1:49" ht="18.75" customHeight="1">
      <c r="A9" s="230"/>
      <c r="B9" s="4" t="s">
        <v>16</v>
      </c>
      <c r="C9" s="5"/>
      <c r="D9" s="5"/>
      <c r="E9" s="4">
        <v>9</v>
      </c>
      <c r="F9" s="4">
        <v>9</v>
      </c>
      <c r="G9" s="4">
        <v>11</v>
      </c>
      <c r="H9" s="4">
        <v>8</v>
      </c>
      <c r="I9" s="4">
        <v>35</v>
      </c>
      <c r="J9" s="4">
        <v>18</v>
      </c>
      <c r="K9" s="227"/>
      <c r="L9" s="4" t="s">
        <v>16</v>
      </c>
      <c r="M9" s="4">
        <v>17</v>
      </c>
      <c r="N9" s="4">
        <v>13</v>
      </c>
      <c r="O9" s="4">
        <v>10</v>
      </c>
      <c r="P9" s="4">
        <v>5</v>
      </c>
      <c r="Q9" s="4">
        <v>2</v>
      </c>
      <c r="R9" s="5"/>
      <c r="S9" s="5"/>
      <c r="T9" s="49"/>
      <c r="U9" s="60">
        <f t="shared" si="0"/>
        <v>137</v>
      </c>
      <c r="W9" s="55" t="s">
        <v>7</v>
      </c>
      <c r="X9" s="48">
        <f>SUM(U18:U23)</f>
        <v>1136</v>
      </c>
      <c r="AD9" s="55" t="s">
        <v>7</v>
      </c>
      <c r="AE9" s="48">
        <f t="shared" si="1"/>
        <v>1384.8</v>
      </c>
      <c r="AG9" s="97" t="s">
        <v>14</v>
      </c>
      <c r="AH9" s="97">
        <f t="shared" si="2"/>
        <v>97</v>
      </c>
      <c r="AI9" s="97">
        <f t="shared" si="3"/>
        <v>88</v>
      </c>
      <c r="AJ9" s="97">
        <f t="shared" si="4"/>
        <v>147</v>
      </c>
      <c r="AK9" s="97">
        <f t="shared" si="5"/>
        <v>154</v>
      </c>
      <c r="AL9" s="97">
        <f t="shared" si="6"/>
        <v>166</v>
      </c>
      <c r="AM9" s="97">
        <f t="shared" si="7"/>
        <v>125</v>
      </c>
      <c r="AN9" s="97">
        <f t="shared" si="8"/>
        <v>156</v>
      </c>
      <c r="AP9" s="97" t="s">
        <v>14</v>
      </c>
      <c r="AQ9" s="97">
        <f t="shared" si="9"/>
        <v>405</v>
      </c>
      <c r="AR9" s="97">
        <f t="shared" si="9"/>
        <v>316</v>
      </c>
      <c r="AS9" s="97">
        <f t="shared" si="9"/>
        <v>832</v>
      </c>
      <c r="AT9" s="97">
        <f t="shared" si="9"/>
        <v>771</v>
      </c>
      <c r="AU9" s="97">
        <f t="shared" si="9"/>
        <v>829</v>
      </c>
      <c r="AV9" s="97">
        <f t="shared" si="9"/>
        <v>667</v>
      </c>
      <c r="AW9" s="97">
        <f t="shared" si="9"/>
        <v>778</v>
      </c>
    </row>
    <row r="10" spans="1:49" ht="18.75" customHeight="1">
      <c r="A10" s="230"/>
      <c r="B10" s="4" t="s">
        <v>17</v>
      </c>
      <c r="C10" s="5"/>
      <c r="D10" s="5"/>
      <c r="E10" s="4">
        <v>10</v>
      </c>
      <c r="F10" s="4">
        <v>6</v>
      </c>
      <c r="G10" s="4">
        <v>6</v>
      </c>
      <c r="H10" s="4">
        <v>10</v>
      </c>
      <c r="I10" s="4">
        <v>18</v>
      </c>
      <c r="J10" s="4">
        <v>13</v>
      </c>
      <c r="K10" s="227"/>
      <c r="L10" s="4" t="s">
        <v>17</v>
      </c>
      <c r="M10" s="4">
        <v>14</v>
      </c>
      <c r="N10" s="4">
        <v>10</v>
      </c>
      <c r="O10" s="4">
        <v>11</v>
      </c>
      <c r="P10" s="4">
        <v>7</v>
      </c>
      <c r="Q10" s="4">
        <v>3</v>
      </c>
      <c r="R10" s="5"/>
      <c r="S10" s="5"/>
      <c r="T10" s="49"/>
      <c r="U10" s="60">
        <f t="shared" si="0"/>
        <v>108</v>
      </c>
      <c r="W10" s="55" t="s">
        <v>61</v>
      </c>
      <c r="X10" s="48">
        <f>SUM(U24:U29)</f>
        <v>1071</v>
      </c>
      <c r="Z10" s="197" t="s">
        <v>62</v>
      </c>
      <c r="AA10" s="203"/>
      <c r="AB10" s="83"/>
      <c r="AD10" s="55" t="s">
        <v>61</v>
      </c>
      <c r="AE10" s="48">
        <f t="shared" si="1"/>
        <v>1217.5999999999999</v>
      </c>
      <c r="AG10" s="79" t="s">
        <v>15</v>
      </c>
      <c r="AH10" s="79">
        <f t="shared" si="2"/>
        <v>241</v>
      </c>
      <c r="AI10" s="79">
        <f t="shared" si="3"/>
        <v>195</v>
      </c>
      <c r="AJ10" s="79">
        <f t="shared" si="4"/>
        <v>265</v>
      </c>
      <c r="AK10" s="79">
        <f t="shared" si="5"/>
        <v>260</v>
      </c>
      <c r="AL10" s="79">
        <f t="shared" si="6"/>
        <v>243</v>
      </c>
      <c r="AM10" s="79">
        <f t="shared" si="7"/>
        <v>217</v>
      </c>
      <c r="AN10" s="79">
        <f t="shared" si="8"/>
        <v>210</v>
      </c>
      <c r="AP10" s="79" t="s">
        <v>15</v>
      </c>
      <c r="AQ10" s="79">
        <f t="shared" si="9"/>
        <v>1145</v>
      </c>
      <c r="AR10" s="79">
        <f t="shared" si="9"/>
        <v>643</v>
      </c>
      <c r="AS10" s="79">
        <f t="shared" si="9"/>
        <v>1805</v>
      </c>
      <c r="AT10" s="79">
        <f t="shared" si="9"/>
        <v>1606</v>
      </c>
      <c r="AU10" s="79">
        <f t="shared" si="9"/>
        <v>1419</v>
      </c>
      <c r="AV10" s="79">
        <f t="shared" si="9"/>
        <v>1434</v>
      </c>
      <c r="AW10" s="79">
        <f t="shared" si="9"/>
        <v>1272</v>
      </c>
    </row>
    <row r="11" spans="1:49" ht="18.75" customHeight="1">
      <c r="A11" s="230"/>
      <c r="B11" s="46" t="s">
        <v>18</v>
      </c>
      <c r="C11" s="64"/>
      <c r="D11" s="64"/>
      <c r="E11" s="46">
        <v>4</v>
      </c>
      <c r="F11" s="46">
        <v>4</v>
      </c>
      <c r="G11" s="46">
        <v>16</v>
      </c>
      <c r="H11" s="46">
        <v>16</v>
      </c>
      <c r="I11" s="46">
        <v>17</v>
      </c>
      <c r="J11" s="46">
        <v>6</v>
      </c>
      <c r="K11" s="227"/>
      <c r="L11" s="46" t="s">
        <v>18</v>
      </c>
      <c r="M11" s="46">
        <v>10</v>
      </c>
      <c r="N11" s="46">
        <v>8</v>
      </c>
      <c r="O11" s="46">
        <v>7</v>
      </c>
      <c r="P11" s="46">
        <v>10</v>
      </c>
      <c r="Q11" s="46">
        <v>5</v>
      </c>
      <c r="R11" s="64"/>
      <c r="S11" s="64"/>
      <c r="T11" s="65"/>
      <c r="U11" s="66">
        <f t="shared" si="0"/>
        <v>103</v>
      </c>
      <c r="W11" s="55" t="s">
        <v>9</v>
      </c>
      <c r="X11" s="48">
        <f>SUM(U30:U35)</f>
        <v>1127</v>
      </c>
      <c r="AD11" s="55" t="s">
        <v>9</v>
      </c>
      <c r="AE11" s="48">
        <f t="shared" si="1"/>
        <v>1199.8</v>
      </c>
      <c r="AG11" s="97" t="s">
        <v>16</v>
      </c>
      <c r="AH11" s="97">
        <f t="shared" si="2"/>
        <v>137</v>
      </c>
      <c r="AI11" s="97">
        <f t="shared" si="3"/>
        <v>118</v>
      </c>
      <c r="AJ11" s="97">
        <f t="shared" si="4"/>
        <v>158</v>
      </c>
      <c r="AK11" s="97">
        <f t="shared" si="5"/>
        <v>138</v>
      </c>
      <c r="AL11" s="97">
        <f t="shared" si="6"/>
        <v>152</v>
      </c>
      <c r="AM11" s="97">
        <f t="shared" si="7"/>
        <v>105</v>
      </c>
      <c r="AN11" s="97">
        <f t="shared" si="8"/>
        <v>107</v>
      </c>
      <c r="AP11" s="97" t="s">
        <v>16</v>
      </c>
      <c r="AQ11" s="97">
        <f t="shared" si="9"/>
        <v>491</v>
      </c>
      <c r="AR11" s="97">
        <f t="shared" si="9"/>
        <v>308</v>
      </c>
      <c r="AS11" s="97">
        <f t="shared" si="9"/>
        <v>770</v>
      </c>
      <c r="AT11" s="97">
        <f t="shared" si="9"/>
        <v>660</v>
      </c>
      <c r="AU11" s="97">
        <f t="shared" si="9"/>
        <v>660</v>
      </c>
      <c r="AV11" s="97">
        <f t="shared" si="9"/>
        <v>567</v>
      </c>
      <c r="AW11" s="97">
        <f t="shared" si="9"/>
        <v>546</v>
      </c>
    </row>
    <row r="12" spans="1:49" ht="18.75" customHeight="1">
      <c r="A12" s="193" t="s">
        <v>6</v>
      </c>
      <c r="B12" s="63" t="s">
        <v>13</v>
      </c>
      <c r="C12" s="57"/>
      <c r="D12" s="57"/>
      <c r="E12" s="57"/>
      <c r="F12" s="63">
        <v>25</v>
      </c>
      <c r="G12" s="63">
        <v>32</v>
      </c>
      <c r="H12" s="63">
        <v>48</v>
      </c>
      <c r="I12" s="63">
        <v>34</v>
      </c>
      <c r="J12" s="63">
        <v>30</v>
      </c>
      <c r="K12" s="194" t="s">
        <v>6</v>
      </c>
      <c r="L12" s="63" t="s">
        <v>13</v>
      </c>
      <c r="M12" s="63">
        <v>30</v>
      </c>
      <c r="N12" s="63">
        <v>42</v>
      </c>
      <c r="O12" s="63">
        <v>20</v>
      </c>
      <c r="P12" s="63">
        <v>31</v>
      </c>
      <c r="Q12" s="57"/>
      <c r="R12" s="57"/>
      <c r="S12" s="57"/>
      <c r="T12" s="58"/>
      <c r="U12" s="59">
        <f t="shared" si="0"/>
        <v>292</v>
      </c>
      <c r="W12" s="55" t="s">
        <v>10</v>
      </c>
      <c r="X12" s="48">
        <f>SUM(U36:U41)</f>
        <v>883</v>
      </c>
      <c r="AD12" s="55" t="s">
        <v>10</v>
      </c>
      <c r="AE12" s="48">
        <f t="shared" si="1"/>
        <v>1046.5999999999999</v>
      </c>
      <c r="AG12" s="79" t="s">
        <v>17</v>
      </c>
      <c r="AH12" s="79">
        <f t="shared" si="2"/>
        <v>108</v>
      </c>
      <c r="AI12" s="79">
        <f t="shared" si="3"/>
        <v>75</v>
      </c>
      <c r="AJ12" s="79">
        <f t="shared" si="4"/>
        <v>91</v>
      </c>
      <c r="AK12" s="79">
        <f t="shared" si="5"/>
        <v>81</v>
      </c>
      <c r="AL12" s="79">
        <f t="shared" si="6"/>
        <v>95</v>
      </c>
      <c r="AM12" s="79">
        <f t="shared" si="7"/>
        <v>103</v>
      </c>
      <c r="AN12" s="79">
        <f t="shared" si="8"/>
        <v>67</v>
      </c>
      <c r="AP12" s="79" t="s">
        <v>17</v>
      </c>
      <c r="AQ12" s="79">
        <f t="shared" si="9"/>
        <v>401</v>
      </c>
      <c r="AR12" s="79">
        <f t="shared" si="9"/>
        <v>252</v>
      </c>
      <c r="AS12" s="79">
        <f t="shared" si="9"/>
        <v>635</v>
      </c>
      <c r="AT12" s="79">
        <f t="shared" si="9"/>
        <v>500</v>
      </c>
      <c r="AU12" s="79">
        <f t="shared" si="9"/>
        <v>530</v>
      </c>
      <c r="AV12" s="79">
        <f t="shared" si="9"/>
        <v>442</v>
      </c>
      <c r="AW12" s="79">
        <f t="shared" si="9"/>
        <v>405</v>
      </c>
    </row>
    <row r="13" spans="1:49" ht="18.75" customHeight="1">
      <c r="A13" s="230"/>
      <c r="B13" s="6" t="s">
        <v>14</v>
      </c>
      <c r="C13" s="5"/>
      <c r="D13" s="5"/>
      <c r="E13" s="5"/>
      <c r="F13" s="6">
        <v>6</v>
      </c>
      <c r="G13" s="6">
        <v>10</v>
      </c>
      <c r="H13" s="6">
        <v>8</v>
      </c>
      <c r="I13" s="6">
        <v>15</v>
      </c>
      <c r="J13" s="6">
        <v>11</v>
      </c>
      <c r="K13" s="227"/>
      <c r="L13" s="6" t="s">
        <v>14</v>
      </c>
      <c r="M13" s="6">
        <v>8</v>
      </c>
      <c r="N13" s="6">
        <v>11</v>
      </c>
      <c r="O13" s="6">
        <v>11</v>
      </c>
      <c r="P13" s="6">
        <v>8</v>
      </c>
      <c r="Q13" s="5"/>
      <c r="R13" s="5"/>
      <c r="S13" s="5"/>
      <c r="T13" s="49"/>
      <c r="U13" s="60">
        <f t="shared" si="0"/>
        <v>88</v>
      </c>
      <c r="W13" s="81" t="s">
        <v>11</v>
      </c>
      <c r="X13" s="80">
        <f>SUM(U42:U47)</f>
        <v>941</v>
      </c>
      <c r="AD13" s="81" t="s">
        <v>11</v>
      </c>
      <c r="AE13" s="48">
        <f t="shared" si="1"/>
        <v>1004.4</v>
      </c>
      <c r="AG13" s="97" t="s">
        <v>18</v>
      </c>
      <c r="AH13" s="97">
        <f t="shared" si="2"/>
        <v>103</v>
      </c>
      <c r="AI13" s="97">
        <f t="shared" si="3"/>
        <v>72</v>
      </c>
      <c r="AJ13" s="97">
        <f t="shared" si="4"/>
        <v>129</v>
      </c>
      <c r="AK13" s="97">
        <f t="shared" si="5"/>
        <v>105</v>
      </c>
      <c r="AL13" s="97">
        <f t="shared" si="6"/>
        <v>112</v>
      </c>
      <c r="AM13" s="97">
        <f t="shared" si="7"/>
        <v>77</v>
      </c>
      <c r="AN13" s="97">
        <f t="shared" si="8"/>
        <v>100</v>
      </c>
      <c r="AP13" s="97" t="s">
        <v>18</v>
      </c>
      <c r="AQ13" s="97">
        <f t="shared" si="9"/>
        <v>437</v>
      </c>
      <c r="AR13" s="97">
        <f t="shared" si="9"/>
        <v>251</v>
      </c>
      <c r="AS13" s="97">
        <f t="shared" si="9"/>
        <v>802</v>
      </c>
      <c r="AT13" s="97">
        <f t="shared" si="9"/>
        <v>588</v>
      </c>
      <c r="AU13" s="97">
        <f t="shared" si="9"/>
        <v>639</v>
      </c>
      <c r="AV13" s="97">
        <f t="shared" si="9"/>
        <v>525</v>
      </c>
      <c r="AW13" s="97">
        <f t="shared" si="9"/>
        <v>532</v>
      </c>
    </row>
    <row r="14" spans="1:49" ht="18.75" customHeight="1">
      <c r="A14" s="230"/>
      <c r="B14" s="6" t="s">
        <v>15</v>
      </c>
      <c r="C14" s="5"/>
      <c r="D14" s="5"/>
      <c r="E14" s="5"/>
      <c r="F14" s="6">
        <v>8</v>
      </c>
      <c r="G14" s="6">
        <v>29</v>
      </c>
      <c r="H14" s="6">
        <v>28</v>
      </c>
      <c r="I14" s="6">
        <v>21</v>
      </c>
      <c r="J14" s="6">
        <v>28</v>
      </c>
      <c r="K14" s="227"/>
      <c r="L14" s="6" t="s">
        <v>15</v>
      </c>
      <c r="M14" s="6">
        <v>19</v>
      </c>
      <c r="N14" s="6">
        <v>20</v>
      </c>
      <c r="O14" s="6">
        <v>19</v>
      </c>
      <c r="P14" s="6">
        <v>23</v>
      </c>
      <c r="Q14" s="5"/>
      <c r="R14" s="5"/>
      <c r="S14" s="5"/>
      <c r="T14" s="49"/>
      <c r="U14" s="60">
        <f t="shared" si="0"/>
        <v>195</v>
      </c>
      <c r="W14" s="79" t="s">
        <v>63</v>
      </c>
      <c r="X14" s="82">
        <f>SUM(X7:X13)</f>
        <v>7009</v>
      </c>
      <c r="AD14" s="79" t="s">
        <v>40</v>
      </c>
      <c r="AE14" s="82">
        <f>AVERAGE(D1,G1,J1,M1,P1)</f>
        <v>7262.2</v>
      </c>
    </row>
    <row r="15" spans="1:49" ht="18.75" customHeight="1">
      <c r="A15" s="230"/>
      <c r="B15" s="6" t="s">
        <v>16</v>
      </c>
      <c r="C15" s="5"/>
      <c r="D15" s="5"/>
      <c r="E15" s="5"/>
      <c r="F15" s="6">
        <v>19</v>
      </c>
      <c r="G15" s="6">
        <v>11</v>
      </c>
      <c r="H15" s="6">
        <v>16</v>
      </c>
      <c r="I15" s="6">
        <v>12</v>
      </c>
      <c r="J15" s="6">
        <v>12</v>
      </c>
      <c r="K15" s="227"/>
      <c r="L15" s="6" t="s">
        <v>16</v>
      </c>
      <c r="M15" s="6">
        <v>12</v>
      </c>
      <c r="N15" s="6">
        <v>19</v>
      </c>
      <c r="O15" s="6">
        <v>8</v>
      </c>
      <c r="P15" s="6">
        <v>9</v>
      </c>
      <c r="Q15" s="5"/>
      <c r="R15" s="5"/>
      <c r="S15" s="5"/>
      <c r="T15" s="49"/>
      <c r="U15" s="60">
        <f t="shared" si="0"/>
        <v>118</v>
      </c>
    </row>
    <row r="16" spans="1:49" ht="18.75" customHeight="1">
      <c r="A16" s="230"/>
      <c r="B16" s="6" t="s">
        <v>17</v>
      </c>
      <c r="C16" s="5"/>
      <c r="D16" s="5"/>
      <c r="E16" s="5"/>
      <c r="F16" s="6">
        <v>4</v>
      </c>
      <c r="G16" s="6">
        <v>10</v>
      </c>
      <c r="H16" s="6">
        <v>9</v>
      </c>
      <c r="I16" s="6">
        <v>12</v>
      </c>
      <c r="J16" s="6">
        <v>13</v>
      </c>
      <c r="K16" s="227"/>
      <c r="L16" s="6" t="s">
        <v>17</v>
      </c>
      <c r="M16" s="6">
        <v>6</v>
      </c>
      <c r="N16" s="6">
        <v>8</v>
      </c>
      <c r="O16" s="6">
        <v>7</v>
      </c>
      <c r="P16" s="6">
        <v>6</v>
      </c>
      <c r="Q16" s="5"/>
      <c r="R16" s="5"/>
      <c r="S16" s="5"/>
      <c r="T16" s="49"/>
      <c r="U16" s="60">
        <f t="shared" si="0"/>
        <v>75</v>
      </c>
    </row>
    <row r="17" spans="1:21" ht="18.75" customHeight="1">
      <c r="A17" s="230"/>
      <c r="B17" s="47" t="s">
        <v>18</v>
      </c>
      <c r="C17" s="64"/>
      <c r="D17" s="64"/>
      <c r="E17" s="64"/>
      <c r="F17" s="47">
        <v>4</v>
      </c>
      <c r="G17" s="47">
        <v>4</v>
      </c>
      <c r="H17" s="47">
        <v>5</v>
      </c>
      <c r="I17" s="47">
        <v>11</v>
      </c>
      <c r="J17" s="47">
        <v>7</v>
      </c>
      <c r="K17" s="227"/>
      <c r="L17" s="47" t="s">
        <v>18</v>
      </c>
      <c r="M17" s="47">
        <v>6</v>
      </c>
      <c r="N17" s="47">
        <v>14</v>
      </c>
      <c r="O17" s="47">
        <v>13</v>
      </c>
      <c r="P17" s="47">
        <v>8</v>
      </c>
      <c r="Q17" s="64"/>
      <c r="R17" s="64"/>
      <c r="S17" s="64"/>
      <c r="T17" s="65"/>
      <c r="U17" s="66">
        <f t="shared" si="0"/>
        <v>72</v>
      </c>
    </row>
    <row r="18" spans="1:21" ht="18.75" customHeight="1">
      <c r="A18" s="195" t="s">
        <v>7</v>
      </c>
      <c r="B18" s="56" t="s">
        <v>13</v>
      </c>
      <c r="C18" s="56">
        <v>26</v>
      </c>
      <c r="D18" s="56">
        <v>23</v>
      </c>
      <c r="E18" s="56">
        <v>23</v>
      </c>
      <c r="F18" s="56">
        <v>29</v>
      </c>
      <c r="G18" s="56">
        <v>37</v>
      </c>
      <c r="H18" s="56">
        <v>37</v>
      </c>
      <c r="I18" s="56">
        <v>34</v>
      </c>
      <c r="J18" s="56">
        <v>19</v>
      </c>
      <c r="K18" s="196" t="s">
        <v>7</v>
      </c>
      <c r="L18" s="56" t="s">
        <v>13</v>
      </c>
      <c r="M18" s="56">
        <v>25</v>
      </c>
      <c r="N18" s="56">
        <v>35</v>
      </c>
      <c r="O18" s="56">
        <v>30</v>
      </c>
      <c r="P18" s="56">
        <v>35</v>
      </c>
      <c r="Q18" s="56">
        <v>42</v>
      </c>
      <c r="R18" s="56">
        <v>41</v>
      </c>
      <c r="S18" s="56">
        <v>36</v>
      </c>
      <c r="T18" s="67">
        <v>13</v>
      </c>
      <c r="U18" s="59">
        <f t="shared" si="0"/>
        <v>346</v>
      </c>
    </row>
    <row r="19" spans="1:21" ht="18.75" customHeight="1">
      <c r="A19" s="230"/>
      <c r="B19" s="4" t="s">
        <v>14</v>
      </c>
      <c r="C19" s="4">
        <v>5</v>
      </c>
      <c r="D19" s="4">
        <v>6</v>
      </c>
      <c r="E19" s="4">
        <v>10</v>
      </c>
      <c r="F19" s="4">
        <v>6</v>
      </c>
      <c r="G19" s="4">
        <v>12</v>
      </c>
      <c r="H19" s="4">
        <v>12</v>
      </c>
      <c r="I19" s="4">
        <v>17</v>
      </c>
      <c r="J19" s="4">
        <v>18</v>
      </c>
      <c r="K19" s="227"/>
      <c r="L19" s="4" t="s">
        <v>14</v>
      </c>
      <c r="M19" s="4">
        <v>12</v>
      </c>
      <c r="N19" s="4">
        <v>12</v>
      </c>
      <c r="O19" s="4">
        <v>20</v>
      </c>
      <c r="P19" s="4">
        <v>15</v>
      </c>
      <c r="Q19" s="4">
        <v>13</v>
      </c>
      <c r="R19" s="4">
        <v>10</v>
      </c>
      <c r="S19" s="4">
        <v>4</v>
      </c>
      <c r="T19" s="50">
        <v>5</v>
      </c>
      <c r="U19" s="60">
        <f t="shared" si="0"/>
        <v>147</v>
      </c>
    </row>
    <row r="20" spans="1:21" ht="18.75" customHeight="1">
      <c r="A20" s="230"/>
      <c r="B20" s="4" t="s">
        <v>15</v>
      </c>
      <c r="C20" s="4">
        <v>16</v>
      </c>
      <c r="D20" s="4">
        <v>16</v>
      </c>
      <c r="E20" s="4">
        <v>10</v>
      </c>
      <c r="F20" s="4">
        <v>19</v>
      </c>
      <c r="G20" s="4">
        <v>22</v>
      </c>
      <c r="H20" s="4">
        <v>25</v>
      </c>
      <c r="I20" s="4">
        <v>19</v>
      </c>
      <c r="J20" s="4">
        <v>24</v>
      </c>
      <c r="K20" s="227"/>
      <c r="L20" s="4" t="s">
        <v>15</v>
      </c>
      <c r="M20" s="4">
        <v>25</v>
      </c>
      <c r="N20" s="4">
        <v>25</v>
      </c>
      <c r="O20" s="4">
        <v>22</v>
      </c>
      <c r="P20" s="4">
        <v>30</v>
      </c>
      <c r="Q20" s="4">
        <v>44</v>
      </c>
      <c r="R20" s="4">
        <v>46</v>
      </c>
      <c r="S20" s="4">
        <v>32</v>
      </c>
      <c r="T20" s="50">
        <v>24</v>
      </c>
      <c r="U20" s="60">
        <f t="shared" si="0"/>
        <v>265</v>
      </c>
    </row>
    <row r="21" spans="1:21" ht="18.75" customHeight="1">
      <c r="A21" s="230"/>
      <c r="B21" s="4" t="s">
        <v>16</v>
      </c>
      <c r="C21" s="4">
        <v>2</v>
      </c>
      <c r="D21" s="4">
        <v>8</v>
      </c>
      <c r="E21" s="4">
        <v>21</v>
      </c>
      <c r="F21" s="4">
        <v>10</v>
      </c>
      <c r="G21" s="4">
        <v>14</v>
      </c>
      <c r="H21" s="4">
        <v>7</v>
      </c>
      <c r="I21" s="4">
        <v>22</v>
      </c>
      <c r="J21" s="4">
        <v>18</v>
      </c>
      <c r="K21" s="227"/>
      <c r="L21" s="4" t="s">
        <v>16</v>
      </c>
      <c r="M21" s="4">
        <v>12</v>
      </c>
      <c r="N21" s="4">
        <v>15</v>
      </c>
      <c r="O21" s="4">
        <v>10</v>
      </c>
      <c r="P21" s="4">
        <v>10</v>
      </c>
      <c r="Q21" s="4">
        <v>19</v>
      </c>
      <c r="R21" s="4">
        <v>11</v>
      </c>
      <c r="S21" s="4">
        <v>12</v>
      </c>
      <c r="T21" s="50">
        <v>9</v>
      </c>
      <c r="U21" s="60">
        <f t="shared" si="0"/>
        <v>158</v>
      </c>
    </row>
    <row r="22" spans="1:21" ht="18.75" customHeight="1">
      <c r="A22" s="230"/>
      <c r="B22" s="4" t="s">
        <v>17</v>
      </c>
      <c r="C22" s="4">
        <v>6</v>
      </c>
      <c r="D22" s="4">
        <v>9</v>
      </c>
      <c r="E22" s="4">
        <v>7</v>
      </c>
      <c r="F22" s="4">
        <v>9</v>
      </c>
      <c r="G22" s="4">
        <v>8</v>
      </c>
      <c r="H22" s="4">
        <v>7</v>
      </c>
      <c r="I22" s="4">
        <v>8</v>
      </c>
      <c r="J22" s="4">
        <v>7</v>
      </c>
      <c r="K22" s="227"/>
      <c r="L22" s="4" t="s">
        <v>17</v>
      </c>
      <c r="M22" s="4">
        <v>7</v>
      </c>
      <c r="N22" s="4">
        <v>5</v>
      </c>
      <c r="O22" s="4">
        <v>15</v>
      </c>
      <c r="P22" s="4">
        <v>9</v>
      </c>
      <c r="Q22" s="4">
        <v>9</v>
      </c>
      <c r="R22" s="4">
        <v>12</v>
      </c>
      <c r="S22" s="4">
        <v>10</v>
      </c>
      <c r="T22" s="50">
        <v>7</v>
      </c>
      <c r="U22" s="60">
        <f t="shared" si="0"/>
        <v>91</v>
      </c>
    </row>
    <row r="23" spans="1:21" ht="18.75" customHeight="1">
      <c r="A23" s="230"/>
      <c r="B23" s="46" t="s">
        <v>18</v>
      </c>
      <c r="C23" s="46">
        <v>12</v>
      </c>
      <c r="D23" s="46">
        <v>10</v>
      </c>
      <c r="E23" s="46">
        <v>7</v>
      </c>
      <c r="F23" s="46">
        <v>11</v>
      </c>
      <c r="G23" s="46">
        <v>23</v>
      </c>
      <c r="H23" s="46">
        <v>20</v>
      </c>
      <c r="I23" s="46">
        <v>16</v>
      </c>
      <c r="J23" s="46">
        <v>12</v>
      </c>
      <c r="K23" s="227"/>
      <c r="L23" s="46" t="s">
        <v>18</v>
      </c>
      <c r="M23" s="46">
        <v>8</v>
      </c>
      <c r="N23" s="46">
        <v>5</v>
      </c>
      <c r="O23" s="46">
        <v>10</v>
      </c>
      <c r="P23" s="46">
        <v>8</v>
      </c>
      <c r="Q23" s="46">
        <v>9</v>
      </c>
      <c r="R23" s="46">
        <v>17</v>
      </c>
      <c r="S23" s="46">
        <v>16</v>
      </c>
      <c r="T23" s="69">
        <v>4</v>
      </c>
      <c r="U23" s="66">
        <f t="shared" si="0"/>
        <v>129</v>
      </c>
    </row>
    <row r="24" spans="1:21" ht="18.75" customHeight="1">
      <c r="A24" s="193" t="s">
        <v>8</v>
      </c>
      <c r="B24" s="63" t="s">
        <v>13</v>
      </c>
      <c r="C24" s="63">
        <v>21</v>
      </c>
      <c r="D24" s="63">
        <v>20</v>
      </c>
      <c r="E24" s="63">
        <v>21</v>
      </c>
      <c r="F24" s="63">
        <v>24</v>
      </c>
      <c r="G24" s="63">
        <v>44</v>
      </c>
      <c r="H24" s="63">
        <v>42</v>
      </c>
      <c r="I24" s="63">
        <v>23</v>
      </c>
      <c r="J24" s="63">
        <v>25</v>
      </c>
      <c r="K24" s="194" t="s">
        <v>8</v>
      </c>
      <c r="L24" s="63" t="s">
        <v>13</v>
      </c>
      <c r="M24" s="63">
        <v>24</v>
      </c>
      <c r="N24" s="63">
        <v>25</v>
      </c>
      <c r="O24" s="63">
        <v>26</v>
      </c>
      <c r="P24" s="63">
        <v>38</v>
      </c>
      <c r="Q24" s="63">
        <v>41</v>
      </c>
      <c r="R24" s="63">
        <v>24</v>
      </c>
      <c r="S24" s="63">
        <v>30</v>
      </c>
      <c r="T24" s="68">
        <v>16</v>
      </c>
      <c r="U24" s="59">
        <f t="shared" si="0"/>
        <v>333</v>
      </c>
    </row>
    <row r="25" spans="1:21" ht="18.75" customHeight="1">
      <c r="A25" s="230"/>
      <c r="B25" s="6" t="s">
        <v>14</v>
      </c>
      <c r="C25" s="6">
        <v>6</v>
      </c>
      <c r="D25" s="6">
        <v>3</v>
      </c>
      <c r="E25" s="6">
        <v>13</v>
      </c>
      <c r="F25" s="6">
        <v>14</v>
      </c>
      <c r="G25" s="6">
        <v>20</v>
      </c>
      <c r="H25" s="6">
        <v>16</v>
      </c>
      <c r="I25" s="6">
        <v>12</v>
      </c>
      <c r="J25" s="6">
        <v>21</v>
      </c>
      <c r="K25" s="227"/>
      <c r="L25" s="6" t="s">
        <v>14</v>
      </c>
      <c r="M25" s="6">
        <v>9</v>
      </c>
      <c r="N25" s="6">
        <v>12</v>
      </c>
      <c r="O25" s="6">
        <v>12</v>
      </c>
      <c r="P25" s="6">
        <v>14</v>
      </c>
      <c r="Q25" s="6">
        <v>11</v>
      </c>
      <c r="R25" s="6">
        <v>9</v>
      </c>
      <c r="S25" s="6">
        <v>8</v>
      </c>
      <c r="T25" s="51">
        <v>8</v>
      </c>
      <c r="U25" s="60">
        <f t="shared" si="0"/>
        <v>154</v>
      </c>
    </row>
    <row r="26" spans="1:21" ht="18.75" customHeight="1">
      <c r="A26" s="230"/>
      <c r="B26" s="6" t="s">
        <v>15</v>
      </c>
      <c r="C26" s="6">
        <v>20</v>
      </c>
      <c r="D26" s="6">
        <v>22</v>
      </c>
      <c r="E26" s="6">
        <v>7</v>
      </c>
      <c r="F26" s="6">
        <v>22</v>
      </c>
      <c r="G26" s="6">
        <v>23</v>
      </c>
      <c r="H26" s="6">
        <v>19</v>
      </c>
      <c r="I26" s="6">
        <v>15</v>
      </c>
      <c r="J26" s="6">
        <v>11</v>
      </c>
      <c r="K26" s="227"/>
      <c r="L26" s="6" t="s">
        <v>15</v>
      </c>
      <c r="M26" s="6">
        <v>22</v>
      </c>
      <c r="N26" s="6">
        <v>33</v>
      </c>
      <c r="O26" s="6">
        <v>29</v>
      </c>
      <c r="P26" s="6">
        <v>40</v>
      </c>
      <c r="Q26" s="6">
        <v>39</v>
      </c>
      <c r="R26" s="6">
        <v>23</v>
      </c>
      <c r="S26" s="6">
        <v>36</v>
      </c>
      <c r="T26" s="51">
        <v>25</v>
      </c>
      <c r="U26" s="60">
        <f t="shared" si="0"/>
        <v>260</v>
      </c>
    </row>
    <row r="27" spans="1:21" ht="18.75" customHeight="1">
      <c r="A27" s="230"/>
      <c r="B27" s="6" t="s">
        <v>16</v>
      </c>
      <c r="C27" s="6">
        <v>6</v>
      </c>
      <c r="D27" s="6">
        <v>2</v>
      </c>
      <c r="E27" s="6">
        <v>19</v>
      </c>
      <c r="F27" s="6">
        <v>11</v>
      </c>
      <c r="G27" s="6">
        <v>18</v>
      </c>
      <c r="H27" s="6">
        <v>18</v>
      </c>
      <c r="I27" s="6">
        <v>15</v>
      </c>
      <c r="J27" s="6">
        <v>9</v>
      </c>
      <c r="K27" s="227"/>
      <c r="L27" s="6" t="s">
        <v>16</v>
      </c>
      <c r="M27" s="6">
        <v>8</v>
      </c>
      <c r="N27" s="6">
        <v>12</v>
      </c>
      <c r="O27" s="6">
        <v>9</v>
      </c>
      <c r="P27" s="6">
        <v>11</v>
      </c>
      <c r="Q27" s="6">
        <v>8</v>
      </c>
      <c r="R27" s="6">
        <v>11</v>
      </c>
      <c r="S27" s="6">
        <v>8</v>
      </c>
      <c r="T27" s="51">
        <v>2</v>
      </c>
      <c r="U27" s="60">
        <f t="shared" si="0"/>
        <v>138</v>
      </c>
    </row>
    <row r="28" spans="1:21" ht="18.75" customHeight="1">
      <c r="A28" s="230"/>
      <c r="B28" s="6" t="s">
        <v>17</v>
      </c>
      <c r="C28" s="6">
        <v>11</v>
      </c>
      <c r="D28" s="6">
        <v>10</v>
      </c>
      <c r="E28" s="6">
        <v>4</v>
      </c>
      <c r="F28" s="6">
        <v>8</v>
      </c>
      <c r="G28" s="6">
        <v>11</v>
      </c>
      <c r="H28" s="6">
        <v>9</v>
      </c>
      <c r="I28" s="6">
        <v>7</v>
      </c>
      <c r="J28" s="6">
        <v>7</v>
      </c>
      <c r="K28" s="227"/>
      <c r="L28" s="6" t="s">
        <v>17</v>
      </c>
      <c r="M28" s="6">
        <v>3</v>
      </c>
      <c r="N28" s="6">
        <v>4</v>
      </c>
      <c r="O28" s="6">
        <v>7</v>
      </c>
      <c r="P28" s="6">
        <v>9</v>
      </c>
      <c r="Q28" s="6">
        <v>12</v>
      </c>
      <c r="R28" s="6">
        <v>9</v>
      </c>
      <c r="S28" s="6">
        <v>10</v>
      </c>
      <c r="T28" s="51">
        <v>6</v>
      </c>
      <c r="U28" s="60">
        <f t="shared" si="0"/>
        <v>81</v>
      </c>
    </row>
    <row r="29" spans="1:21" ht="18.75" customHeight="1">
      <c r="A29" s="230"/>
      <c r="B29" s="47" t="s">
        <v>18</v>
      </c>
      <c r="C29" s="47">
        <v>7</v>
      </c>
      <c r="D29" s="47">
        <v>8</v>
      </c>
      <c r="E29" s="47">
        <v>6</v>
      </c>
      <c r="F29" s="47">
        <v>7</v>
      </c>
      <c r="G29" s="47">
        <v>12</v>
      </c>
      <c r="H29" s="47">
        <v>8</v>
      </c>
      <c r="I29" s="47">
        <v>12</v>
      </c>
      <c r="J29" s="47">
        <v>12</v>
      </c>
      <c r="K29" s="227"/>
      <c r="L29" s="47" t="s">
        <v>18</v>
      </c>
      <c r="M29" s="47">
        <v>13</v>
      </c>
      <c r="N29" s="47">
        <v>1</v>
      </c>
      <c r="O29" s="47">
        <v>4</v>
      </c>
      <c r="P29" s="47">
        <v>12</v>
      </c>
      <c r="Q29" s="47">
        <v>18</v>
      </c>
      <c r="R29" s="47">
        <v>12</v>
      </c>
      <c r="S29" s="47">
        <v>11</v>
      </c>
      <c r="T29" s="70">
        <v>7</v>
      </c>
      <c r="U29" s="66">
        <f t="shared" si="0"/>
        <v>105</v>
      </c>
    </row>
    <row r="30" spans="1:21" ht="18.75" customHeight="1">
      <c r="A30" s="195" t="s">
        <v>9</v>
      </c>
      <c r="B30" s="56" t="s">
        <v>13</v>
      </c>
      <c r="C30" s="56"/>
      <c r="D30" s="56">
        <v>22</v>
      </c>
      <c r="E30" s="56">
        <v>29</v>
      </c>
      <c r="F30" s="56">
        <v>33</v>
      </c>
      <c r="G30" s="56">
        <v>52</v>
      </c>
      <c r="H30" s="56">
        <v>38</v>
      </c>
      <c r="I30" s="56">
        <v>34</v>
      </c>
      <c r="J30" s="56">
        <v>25</v>
      </c>
      <c r="K30" s="196" t="s">
        <v>9</v>
      </c>
      <c r="L30" s="56" t="s">
        <v>13</v>
      </c>
      <c r="M30" s="56">
        <v>23</v>
      </c>
      <c r="N30" s="56">
        <v>28</v>
      </c>
      <c r="O30" s="56">
        <v>22</v>
      </c>
      <c r="P30" s="56">
        <v>38</v>
      </c>
      <c r="Q30" s="56">
        <v>37</v>
      </c>
      <c r="R30" s="56">
        <v>48</v>
      </c>
      <c r="S30" s="56">
        <v>22</v>
      </c>
      <c r="T30" s="67">
        <v>10</v>
      </c>
      <c r="U30" s="59">
        <f>SUM(M30:Q30,E30:J30)</f>
        <v>359</v>
      </c>
    </row>
    <row r="31" spans="1:21" ht="18.75" customHeight="1">
      <c r="A31" s="230"/>
      <c r="B31" s="4" t="s">
        <v>14</v>
      </c>
      <c r="C31" s="4"/>
      <c r="D31" s="4">
        <v>7</v>
      </c>
      <c r="E31" s="4">
        <v>11</v>
      </c>
      <c r="F31" s="4">
        <v>13</v>
      </c>
      <c r="G31" s="4">
        <v>18</v>
      </c>
      <c r="H31" s="4">
        <v>15</v>
      </c>
      <c r="I31" s="4">
        <v>17</v>
      </c>
      <c r="J31" s="4">
        <v>21</v>
      </c>
      <c r="K31" s="227"/>
      <c r="L31" s="4" t="s">
        <v>14</v>
      </c>
      <c r="M31" s="4">
        <v>15</v>
      </c>
      <c r="N31" s="4">
        <v>16</v>
      </c>
      <c r="O31" s="4">
        <v>17</v>
      </c>
      <c r="P31" s="4">
        <v>12</v>
      </c>
      <c r="Q31" s="4">
        <v>11</v>
      </c>
      <c r="R31" s="4">
        <v>4</v>
      </c>
      <c r="S31" s="4">
        <v>6</v>
      </c>
      <c r="T31" s="50">
        <v>2</v>
      </c>
      <c r="U31" s="60">
        <f t="shared" si="0"/>
        <v>166</v>
      </c>
    </row>
    <row r="32" spans="1:21" ht="18.75" customHeight="1">
      <c r="A32" s="230"/>
      <c r="B32" s="4" t="s">
        <v>15</v>
      </c>
      <c r="C32" s="4"/>
      <c r="D32" s="4">
        <v>15</v>
      </c>
      <c r="E32" s="4">
        <v>18</v>
      </c>
      <c r="F32" s="4">
        <v>28</v>
      </c>
      <c r="G32" s="4">
        <v>34</v>
      </c>
      <c r="H32" s="4">
        <v>21</v>
      </c>
      <c r="I32" s="4">
        <v>19</v>
      </c>
      <c r="J32" s="4">
        <v>11</v>
      </c>
      <c r="K32" s="227"/>
      <c r="L32" s="4" t="s">
        <v>15</v>
      </c>
      <c r="M32" s="4">
        <v>20</v>
      </c>
      <c r="N32" s="4">
        <v>19</v>
      </c>
      <c r="O32" s="4">
        <v>21</v>
      </c>
      <c r="P32" s="4">
        <v>23</v>
      </c>
      <c r="Q32" s="4">
        <v>29</v>
      </c>
      <c r="R32" s="4">
        <v>43</v>
      </c>
      <c r="S32" s="4">
        <v>35</v>
      </c>
      <c r="T32" s="50">
        <v>9</v>
      </c>
      <c r="U32" s="60">
        <f t="shared" si="0"/>
        <v>243</v>
      </c>
    </row>
    <row r="33" spans="1:21" ht="18.75" customHeight="1">
      <c r="A33" s="230"/>
      <c r="B33" s="4" t="s">
        <v>16</v>
      </c>
      <c r="C33" s="4"/>
      <c r="D33" s="4">
        <v>6</v>
      </c>
      <c r="E33" s="4">
        <v>9</v>
      </c>
      <c r="F33" s="4">
        <v>17</v>
      </c>
      <c r="G33" s="4">
        <v>24</v>
      </c>
      <c r="H33" s="4">
        <v>19</v>
      </c>
      <c r="I33" s="4">
        <v>22</v>
      </c>
      <c r="J33" s="4">
        <v>9</v>
      </c>
      <c r="K33" s="227"/>
      <c r="L33" s="4" t="s">
        <v>16</v>
      </c>
      <c r="M33" s="4">
        <v>10</v>
      </c>
      <c r="N33" s="4">
        <v>12</v>
      </c>
      <c r="O33" s="4">
        <v>12</v>
      </c>
      <c r="P33" s="4">
        <v>10</v>
      </c>
      <c r="Q33" s="4">
        <v>8</v>
      </c>
      <c r="R33" s="4">
        <v>9</v>
      </c>
      <c r="S33" s="4">
        <v>10</v>
      </c>
      <c r="T33" s="50">
        <v>4</v>
      </c>
      <c r="U33" s="60">
        <f t="shared" si="0"/>
        <v>152</v>
      </c>
    </row>
    <row r="34" spans="1:21" ht="18.75" customHeight="1">
      <c r="A34" s="230"/>
      <c r="B34" s="4" t="s">
        <v>17</v>
      </c>
      <c r="C34" s="4"/>
      <c r="D34" s="4">
        <v>7</v>
      </c>
      <c r="E34" s="4">
        <v>13</v>
      </c>
      <c r="F34" s="4">
        <v>16</v>
      </c>
      <c r="G34" s="4">
        <v>13</v>
      </c>
      <c r="H34" s="4">
        <v>11</v>
      </c>
      <c r="I34" s="4">
        <v>8</v>
      </c>
      <c r="J34" s="4">
        <v>7</v>
      </c>
      <c r="K34" s="227"/>
      <c r="L34" s="4" t="s">
        <v>17</v>
      </c>
      <c r="M34" s="4">
        <v>4</v>
      </c>
      <c r="N34" s="4">
        <v>6</v>
      </c>
      <c r="O34" s="4">
        <v>2</v>
      </c>
      <c r="P34" s="4">
        <v>6</v>
      </c>
      <c r="Q34" s="4">
        <v>9</v>
      </c>
      <c r="R34" s="4">
        <v>8</v>
      </c>
      <c r="S34" s="4">
        <v>5</v>
      </c>
      <c r="T34" s="50">
        <v>3</v>
      </c>
      <c r="U34" s="60">
        <f t="shared" si="0"/>
        <v>95</v>
      </c>
    </row>
    <row r="35" spans="1:21" ht="18.75" customHeight="1">
      <c r="A35" s="230"/>
      <c r="B35" s="46" t="s">
        <v>18</v>
      </c>
      <c r="C35" s="46"/>
      <c r="D35" s="46">
        <v>6</v>
      </c>
      <c r="E35" s="46">
        <v>6</v>
      </c>
      <c r="F35" s="46">
        <v>10</v>
      </c>
      <c r="G35" s="46">
        <v>15</v>
      </c>
      <c r="H35" s="46">
        <v>12</v>
      </c>
      <c r="I35" s="46">
        <v>16</v>
      </c>
      <c r="J35" s="46">
        <v>12</v>
      </c>
      <c r="K35" s="227"/>
      <c r="L35" s="46" t="s">
        <v>18</v>
      </c>
      <c r="M35" s="46">
        <v>3</v>
      </c>
      <c r="N35" s="46">
        <v>5</v>
      </c>
      <c r="O35" s="46">
        <v>11</v>
      </c>
      <c r="P35" s="46">
        <v>8</v>
      </c>
      <c r="Q35" s="46">
        <v>14</v>
      </c>
      <c r="R35" s="46">
        <v>13</v>
      </c>
      <c r="S35" s="46">
        <v>6</v>
      </c>
      <c r="T35" s="69">
        <v>4</v>
      </c>
      <c r="U35" s="66">
        <f t="shared" si="0"/>
        <v>112</v>
      </c>
    </row>
    <row r="36" spans="1:21" ht="18.75" customHeight="1">
      <c r="A36" s="193" t="s">
        <v>10</v>
      </c>
      <c r="B36" s="63" t="s">
        <v>13</v>
      </c>
      <c r="C36" s="63">
        <v>19</v>
      </c>
      <c r="D36" s="63">
        <v>20</v>
      </c>
      <c r="E36" s="63">
        <v>22</v>
      </c>
      <c r="F36" s="63">
        <v>21</v>
      </c>
      <c r="G36" s="63">
        <v>32</v>
      </c>
      <c r="H36" s="63">
        <v>35</v>
      </c>
      <c r="I36" s="63">
        <v>23</v>
      </c>
      <c r="J36" s="63">
        <v>25</v>
      </c>
      <c r="K36" s="194" t="s">
        <v>10</v>
      </c>
      <c r="L36" s="63" t="s">
        <v>13</v>
      </c>
      <c r="M36" s="89">
        <v>15</v>
      </c>
      <c r="N36" s="89">
        <v>22</v>
      </c>
      <c r="O36" s="89">
        <v>23</v>
      </c>
      <c r="P36" s="89">
        <v>20</v>
      </c>
      <c r="Q36" s="89">
        <v>18</v>
      </c>
      <c r="R36" s="89">
        <v>23</v>
      </c>
      <c r="S36" s="89">
        <v>16</v>
      </c>
      <c r="T36" s="90">
        <v>16</v>
      </c>
      <c r="U36" s="59">
        <f t="shared" si="0"/>
        <v>256</v>
      </c>
    </row>
    <row r="37" spans="1:21" ht="18.75" customHeight="1">
      <c r="A37" s="230"/>
      <c r="B37" s="6" t="s">
        <v>14</v>
      </c>
      <c r="C37" s="6">
        <v>4</v>
      </c>
      <c r="D37" s="6">
        <v>6</v>
      </c>
      <c r="E37" s="6">
        <v>5</v>
      </c>
      <c r="F37" s="6">
        <v>11</v>
      </c>
      <c r="G37" s="6">
        <v>17</v>
      </c>
      <c r="H37" s="6">
        <v>20</v>
      </c>
      <c r="I37" s="6">
        <v>12</v>
      </c>
      <c r="J37" s="6">
        <v>21</v>
      </c>
      <c r="K37" s="227"/>
      <c r="L37" s="6" t="s">
        <v>14</v>
      </c>
      <c r="M37" s="91">
        <v>12</v>
      </c>
      <c r="N37" s="91">
        <v>9</v>
      </c>
      <c r="O37" s="91">
        <v>7</v>
      </c>
      <c r="P37" s="91">
        <v>5</v>
      </c>
      <c r="Q37" s="91">
        <v>6</v>
      </c>
      <c r="R37" s="91">
        <v>2</v>
      </c>
      <c r="S37" s="91">
        <v>1</v>
      </c>
      <c r="T37" s="92">
        <v>3</v>
      </c>
      <c r="U37" s="60">
        <f t="shared" si="0"/>
        <v>125</v>
      </c>
    </row>
    <row r="38" spans="1:21" ht="18.75" customHeight="1">
      <c r="A38" s="230"/>
      <c r="B38" s="6" t="s">
        <v>15</v>
      </c>
      <c r="C38" s="6">
        <v>15</v>
      </c>
      <c r="D38" s="6">
        <v>17</v>
      </c>
      <c r="E38" s="6">
        <v>18</v>
      </c>
      <c r="F38" s="6">
        <v>22</v>
      </c>
      <c r="G38" s="6">
        <v>19</v>
      </c>
      <c r="H38" s="6">
        <v>25</v>
      </c>
      <c r="I38" s="6">
        <v>15</v>
      </c>
      <c r="J38" s="6">
        <v>11</v>
      </c>
      <c r="K38" s="227"/>
      <c r="L38" s="6" t="s">
        <v>15</v>
      </c>
      <c r="M38" s="91">
        <v>18</v>
      </c>
      <c r="N38" s="91">
        <v>12</v>
      </c>
      <c r="O38" s="91">
        <v>21</v>
      </c>
      <c r="P38" s="91">
        <v>31</v>
      </c>
      <c r="Q38" s="91">
        <v>25</v>
      </c>
      <c r="R38" s="91">
        <v>16</v>
      </c>
      <c r="S38" s="91">
        <v>24</v>
      </c>
      <c r="T38" s="92">
        <v>17</v>
      </c>
      <c r="U38" s="60">
        <f t="shared" si="0"/>
        <v>217</v>
      </c>
    </row>
    <row r="39" spans="1:21" ht="18.75" customHeight="1">
      <c r="A39" s="230"/>
      <c r="B39" s="6" t="s">
        <v>16</v>
      </c>
      <c r="C39" s="6">
        <v>3</v>
      </c>
      <c r="D39" s="6">
        <v>5</v>
      </c>
      <c r="E39" s="6">
        <v>8</v>
      </c>
      <c r="F39" s="6">
        <v>11</v>
      </c>
      <c r="G39" s="6">
        <v>15</v>
      </c>
      <c r="H39" s="6">
        <v>22</v>
      </c>
      <c r="I39" s="6">
        <v>15</v>
      </c>
      <c r="J39" s="6">
        <v>9</v>
      </c>
      <c r="K39" s="227"/>
      <c r="L39" s="6" t="s">
        <v>16</v>
      </c>
      <c r="M39" s="91">
        <v>3</v>
      </c>
      <c r="N39" s="91">
        <v>10</v>
      </c>
      <c r="O39" s="91">
        <v>5</v>
      </c>
      <c r="P39" s="91">
        <v>4</v>
      </c>
      <c r="Q39" s="91">
        <v>3</v>
      </c>
      <c r="R39" s="91">
        <v>7</v>
      </c>
      <c r="S39" s="91">
        <v>8</v>
      </c>
      <c r="T39" s="92">
        <v>5</v>
      </c>
      <c r="U39" s="60">
        <f t="shared" si="0"/>
        <v>105</v>
      </c>
    </row>
    <row r="40" spans="1:21" ht="18.75" customHeight="1">
      <c r="A40" s="230"/>
      <c r="B40" s="6" t="s">
        <v>17</v>
      </c>
      <c r="C40" s="6">
        <v>7</v>
      </c>
      <c r="D40" s="6">
        <v>4</v>
      </c>
      <c r="E40" s="6">
        <v>10</v>
      </c>
      <c r="F40" s="6">
        <v>6</v>
      </c>
      <c r="G40" s="6">
        <v>16</v>
      </c>
      <c r="H40" s="6">
        <v>15</v>
      </c>
      <c r="I40" s="6">
        <v>7</v>
      </c>
      <c r="J40" s="6">
        <v>7</v>
      </c>
      <c r="K40" s="227"/>
      <c r="L40" s="6" t="s">
        <v>17</v>
      </c>
      <c r="M40" s="91">
        <v>6</v>
      </c>
      <c r="N40" s="91">
        <v>9</v>
      </c>
      <c r="O40" s="91">
        <v>7</v>
      </c>
      <c r="P40" s="91">
        <v>12</v>
      </c>
      <c r="Q40" s="91">
        <v>8</v>
      </c>
      <c r="R40" s="91">
        <v>6</v>
      </c>
      <c r="S40" s="91">
        <v>5</v>
      </c>
      <c r="T40" s="92">
        <v>3</v>
      </c>
      <c r="U40" s="60">
        <f t="shared" si="0"/>
        <v>103</v>
      </c>
    </row>
    <row r="41" spans="1:21" ht="18.75" customHeight="1">
      <c r="A41" s="230"/>
      <c r="B41" s="47" t="s">
        <v>18</v>
      </c>
      <c r="C41" s="47">
        <v>14</v>
      </c>
      <c r="D41" s="47">
        <v>5</v>
      </c>
      <c r="E41" s="47">
        <v>6</v>
      </c>
      <c r="F41" s="47">
        <v>2</v>
      </c>
      <c r="G41" s="47">
        <v>9</v>
      </c>
      <c r="H41" s="47">
        <v>9</v>
      </c>
      <c r="I41" s="47">
        <v>12</v>
      </c>
      <c r="J41" s="47">
        <v>12</v>
      </c>
      <c r="K41" s="227"/>
      <c r="L41" s="47" t="s">
        <v>18</v>
      </c>
      <c r="M41" s="93">
        <v>4</v>
      </c>
      <c r="N41" s="93">
        <v>4</v>
      </c>
      <c r="O41" s="93">
        <v>4</v>
      </c>
      <c r="P41" s="93">
        <v>5</v>
      </c>
      <c r="Q41" s="93">
        <v>10</v>
      </c>
      <c r="R41" s="93">
        <v>20</v>
      </c>
      <c r="S41" s="93">
        <v>8</v>
      </c>
      <c r="T41" s="94">
        <v>6</v>
      </c>
      <c r="U41" s="66">
        <f t="shared" si="0"/>
        <v>77</v>
      </c>
    </row>
    <row r="42" spans="1:21" ht="18.75" customHeight="1">
      <c r="A42" s="195" t="s">
        <v>11</v>
      </c>
      <c r="B42" s="56" t="s">
        <v>13</v>
      </c>
      <c r="C42" s="56">
        <v>12</v>
      </c>
      <c r="D42" s="56">
        <v>16</v>
      </c>
      <c r="E42" s="56">
        <v>23</v>
      </c>
      <c r="F42" s="56">
        <v>23</v>
      </c>
      <c r="G42" s="56">
        <v>29</v>
      </c>
      <c r="H42" s="56">
        <v>26</v>
      </c>
      <c r="I42" s="56">
        <v>36</v>
      </c>
      <c r="J42" s="56">
        <v>16</v>
      </c>
      <c r="K42" s="196" t="s">
        <v>11</v>
      </c>
      <c r="L42" s="56" t="s">
        <v>13</v>
      </c>
      <c r="M42" s="56">
        <v>23</v>
      </c>
      <c r="N42" s="56">
        <v>28</v>
      </c>
      <c r="O42" s="56">
        <v>22</v>
      </c>
      <c r="P42" s="56">
        <v>38</v>
      </c>
      <c r="Q42" s="56">
        <v>37</v>
      </c>
      <c r="R42" s="56">
        <v>48</v>
      </c>
      <c r="S42" s="56">
        <v>22</v>
      </c>
      <c r="T42" s="67">
        <v>10</v>
      </c>
      <c r="U42" s="59">
        <f t="shared" si="0"/>
        <v>301</v>
      </c>
    </row>
    <row r="43" spans="1:21" ht="18.75" customHeight="1">
      <c r="A43" s="230"/>
      <c r="B43" s="4" t="s">
        <v>14</v>
      </c>
      <c r="C43" s="4">
        <v>5</v>
      </c>
      <c r="D43" s="4">
        <v>10</v>
      </c>
      <c r="E43" s="4">
        <v>9</v>
      </c>
      <c r="F43" s="4">
        <v>9</v>
      </c>
      <c r="G43" s="4">
        <v>12</v>
      </c>
      <c r="H43" s="4">
        <v>19</v>
      </c>
      <c r="I43" s="4">
        <v>23</v>
      </c>
      <c r="J43" s="4">
        <v>13</v>
      </c>
      <c r="K43" s="227"/>
      <c r="L43" s="4" t="s">
        <v>14</v>
      </c>
      <c r="M43" s="4">
        <v>15</v>
      </c>
      <c r="N43" s="4">
        <v>16</v>
      </c>
      <c r="O43" s="4">
        <v>17</v>
      </c>
      <c r="P43" s="4">
        <v>12</v>
      </c>
      <c r="Q43" s="4">
        <v>11</v>
      </c>
      <c r="R43" s="4">
        <v>4</v>
      </c>
      <c r="S43" s="4">
        <v>6</v>
      </c>
      <c r="T43" s="50">
        <v>2</v>
      </c>
      <c r="U43" s="60">
        <f t="shared" si="0"/>
        <v>156</v>
      </c>
    </row>
    <row r="44" spans="1:21" ht="18.75" customHeight="1">
      <c r="A44" s="230"/>
      <c r="B44" s="4" t="s">
        <v>15</v>
      </c>
      <c r="C44" s="4">
        <v>17</v>
      </c>
      <c r="D44" s="4">
        <v>13</v>
      </c>
      <c r="E44" s="4">
        <v>14</v>
      </c>
      <c r="F44" s="4">
        <v>14</v>
      </c>
      <c r="G44" s="4">
        <v>16</v>
      </c>
      <c r="H44" s="4">
        <v>22</v>
      </c>
      <c r="I44" s="4">
        <v>13</v>
      </c>
      <c r="J44" s="4">
        <v>19</v>
      </c>
      <c r="K44" s="227"/>
      <c r="L44" s="4" t="s">
        <v>15</v>
      </c>
      <c r="M44" s="4">
        <v>20</v>
      </c>
      <c r="N44" s="4">
        <v>19</v>
      </c>
      <c r="O44" s="4">
        <v>21</v>
      </c>
      <c r="P44" s="4">
        <v>23</v>
      </c>
      <c r="Q44" s="4">
        <v>29</v>
      </c>
      <c r="R44" s="4">
        <v>43</v>
      </c>
      <c r="S44" s="4">
        <v>35</v>
      </c>
      <c r="T44" s="50">
        <v>9</v>
      </c>
      <c r="U44" s="60">
        <f t="shared" si="0"/>
        <v>210</v>
      </c>
    </row>
    <row r="45" spans="1:21" ht="18.75" customHeight="1">
      <c r="A45" s="230"/>
      <c r="B45" s="4" t="s">
        <v>16</v>
      </c>
      <c r="C45" s="4">
        <v>4</v>
      </c>
      <c r="D45" s="4">
        <v>6</v>
      </c>
      <c r="E45" s="4">
        <v>5</v>
      </c>
      <c r="F45" s="4">
        <v>5</v>
      </c>
      <c r="G45" s="4">
        <v>21</v>
      </c>
      <c r="H45" s="4">
        <v>9</v>
      </c>
      <c r="I45" s="4">
        <v>8</v>
      </c>
      <c r="J45" s="4">
        <v>7</v>
      </c>
      <c r="K45" s="227"/>
      <c r="L45" s="4" t="s">
        <v>16</v>
      </c>
      <c r="M45" s="4">
        <v>10</v>
      </c>
      <c r="N45" s="4">
        <v>12</v>
      </c>
      <c r="O45" s="4">
        <v>12</v>
      </c>
      <c r="P45" s="4">
        <v>10</v>
      </c>
      <c r="Q45" s="4">
        <v>8</v>
      </c>
      <c r="R45" s="4">
        <v>9</v>
      </c>
      <c r="S45" s="4">
        <v>10</v>
      </c>
      <c r="T45" s="50">
        <v>4</v>
      </c>
      <c r="U45" s="60">
        <f t="shared" si="0"/>
        <v>107</v>
      </c>
    </row>
    <row r="46" spans="1:21" ht="18.75" customHeight="1">
      <c r="A46" s="230"/>
      <c r="B46" s="4" t="s">
        <v>17</v>
      </c>
      <c r="C46" s="4">
        <v>3</v>
      </c>
      <c r="D46" s="4">
        <v>4</v>
      </c>
      <c r="E46" s="4">
        <v>5</v>
      </c>
      <c r="F46" s="4">
        <v>5</v>
      </c>
      <c r="G46" s="4">
        <v>8</v>
      </c>
      <c r="H46" s="4">
        <v>11</v>
      </c>
      <c r="I46" s="4">
        <v>10</v>
      </c>
      <c r="J46" s="4">
        <v>1</v>
      </c>
      <c r="K46" s="227"/>
      <c r="L46" s="4" t="s">
        <v>17</v>
      </c>
      <c r="M46" s="4">
        <v>4</v>
      </c>
      <c r="N46" s="4">
        <v>6</v>
      </c>
      <c r="O46" s="4">
        <v>2</v>
      </c>
      <c r="P46" s="4">
        <v>6</v>
      </c>
      <c r="Q46" s="4">
        <v>9</v>
      </c>
      <c r="R46" s="4">
        <v>8</v>
      </c>
      <c r="S46" s="4">
        <v>5</v>
      </c>
      <c r="T46" s="50">
        <v>3</v>
      </c>
      <c r="U46" s="60">
        <f t="shared" si="0"/>
        <v>67</v>
      </c>
    </row>
    <row r="47" spans="1:21" ht="18.75" customHeight="1">
      <c r="A47" s="231"/>
      <c r="B47" s="61" t="s">
        <v>18</v>
      </c>
      <c r="C47" s="61">
        <v>9</v>
      </c>
      <c r="D47" s="61">
        <v>7</v>
      </c>
      <c r="E47" s="61">
        <v>6</v>
      </c>
      <c r="F47" s="61">
        <v>6</v>
      </c>
      <c r="G47" s="61">
        <v>5</v>
      </c>
      <c r="H47" s="61">
        <v>17</v>
      </c>
      <c r="I47" s="61">
        <v>21</v>
      </c>
      <c r="J47" s="61">
        <v>4</v>
      </c>
      <c r="K47" s="232"/>
      <c r="L47" s="61" t="s">
        <v>18</v>
      </c>
      <c r="M47" s="46">
        <v>3</v>
      </c>
      <c r="N47" s="46">
        <v>5</v>
      </c>
      <c r="O47" s="46">
        <v>11</v>
      </c>
      <c r="P47" s="46">
        <v>8</v>
      </c>
      <c r="Q47" s="46">
        <v>14</v>
      </c>
      <c r="R47" s="46">
        <v>13</v>
      </c>
      <c r="S47" s="46">
        <v>6</v>
      </c>
      <c r="T47" s="69">
        <v>4</v>
      </c>
      <c r="U47" s="62">
        <f t="shared" si="0"/>
        <v>100</v>
      </c>
    </row>
    <row r="48" spans="1:21" ht="18.75" customHeight="1"/>
    <row r="49" spans="1:40" ht="18.75" customHeight="1">
      <c r="A49" s="1"/>
      <c r="B49" s="1"/>
      <c r="C49" s="183" t="s">
        <v>0</v>
      </c>
      <c r="D49" s="225"/>
      <c r="E49" s="225"/>
      <c r="F49" s="225"/>
      <c r="G49" s="226"/>
      <c r="H49" s="2"/>
      <c r="I49" s="1"/>
    </row>
    <row r="50" spans="1:40" ht="18.75" customHeight="1">
      <c r="A50" s="1"/>
      <c r="B50" s="183" t="s">
        <v>1</v>
      </c>
      <c r="C50" s="225"/>
      <c r="D50" s="226"/>
      <c r="E50" s="1"/>
      <c r="F50" s="184" t="s">
        <v>64</v>
      </c>
      <c r="G50" s="225"/>
      <c r="H50" s="226"/>
      <c r="I50" s="1"/>
      <c r="K50" s="1"/>
      <c r="L50" s="183" t="s">
        <v>26</v>
      </c>
      <c r="M50" s="225"/>
      <c r="N50" s="226"/>
      <c r="O50" s="1"/>
      <c r="P50" s="184" t="s">
        <v>64</v>
      </c>
      <c r="Q50" s="225"/>
      <c r="R50" s="226"/>
      <c r="S50" s="1"/>
    </row>
    <row r="51" spans="1:40" ht="18.75" customHeight="1">
      <c r="A51" s="54" t="s">
        <v>35</v>
      </c>
      <c r="B51" s="54" t="s">
        <v>4</v>
      </c>
      <c r="C51" s="54" t="s">
        <v>12</v>
      </c>
      <c r="D51" s="54" t="s">
        <v>19</v>
      </c>
      <c r="E51" s="54" t="s">
        <v>20</v>
      </c>
      <c r="F51" s="54" t="s">
        <v>21</v>
      </c>
      <c r="G51" s="54" t="s">
        <v>22</v>
      </c>
      <c r="H51" s="54" t="s">
        <v>23</v>
      </c>
      <c r="I51" s="54" t="s">
        <v>24</v>
      </c>
      <c r="J51" s="54" t="s">
        <v>25</v>
      </c>
      <c r="K51" s="54" t="s">
        <v>35</v>
      </c>
      <c r="L51" s="54" t="s">
        <v>4</v>
      </c>
      <c r="M51" s="54" t="s">
        <v>27</v>
      </c>
      <c r="N51" s="54" t="s">
        <v>28</v>
      </c>
      <c r="O51" s="54" t="s">
        <v>29</v>
      </c>
      <c r="P51" s="54" t="s">
        <v>30</v>
      </c>
      <c r="Q51" s="54" t="s">
        <v>31</v>
      </c>
      <c r="R51" s="54" t="s">
        <v>32</v>
      </c>
      <c r="S51" s="54" t="s">
        <v>33</v>
      </c>
      <c r="T51" s="54" t="s">
        <v>34</v>
      </c>
      <c r="U51" s="54" t="s">
        <v>55</v>
      </c>
    </row>
    <row r="52" spans="1:40" ht="18.75" customHeight="1">
      <c r="A52" s="195" t="s">
        <v>5</v>
      </c>
      <c r="B52" s="56" t="s">
        <v>13</v>
      </c>
      <c r="C52" s="57"/>
      <c r="D52" s="57"/>
      <c r="E52" s="56">
        <v>8</v>
      </c>
      <c r="F52" s="56">
        <v>18</v>
      </c>
      <c r="G52" s="56">
        <v>29</v>
      </c>
      <c r="H52" s="56">
        <v>52</v>
      </c>
      <c r="I52" s="56">
        <v>52</v>
      </c>
      <c r="J52" s="56">
        <v>31</v>
      </c>
      <c r="K52" s="196" t="s">
        <v>5</v>
      </c>
      <c r="L52" s="56" t="s">
        <v>13</v>
      </c>
      <c r="M52" s="56">
        <v>27</v>
      </c>
      <c r="N52" s="56">
        <v>13</v>
      </c>
      <c r="O52" s="56">
        <v>19</v>
      </c>
      <c r="P52" s="56">
        <v>22</v>
      </c>
      <c r="Q52" s="56">
        <v>11</v>
      </c>
      <c r="R52" s="57"/>
      <c r="S52" s="57"/>
      <c r="T52" s="58"/>
      <c r="U52" s="59">
        <f>SUM(M52:T52,C52:J52)</f>
        <v>282</v>
      </c>
      <c r="W52" s="197" t="s">
        <v>64</v>
      </c>
      <c r="X52" s="198"/>
      <c r="AG52" s="190" t="s">
        <v>58</v>
      </c>
      <c r="AH52" s="191"/>
      <c r="AI52" s="191"/>
      <c r="AJ52" s="191"/>
      <c r="AK52" s="191"/>
      <c r="AL52" s="191"/>
      <c r="AM52" s="191"/>
      <c r="AN52" s="192"/>
    </row>
    <row r="53" spans="1:40" ht="18.75" customHeight="1">
      <c r="A53" s="230"/>
      <c r="B53" s="4" t="s">
        <v>14</v>
      </c>
      <c r="C53" s="5"/>
      <c r="D53" s="5"/>
      <c r="E53" s="4">
        <v>6</v>
      </c>
      <c r="F53" s="4">
        <v>6</v>
      </c>
      <c r="G53" s="4">
        <v>10</v>
      </c>
      <c r="H53" s="4">
        <v>13</v>
      </c>
      <c r="I53" s="4">
        <v>14</v>
      </c>
      <c r="J53" s="4">
        <v>8</v>
      </c>
      <c r="K53" s="227"/>
      <c r="L53" s="4" t="s">
        <v>14</v>
      </c>
      <c r="M53" s="4">
        <v>12</v>
      </c>
      <c r="N53" s="4">
        <v>5</v>
      </c>
      <c r="O53" s="4">
        <v>7</v>
      </c>
      <c r="P53" s="4">
        <v>7</v>
      </c>
      <c r="Q53" s="4">
        <v>2</v>
      </c>
      <c r="R53" s="5"/>
      <c r="S53" s="5"/>
      <c r="T53" s="49"/>
      <c r="U53" s="60">
        <f>SUM(M53:Q53,E53:J53)</f>
        <v>90</v>
      </c>
      <c r="W53" s="55" t="s">
        <v>5</v>
      </c>
      <c r="X53" s="48">
        <f>SUM(U52:U57)</f>
        <v>813</v>
      </c>
      <c r="AG53" s="98" t="s">
        <v>4</v>
      </c>
      <c r="AH53" s="98" t="s">
        <v>5</v>
      </c>
      <c r="AI53" s="98" t="s">
        <v>6</v>
      </c>
      <c r="AJ53" s="98" t="s">
        <v>7</v>
      </c>
      <c r="AK53" s="98" t="s">
        <v>8</v>
      </c>
      <c r="AL53" s="98" t="s">
        <v>9</v>
      </c>
      <c r="AM53" s="98" t="s">
        <v>10</v>
      </c>
      <c r="AN53" s="98" t="s">
        <v>11</v>
      </c>
    </row>
    <row r="54" spans="1:40" ht="18.75" customHeight="1">
      <c r="A54" s="230"/>
      <c r="B54" s="4" t="s">
        <v>15</v>
      </c>
      <c r="C54" s="5"/>
      <c r="D54" s="5"/>
      <c r="E54" s="4">
        <v>6</v>
      </c>
      <c r="F54" s="4">
        <v>13</v>
      </c>
      <c r="G54" s="4">
        <v>19</v>
      </c>
      <c r="H54" s="4">
        <v>35</v>
      </c>
      <c r="I54" s="4">
        <v>26</v>
      </c>
      <c r="J54" s="4">
        <v>26</v>
      </c>
      <c r="K54" s="227"/>
      <c r="L54" s="4" t="s">
        <v>15</v>
      </c>
      <c r="M54" s="4">
        <v>19</v>
      </c>
      <c r="N54" s="4">
        <v>10</v>
      </c>
      <c r="O54" s="4">
        <v>14</v>
      </c>
      <c r="P54" s="4">
        <v>16</v>
      </c>
      <c r="Q54" s="4">
        <v>10</v>
      </c>
      <c r="R54" s="5"/>
      <c r="S54" s="5"/>
      <c r="T54" s="49"/>
      <c r="U54" s="60">
        <f t="shared" ref="U54:U63" si="10">SUM(M54:Q54,E54:J54)</f>
        <v>194</v>
      </c>
      <c r="W54" s="55" t="s">
        <v>6</v>
      </c>
      <c r="X54" s="48">
        <f>SUM(U58:U63)</f>
        <v>779</v>
      </c>
      <c r="AG54" s="79" t="s">
        <v>13</v>
      </c>
      <c r="AH54" s="79">
        <f t="shared" ref="AH54:AH59" si="11">U52</f>
        <v>282</v>
      </c>
      <c r="AI54" s="79">
        <f t="shared" ref="AI54:AI59" si="12">U58</f>
        <v>288</v>
      </c>
      <c r="AJ54" s="79">
        <f t="shared" ref="AJ54:AJ59" si="13">U64</f>
        <v>420</v>
      </c>
      <c r="AK54" s="79">
        <f t="shared" ref="AK54:AK59" si="14">U70</f>
        <v>440</v>
      </c>
      <c r="AL54" s="79">
        <f t="shared" ref="AL54:AL59" si="15">U76</f>
        <v>434</v>
      </c>
      <c r="AM54" s="79">
        <f t="shared" ref="AM54:AM59" si="16">U82</f>
        <v>412</v>
      </c>
      <c r="AN54" s="79">
        <f t="shared" ref="AN54:AN59" si="17">U88</f>
        <v>352</v>
      </c>
    </row>
    <row r="55" spans="1:40" ht="18.75" customHeight="1">
      <c r="A55" s="230"/>
      <c r="B55" s="4" t="s">
        <v>16</v>
      </c>
      <c r="C55" s="5"/>
      <c r="D55" s="5"/>
      <c r="E55" s="4">
        <v>4</v>
      </c>
      <c r="F55" s="4">
        <v>5</v>
      </c>
      <c r="G55" s="4">
        <v>6</v>
      </c>
      <c r="H55" s="4">
        <v>15</v>
      </c>
      <c r="I55" s="4">
        <v>23</v>
      </c>
      <c r="J55" s="4">
        <v>12</v>
      </c>
      <c r="K55" s="227"/>
      <c r="L55" s="4" t="s">
        <v>16</v>
      </c>
      <c r="M55" s="4">
        <v>9</v>
      </c>
      <c r="N55" s="4">
        <v>4</v>
      </c>
      <c r="O55" s="4">
        <v>6</v>
      </c>
      <c r="P55" s="4">
        <v>8</v>
      </c>
      <c r="Q55" s="4">
        <v>0</v>
      </c>
      <c r="R55" s="5"/>
      <c r="S55" s="5"/>
      <c r="T55" s="49"/>
      <c r="U55" s="60">
        <f t="shared" si="10"/>
        <v>92</v>
      </c>
      <c r="W55" s="55" t="s">
        <v>7</v>
      </c>
      <c r="X55" s="48">
        <f>SUM(U64:U69)</f>
        <v>1442</v>
      </c>
      <c r="AG55" s="97" t="s">
        <v>14</v>
      </c>
      <c r="AH55" s="97">
        <f t="shared" si="11"/>
        <v>90</v>
      </c>
      <c r="AI55" s="97">
        <f t="shared" si="12"/>
        <v>91</v>
      </c>
      <c r="AJ55" s="97">
        <f t="shared" si="13"/>
        <v>152</v>
      </c>
      <c r="AK55" s="97">
        <f t="shared" si="14"/>
        <v>127</v>
      </c>
      <c r="AL55" s="97">
        <f t="shared" si="15"/>
        <v>170</v>
      </c>
      <c r="AM55" s="97">
        <f t="shared" si="16"/>
        <v>138</v>
      </c>
      <c r="AN55" s="97">
        <f t="shared" si="17"/>
        <v>171</v>
      </c>
    </row>
    <row r="56" spans="1:40" ht="18.75" customHeight="1">
      <c r="A56" s="230"/>
      <c r="B56" s="4" t="s">
        <v>17</v>
      </c>
      <c r="C56" s="5"/>
      <c r="D56" s="5"/>
      <c r="E56" s="4">
        <v>2</v>
      </c>
      <c r="F56" s="4">
        <v>5</v>
      </c>
      <c r="G56" s="4">
        <v>5</v>
      </c>
      <c r="H56" s="4">
        <v>11</v>
      </c>
      <c r="I56" s="4">
        <v>9</v>
      </c>
      <c r="J56" s="4">
        <v>13</v>
      </c>
      <c r="K56" s="227"/>
      <c r="L56" s="4" t="s">
        <v>17</v>
      </c>
      <c r="M56" s="4">
        <v>6</v>
      </c>
      <c r="N56" s="4">
        <v>2</v>
      </c>
      <c r="O56" s="4">
        <v>8</v>
      </c>
      <c r="P56" s="4">
        <v>1</v>
      </c>
      <c r="Q56" s="4">
        <v>0</v>
      </c>
      <c r="R56" s="5"/>
      <c r="S56" s="5"/>
      <c r="T56" s="49"/>
      <c r="U56" s="60">
        <f t="shared" si="10"/>
        <v>62</v>
      </c>
      <c r="W56" s="55" t="s">
        <v>61</v>
      </c>
      <c r="X56" s="48">
        <f>SUM(U70:U75)</f>
        <v>1331</v>
      </c>
      <c r="AG56" s="79" t="s">
        <v>15</v>
      </c>
      <c r="AH56" s="79">
        <f t="shared" si="11"/>
        <v>194</v>
      </c>
      <c r="AI56" s="79">
        <f t="shared" si="12"/>
        <v>171</v>
      </c>
      <c r="AJ56" s="79">
        <f t="shared" si="13"/>
        <v>386</v>
      </c>
      <c r="AK56" s="79">
        <f t="shared" si="14"/>
        <v>363</v>
      </c>
      <c r="AL56" s="79">
        <f t="shared" si="15"/>
        <v>244</v>
      </c>
      <c r="AM56" s="79">
        <f t="shared" si="16"/>
        <v>351</v>
      </c>
      <c r="AN56" s="79">
        <f t="shared" si="17"/>
        <v>270</v>
      </c>
    </row>
    <row r="57" spans="1:40" ht="18.75" customHeight="1">
      <c r="A57" s="230"/>
      <c r="B57" s="46" t="s">
        <v>18</v>
      </c>
      <c r="C57" s="64"/>
      <c r="D57" s="64"/>
      <c r="E57" s="46">
        <v>12</v>
      </c>
      <c r="F57" s="46">
        <v>11</v>
      </c>
      <c r="G57" s="46">
        <v>17</v>
      </c>
      <c r="H57" s="46">
        <v>10</v>
      </c>
      <c r="I57" s="46">
        <v>9</v>
      </c>
      <c r="J57" s="46">
        <v>5</v>
      </c>
      <c r="K57" s="227"/>
      <c r="L57" s="46" t="s">
        <v>18</v>
      </c>
      <c r="M57" s="46">
        <v>11</v>
      </c>
      <c r="N57" s="46">
        <v>5</v>
      </c>
      <c r="O57" s="46">
        <v>8</v>
      </c>
      <c r="P57" s="46">
        <v>5</v>
      </c>
      <c r="Q57" s="46">
        <v>0</v>
      </c>
      <c r="R57" s="64"/>
      <c r="S57" s="64"/>
      <c r="T57" s="65"/>
      <c r="U57" s="66">
        <f t="shared" si="10"/>
        <v>93</v>
      </c>
      <c r="W57" s="55" t="s">
        <v>9</v>
      </c>
      <c r="X57" s="48">
        <f>SUM(U76:U81)</f>
        <v>1246</v>
      </c>
      <c r="AG57" s="97" t="s">
        <v>16</v>
      </c>
      <c r="AH57" s="97">
        <f t="shared" si="11"/>
        <v>92</v>
      </c>
      <c r="AI57" s="97">
        <f t="shared" si="12"/>
        <v>94</v>
      </c>
      <c r="AJ57" s="97">
        <f t="shared" si="13"/>
        <v>142</v>
      </c>
      <c r="AK57" s="97">
        <f t="shared" si="14"/>
        <v>146</v>
      </c>
      <c r="AL57" s="97">
        <f t="shared" si="15"/>
        <v>151</v>
      </c>
      <c r="AM57" s="97">
        <f t="shared" si="16"/>
        <v>151</v>
      </c>
      <c r="AN57" s="97">
        <f t="shared" si="17"/>
        <v>131</v>
      </c>
    </row>
    <row r="58" spans="1:40" ht="18.75" customHeight="1">
      <c r="A58" s="193" t="s">
        <v>6</v>
      </c>
      <c r="B58" s="63" t="s">
        <v>13</v>
      </c>
      <c r="C58" s="57"/>
      <c r="D58" s="57"/>
      <c r="E58" s="57"/>
      <c r="F58" s="63">
        <v>20</v>
      </c>
      <c r="G58" s="63">
        <v>49</v>
      </c>
      <c r="H58" s="63">
        <v>40</v>
      </c>
      <c r="I58" s="63">
        <v>34</v>
      </c>
      <c r="J58" s="63">
        <v>42</v>
      </c>
      <c r="K58" s="194" t="s">
        <v>6</v>
      </c>
      <c r="L58" s="63" t="s">
        <v>13</v>
      </c>
      <c r="M58" s="63">
        <v>32</v>
      </c>
      <c r="N58" s="63">
        <v>22</v>
      </c>
      <c r="O58" s="63">
        <v>18</v>
      </c>
      <c r="P58" s="63">
        <v>31</v>
      </c>
      <c r="Q58" s="57"/>
      <c r="R58" s="57"/>
      <c r="S58" s="57"/>
      <c r="T58" s="58"/>
      <c r="U58" s="59">
        <f t="shared" si="10"/>
        <v>288</v>
      </c>
      <c r="W58" s="55" t="s">
        <v>10</v>
      </c>
      <c r="X58" s="48">
        <f>SUM(U82:U87)</f>
        <v>1293</v>
      </c>
      <c r="AG58" s="79" t="s">
        <v>17</v>
      </c>
      <c r="AH58" s="79">
        <f t="shared" si="11"/>
        <v>62</v>
      </c>
      <c r="AI58" s="79">
        <f t="shared" si="12"/>
        <v>70</v>
      </c>
      <c r="AJ58" s="79">
        <f t="shared" si="13"/>
        <v>140</v>
      </c>
      <c r="AK58" s="79">
        <f t="shared" si="14"/>
        <v>117</v>
      </c>
      <c r="AL58" s="79">
        <f t="shared" si="15"/>
        <v>117</v>
      </c>
      <c r="AM58" s="79">
        <f t="shared" si="16"/>
        <v>119</v>
      </c>
      <c r="AN58" s="79">
        <f t="shared" si="17"/>
        <v>95</v>
      </c>
    </row>
    <row r="59" spans="1:40" ht="19.5" customHeight="1">
      <c r="A59" s="230"/>
      <c r="B59" s="6" t="s">
        <v>14</v>
      </c>
      <c r="C59" s="5"/>
      <c r="D59" s="5"/>
      <c r="E59" s="5"/>
      <c r="F59" s="6">
        <v>12</v>
      </c>
      <c r="G59" s="6">
        <v>9</v>
      </c>
      <c r="H59" s="6">
        <v>8</v>
      </c>
      <c r="I59" s="6">
        <v>8</v>
      </c>
      <c r="J59" s="6">
        <v>14</v>
      </c>
      <c r="K59" s="227"/>
      <c r="L59" s="6" t="s">
        <v>14</v>
      </c>
      <c r="M59" s="6">
        <v>14</v>
      </c>
      <c r="N59" s="6">
        <v>10</v>
      </c>
      <c r="O59" s="6">
        <v>10</v>
      </c>
      <c r="P59" s="6">
        <v>6</v>
      </c>
      <c r="Q59" s="5"/>
      <c r="R59" s="5"/>
      <c r="S59" s="5"/>
      <c r="T59" s="49"/>
      <c r="U59" s="60">
        <f t="shared" si="10"/>
        <v>91</v>
      </c>
      <c r="W59" s="81" t="s">
        <v>11</v>
      </c>
      <c r="X59" s="80">
        <f>SUM(U88:U93)</f>
        <v>1136</v>
      </c>
      <c r="AG59" s="97" t="s">
        <v>18</v>
      </c>
      <c r="AH59" s="97">
        <f t="shared" si="11"/>
        <v>93</v>
      </c>
      <c r="AI59" s="97">
        <f t="shared" si="12"/>
        <v>65</v>
      </c>
      <c r="AJ59" s="97">
        <f t="shared" si="13"/>
        <v>202</v>
      </c>
      <c r="AK59" s="97">
        <f t="shared" si="14"/>
        <v>138</v>
      </c>
      <c r="AL59" s="97">
        <f t="shared" si="15"/>
        <v>130</v>
      </c>
      <c r="AM59" s="97">
        <f t="shared" si="16"/>
        <v>122</v>
      </c>
      <c r="AN59" s="97">
        <f t="shared" si="17"/>
        <v>117</v>
      </c>
    </row>
    <row r="60" spans="1:40" ht="18.75" customHeight="1">
      <c r="A60" s="230"/>
      <c r="B60" s="6" t="s">
        <v>15</v>
      </c>
      <c r="C60" s="5"/>
      <c r="D60" s="5"/>
      <c r="E60" s="5"/>
      <c r="F60" s="6">
        <v>8</v>
      </c>
      <c r="G60" s="6">
        <v>26</v>
      </c>
      <c r="H60" s="6">
        <v>16</v>
      </c>
      <c r="I60" s="6">
        <v>24</v>
      </c>
      <c r="J60" s="6">
        <v>31</v>
      </c>
      <c r="K60" s="227"/>
      <c r="L60" s="6" t="s">
        <v>15</v>
      </c>
      <c r="M60" s="6">
        <v>12</v>
      </c>
      <c r="N60" s="6">
        <v>22</v>
      </c>
      <c r="O60" s="6">
        <v>17</v>
      </c>
      <c r="P60" s="6">
        <v>15</v>
      </c>
      <c r="Q60" s="5"/>
      <c r="R60" s="5"/>
      <c r="S60" s="5"/>
      <c r="T60" s="49"/>
      <c r="U60" s="60">
        <f t="shared" si="10"/>
        <v>171</v>
      </c>
      <c r="W60" s="79" t="s">
        <v>63</v>
      </c>
      <c r="X60" s="82">
        <f>SUM(X53:X59)</f>
        <v>8040</v>
      </c>
    </row>
    <row r="61" spans="1:40" ht="18.75" customHeight="1">
      <c r="A61" s="230"/>
      <c r="B61" s="6" t="s">
        <v>16</v>
      </c>
      <c r="C61" s="5"/>
      <c r="D61" s="5"/>
      <c r="E61" s="5"/>
      <c r="F61" s="6">
        <v>4</v>
      </c>
      <c r="G61" s="6">
        <v>14</v>
      </c>
      <c r="H61" s="6">
        <v>13</v>
      </c>
      <c r="I61" s="6">
        <v>10</v>
      </c>
      <c r="J61" s="6">
        <v>15</v>
      </c>
      <c r="K61" s="227"/>
      <c r="L61" s="6" t="s">
        <v>16</v>
      </c>
      <c r="M61" s="6">
        <v>13</v>
      </c>
      <c r="N61" s="6">
        <v>10</v>
      </c>
      <c r="O61" s="6">
        <v>8</v>
      </c>
      <c r="P61" s="6">
        <v>7</v>
      </c>
      <c r="Q61" s="5"/>
      <c r="R61" s="5"/>
      <c r="S61" s="5"/>
      <c r="T61" s="49"/>
      <c r="U61" s="60">
        <f t="shared" si="10"/>
        <v>94</v>
      </c>
    </row>
    <row r="62" spans="1:40" ht="18.75" customHeight="1">
      <c r="A62" s="230"/>
      <c r="B62" s="6" t="s">
        <v>17</v>
      </c>
      <c r="C62" s="5"/>
      <c r="D62" s="5"/>
      <c r="E62" s="5"/>
      <c r="F62" s="6">
        <v>2</v>
      </c>
      <c r="G62" s="6">
        <v>13</v>
      </c>
      <c r="H62" s="6">
        <v>5</v>
      </c>
      <c r="I62" s="6">
        <v>10</v>
      </c>
      <c r="J62" s="6">
        <v>15</v>
      </c>
      <c r="K62" s="227"/>
      <c r="L62" s="6" t="s">
        <v>17</v>
      </c>
      <c r="M62" s="6">
        <v>9</v>
      </c>
      <c r="N62" s="6">
        <v>5</v>
      </c>
      <c r="O62" s="6">
        <v>6</v>
      </c>
      <c r="P62" s="6">
        <v>5</v>
      </c>
      <c r="Q62" s="5"/>
      <c r="R62" s="5"/>
      <c r="S62" s="5"/>
      <c r="T62" s="49"/>
      <c r="U62" s="60">
        <f t="shared" si="10"/>
        <v>70</v>
      </c>
    </row>
    <row r="63" spans="1:40" ht="18.75" customHeight="1">
      <c r="A63" s="230"/>
      <c r="B63" s="47" t="s">
        <v>18</v>
      </c>
      <c r="C63" s="64"/>
      <c r="D63" s="64"/>
      <c r="E63" s="64"/>
      <c r="F63" s="47">
        <v>4</v>
      </c>
      <c r="G63" s="47">
        <v>9</v>
      </c>
      <c r="H63" s="47">
        <v>14</v>
      </c>
      <c r="I63" s="47">
        <v>8</v>
      </c>
      <c r="J63" s="47">
        <v>9</v>
      </c>
      <c r="K63" s="227"/>
      <c r="L63" s="47" t="s">
        <v>18</v>
      </c>
      <c r="M63" s="47">
        <v>7</v>
      </c>
      <c r="N63" s="47">
        <v>6</v>
      </c>
      <c r="O63" s="47">
        <v>4</v>
      </c>
      <c r="P63" s="47">
        <v>4</v>
      </c>
      <c r="Q63" s="64"/>
      <c r="R63" s="64"/>
      <c r="S63" s="64"/>
      <c r="T63" s="65"/>
      <c r="U63" s="66">
        <f t="shared" si="10"/>
        <v>65</v>
      </c>
    </row>
    <row r="64" spans="1:40" ht="18.75" customHeight="1">
      <c r="A64" s="195" t="s">
        <v>7</v>
      </c>
      <c r="B64" s="56" t="s">
        <v>13</v>
      </c>
      <c r="C64" s="56">
        <v>21</v>
      </c>
      <c r="D64" s="56">
        <v>16</v>
      </c>
      <c r="E64" s="56">
        <v>26</v>
      </c>
      <c r="F64" s="56">
        <v>31</v>
      </c>
      <c r="G64" s="56">
        <v>37</v>
      </c>
      <c r="H64" s="56">
        <v>37</v>
      </c>
      <c r="I64" s="56">
        <v>34</v>
      </c>
      <c r="J64" s="56" t="s">
        <v>65</v>
      </c>
      <c r="K64" s="196" t="s">
        <v>7</v>
      </c>
      <c r="L64" s="56" t="s">
        <v>13</v>
      </c>
      <c r="M64" s="56">
        <v>30</v>
      </c>
      <c r="N64" s="56">
        <v>27</v>
      </c>
      <c r="O64" s="56">
        <v>25</v>
      </c>
      <c r="P64" s="56">
        <v>31</v>
      </c>
      <c r="Q64" s="56">
        <v>28</v>
      </c>
      <c r="R64" s="56">
        <v>33</v>
      </c>
      <c r="S64" s="56">
        <v>33</v>
      </c>
      <c r="T64" s="67">
        <v>11</v>
      </c>
      <c r="U64" s="59">
        <f t="shared" ref="U64:U70" si="18">SUM(M64:T64,C64:J64)</f>
        <v>420</v>
      </c>
    </row>
    <row r="65" spans="1:21" ht="18.75" customHeight="1">
      <c r="A65" s="230"/>
      <c r="B65" s="4" t="s">
        <v>14</v>
      </c>
      <c r="C65" s="4">
        <v>4</v>
      </c>
      <c r="D65" s="4">
        <v>5</v>
      </c>
      <c r="E65" s="4">
        <v>10</v>
      </c>
      <c r="F65" s="4">
        <v>11</v>
      </c>
      <c r="G65" s="4">
        <v>13</v>
      </c>
      <c r="H65" s="4">
        <v>13</v>
      </c>
      <c r="I65" s="4">
        <v>13</v>
      </c>
      <c r="J65" s="4" t="s">
        <v>65</v>
      </c>
      <c r="K65" s="227"/>
      <c r="L65" s="4" t="s">
        <v>14</v>
      </c>
      <c r="M65" s="4">
        <v>15</v>
      </c>
      <c r="N65" s="4">
        <v>14</v>
      </c>
      <c r="O65" s="4">
        <v>12</v>
      </c>
      <c r="P65" s="4">
        <v>10</v>
      </c>
      <c r="Q65" s="4">
        <v>12</v>
      </c>
      <c r="R65" s="4">
        <v>8</v>
      </c>
      <c r="S65" s="4">
        <v>7</v>
      </c>
      <c r="T65" s="50">
        <v>5</v>
      </c>
      <c r="U65" s="60">
        <f t="shared" si="18"/>
        <v>152</v>
      </c>
    </row>
    <row r="66" spans="1:21" ht="18.75" customHeight="1">
      <c r="A66" s="230"/>
      <c r="B66" s="4" t="s">
        <v>15</v>
      </c>
      <c r="C66" s="4">
        <v>21</v>
      </c>
      <c r="D66" s="4">
        <v>24</v>
      </c>
      <c r="E66" s="4">
        <v>22</v>
      </c>
      <c r="F66" s="4">
        <v>23</v>
      </c>
      <c r="G66" s="4">
        <v>28</v>
      </c>
      <c r="H66" s="4">
        <v>28</v>
      </c>
      <c r="I66" s="4">
        <v>29</v>
      </c>
      <c r="J66" s="4" t="s">
        <v>65</v>
      </c>
      <c r="K66" s="227"/>
      <c r="L66" s="4" t="s">
        <v>15</v>
      </c>
      <c r="M66" s="4">
        <v>17</v>
      </c>
      <c r="N66" s="4">
        <v>24</v>
      </c>
      <c r="O66" s="4">
        <v>20</v>
      </c>
      <c r="P66" s="4">
        <v>28</v>
      </c>
      <c r="Q66" s="4">
        <v>32</v>
      </c>
      <c r="R66" s="4">
        <v>35</v>
      </c>
      <c r="S66" s="4">
        <v>40</v>
      </c>
      <c r="T66" s="50">
        <v>15</v>
      </c>
      <c r="U66" s="60">
        <f t="shared" si="18"/>
        <v>386</v>
      </c>
    </row>
    <row r="67" spans="1:21" ht="18.75" customHeight="1">
      <c r="A67" s="230"/>
      <c r="B67" s="4" t="s">
        <v>16</v>
      </c>
      <c r="C67" s="4">
        <v>4</v>
      </c>
      <c r="D67" s="4">
        <v>3</v>
      </c>
      <c r="E67" s="4">
        <v>9</v>
      </c>
      <c r="F67" s="4">
        <v>13</v>
      </c>
      <c r="G67" s="4">
        <v>9</v>
      </c>
      <c r="H67" s="4">
        <v>9</v>
      </c>
      <c r="I67" s="4">
        <v>13</v>
      </c>
      <c r="J67" s="4" t="s">
        <v>65</v>
      </c>
      <c r="K67" s="227"/>
      <c r="L67" s="4" t="s">
        <v>16</v>
      </c>
      <c r="M67" s="4">
        <v>18</v>
      </c>
      <c r="N67" s="4">
        <v>15</v>
      </c>
      <c r="O67" s="4">
        <v>10</v>
      </c>
      <c r="P67" s="4">
        <v>4</v>
      </c>
      <c r="Q67" s="4">
        <v>7</v>
      </c>
      <c r="R67" s="4">
        <v>10</v>
      </c>
      <c r="S67" s="4">
        <v>12</v>
      </c>
      <c r="T67" s="50">
        <v>6</v>
      </c>
      <c r="U67" s="60">
        <f t="shared" si="18"/>
        <v>142</v>
      </c>
    </row>
    <row r="68" spans="1:21" ht="18.75" customHeight="1">
      <c r="A68" s="230"/>
      <c r="B68" s="4" t="s">
        <v>17</v>
      </c>
      <c r="C68" s="4">
        <v>3</v>
      </c>
      <c r="D68" s="4">
        <v>7</v>
      </c>
      <c r="E68" s="4">
        <v>8</v>
      </c>
      <c r="F68" s="4">
        <v>13</v>
      </c>
      <c r="G68" s="4">
        <v>12</v>
      </c>
      <c r="H68" s="4">
        <v>12</v>
      </c>
      <c r="I68" s="4">
        <v>2</v>
      </c>
      <c r="J68" s="4" t="s">
        <v>65</v>
      </c>
      <c r="K68" s="227"/>
      <c r="L68" s="4" t="s">
        <v>17</v>
      </c>
      <c r="M68" s="4">
        <v>12</v>
      </c>
      <c r="N68" s="4">
        <v>10</v>
      </c>
      <c r="O68" s="4">
        <v>8</v>
      </c>
      <c r="P68" s="4">
        <v>13</v>
      </c>
      <c r="Q68" s="4">
        <v>12</v>
      </c>
      <c r="R68" s="4">
        <v>9</v>
      </c>
      <c r="S68" s="4">
        <v>11</v>
      </c>
      <c r="T68" s="50">
        <v>8</v>
      </c>
      <c r="U68" s="60">
        <f t="shared" si="18"/>
        <v>140</v>
      </c>
    </row>
    <row r="69" spans="1:21" ht="18.75" customHeight="1">
      <c r="A69" s="230"/>
      <c r="B69" s="46" t="s">
        <v>18</v>
      </c>
      <c r="C69" s="46">
        <v>28</v>
      </c>
      <c r="D69" s="46">
        <v>11</v>
      </c>
      <c r="E69" s="46">
        <v>15</v>
      </c>
      <c r="F69" s="46">
        <v>9</v>
      </c>
      <c r="G69" s="46">
        <v>17</v>
      </c>
      <c r="H69" s="46">
        <v>17</v>
      </c>
      <c r="I69" s="46">
        <v>33</v>
      </c>
      <c r="J69" s="46" t="s">
        <v>65</v>
      </c>
      <c r="K69" s="227"/>
      <c r="L69" s="46" t="s">
        <v>18</v>
      </c>
      <c r="M69" s="46">
        <v>7</v>
      </c>
      <c r="N69" s="46">
        <v>4</v>
      </c>
      <c r="O69" s="46">
        <v>5</v>
      </c>
      <c r="P69" s="46">
        <v>8</v>
      </c>
      <c r="Q69" s="46">
        <v>16</v>
      </c>
      <c r="R69" s="46">
        <v>12</v>
      </c>
      <c r="S69" s="46">
        <v>15</v>
      </c>
      <c r="T69" s="69">
        <v>5</v>
      </c>
      <c r="U69" s="66">
        <f t="shared" si="18"/>
        <v>202</v>
      </c>
    </row>
    <row r="70" spans="1:21" ht="18.75" customHeight="1">
      <c r="A70" s="193" t="s">
        <v>8</v>
      </c>
      <c r="B70" s="63" t="s">
        <v>13</v>
      </c>
      <c r="C70" s="63">
        <v>17</v>
      </c>
      <c r="D70" s="63">
        <v>19</v>
      </c>
      <c r="E70" s="63">
        <v>18</v>
      </c>
      <c r="F70" s="63">
        <v>24</v>
      </c>
      <c r="G70" s="63">
        <v>36</v>
      </c>
      <c r="H70" s="63">
        <v>32</v>
      </c>
      <c r="I70" s="63">
        <v>27</v>
      </c>
      <c r="J70" s="63">
        <v>24</v>
      </c>
      <c r="K70" s="194" t="s">
        <v>8</v>
      </c>
      <c r="L70" s="63" t="s">
        <v>13</v>
      </c>
      <c r="M70" s="63">
        <v>25</v>
      </c>
      <c r="N70" s="63">
        <v>23</v>
      </c>
      <c r="O70" s="63">
        <v>21</v>
      </c>
      <c r="P70" s="63">
        <v>40</v>
      </c>
      <c r="Q70" s="63">
        <v>35</v>
      </c>
      <c r="R70" s="63">
        <v>41</v>
      </c>
      <c r="S70" s="63">
        <v>36</v>
      </c>
      <c r="T70" s="68">
        <v>22</v>
      </c>
      <c r="U70" s="59">
        <f t="shared" si="18"/>
        <v>440</v>
      </c>
    </row>
    <row r="71" spans="1:21" ht="18.75" customHeight="1">
      <c r="A71" s="230"/>
      <c r="B71" s="6" t="s">
        <v>14</v>
      </c>
      <c r="C71" s="6">
        <v>6</v>
      </c>
      <c r="D71" s="6">
        <v>4</v>
      </c>
      <c r="E71" s="6">
        <v>5</v>
      </c>
      <c r="F71" s="6">
        <v>7</v>
      </c>
      <c r="G71" s="6">
        <v>14</v>
      </c>
      <c r="H71" s="6">
        <v>13</v>
      </c>
      <c r="I71" s="6">
        <v>14</v>
      </c>
      <c r="J71" s="6">
        <v>12</v>
      </c>
      <c r="K71" s="227"/>
      <c r="L71" s="6" t="s">
        <v>14</v>
      </c>
      <c r="M71" s="6">
        <v>11</v>
      </c>
      <c r="N71" s="6">
        <v>9</v>
      </c>
      <c r="O71" s="6">
        <v>6</v>
      </c>
      <c r="P71" s="6">
        <v>5</v>
      </c>
      <c r="Q71" s="6">
        <v>7</v>
      </c>
      <c r="R71" s="6">
        <v>4</v>
      </c>
      <c r="S71" s="6">
        <v>7</v>
      </c>
      <c r="T71" s="51">
        <v>3</v>
      </c>
      <c r="U71" s="60">
        <f>SUM(M71:T71, C71:J71)</f>
        <v>127</v>
      </c>
    </row>
    <row r="72" spans="1:21" ht="18.75" customHeight="1">
      <c r="A72" s="230"/>
      <c r="B72" s="6" t="s">
        <v>15</v>
      </c>
      <c r="C72" s="6">
        <v>18</v>
      </c>
      <c r="D72" s="6">
        <v>17</v>
      </c>
      <c r="E72" s="6">
        <v>19</v>
      </c>
      <c r="F72" s="6">
        <v>15</v>
      </c>
      <c r="G72" s="6">
        <v>29</v>
      </c>
      <c r="H72" s="6">
        <v>26</v>
      </c>
      <c r="I72" s="6">
        <v>13</v>
      </c>
      <c r="J72" s="6">
        <v>11</v>
      </c>
      <c r="K72" s="227"/>
      <c r="L72" s="6" t="s">
        <v>15</v>
      </c>
      <c r="M72" s="6">
        <v>15</v>
      </c>
      <c r="N72" s="6">
        <v>18</v>
      </c>
      <c r="O72" s="6">
        <v>20</v>
      </c>
      <c r="P72" s="6">
        <v>24</v>
      </c>
      <c r="Q72" s="6">
        <v>42</v>
      </c>
      <c r="R72" s="6">
        <v>49</v>
      </c>
      <c r="S72" s="6">
        <v>22</v>
      </c>
      <c r="T72" s="51">
        <v>25</v>
      </c>
      <c r="U72" s="60">
        <f>SUM(M72:T72, C72:J72)</f>
        <v>363</v>
      </c>
    </row>
    <row r="73" spans="1:21" ht="18.75" customHeight="1">
      <c r="A73" s="230"/>
      <c r="B73" s="6" t="s">
        <v>16</v>
      </c>
      <c r="C73" s="6">
        <v>3</v>
      </c>
      <c r="D73" s="6">
        <v>7</v>
      </c>
      <c r="E73" s="6">
        <v>10</v>
      </c>
      <c r="F73" s="6">
        <v>12</v>
      </c>
      <c r="G73" s="6">
        <v>8</v>
      </c>
      <c r="H73" s="6">
        <v>10</v>
      </c>
      <c r="I73" s="6">
        <v>10</v>
      </c>
      <c r="J73" s="6">
        <v>8</v>
      </c>
      <c r="K73" s="227"/>
      <c r="L73" s="6" t="s">
        <v>16</v>
      </c>
      <c r="M73" s="6">
        <v>9</v>
      </c>
      <c r="N73" s="6">
        <v>7</v>
      </c>
      <c r="O73" s="6">
        <v>10</v>
      </c>
      <c r="P73" s="6">
        <v>7</v>
      </c>
      <c r="Q73" s="6">
        <v>12</v>
      </c>
      <c r="R73" s="6">
        <v>14</v>
      </c>
      <c r="S73" s="6">
        <v>15</v>
      </c>
      <c r="T73" s="51">
        <v>4</v>
      </c>
      <c r="U73" s="60">
        <f>SUM(M73:T73, C73:J73)</f>
        <v>146</v>
      </c>
    </row>
    <row r="74" spans="1:21" ht="18.75" customHeight="1">
      <c r="A74" s="230"/>
      <c r="B74" s="6" t="s">
        <v>17</v>
      </c>
      <c r="C74" s="6">
        <v>6</v>
      </c>
      <c r="D74" s="6">
        <v>4</v>
      </c>
      <c r="E74" s="6">
        <v>5</v>
      </c>
      <c r="F74" s="6">
        <v>11</v>
      </c>
      <c r="G74" s="6">
        <v>11</v>
      </c>
      <c r="H74" s="6">
        <v>12</v>
      </c>
      <c r="I74" s="6">
        <v>3</v>
      </c>
      <c r="J74" s="6">
        <v>7</v>
      </c>
      <c r="K74" s="227"/>
      <c r="L74" s="6" t="s">
        <v>17</v>
      </c>
      <c r="M74" s="6">
        <v>3</v>
      </c>
      <c r="N74" s="6">
        <v>3</v>
      </c>
      <c r="O74" s="6">
        <v>8</v>
      </c>
      <c r="P74" s="6">
        <v>2</v>
      </c>
      <c r="Q74" s="6">
        <v>12</v>
      </c>
      <c r="R74" s="6">
        <v>13</v>
      </c>
      <c r="S74" s="6">
        <v>15</v>
      </c>
      <c r="T74" s="51">
        <v>2</v>
      </c>
      <c r="U74" s="60">
        <f>SUM(C74:J74, M74:T74)</f>
        <v>117</v>
      </c>
    </row>
    <row r="75" spans="1:21" ht="18.75" customHeight="1">
      <c r="A75" s="230"/>
      <c r="B75" s="47" t="s">
        <v>18</v>
      </c>
      <c r="C75" s="47">
        <v>3</v>
      </c>
      <c r="D75" s="47">
        <v>6</v>
      </c>
      <c r="E75" s="47">
        <v>8</v>
      </c>
      <c r="F75" s="47">
        <v>7</v>
      </c>
      <c r="G75" s="47">
        <v>17</v>
      </c>
      <c r="H75" s="47">
        <v>18</v>
      </c>
      <c r="I75" s="47">
        <v>7</v>
      </c>
      <c r="J75" s="47">
        <v>5</v>
      </c>
      <c r="K75" s="227"/>
      <c r="L75" s="47" t="s">
        <v>18</v>
      </c>
      <c r="M75" s="47">
        <v>4</v>
      </c>
      <c r="N75" s="47">
        <v>4</v>
      </c>
      <c r="O75" s="47">
        <v>2</v>
      </c>
      <c r="P75" s="47">
        <v>8</v>
      </c>
      <c r="Q75" s="47">
        <v>18</v>
      </c>
      <c r="R75" s="47">
        <v>17</v>
      </c>
      <c r="S75" s="47">
        <v>11</v>
      </c>
      <c r="T75" s="70">
        <v>3</v>
      </c>
      <c r="U75" s="66">
        <f>SUM(C75:J75,M75:T75)</f>
        <v>138</v>
      </c>
    </row>
    <row r="76" spans="1:21" ht="18.75" customHeight="1">
      <c r="A76" s="195" t="s">
        <v>9</v>
      </c>
      <c r="B76" s="56" t="s">
        <v>13</v>
      </c>
      <c r="C76" s="56">
        <v>24</v>
      </c>
      <c r="D76" s="56">
        <v>20</v>
      </c>
      <c r="E76" s="56">
        <v>29</v>
      </c>
      <c r="F76" s="56">
        <v>34</v>
      </c>
      <c r="G76" s="56">
        <v>41</v>
      </c>
      <c r="H76" s="56">
        <v>36</v>
      </c>
      <c r="I76" s="56">
        <v>43</v>
      </c>
      <c r="J76" s="56">
        <v>38</v>
      </c>
      <c r="K76" s="196" t="s">
        <v>9</v>
      </c>
      <c r="L76" s="56" t="s">
        <v>13</v>
      </c>
      <c r="M76" s="56">
        <v>36</v>
      </c>
      <c r="N76" s="56">
        <v>14</v>
      </c>
      <c r="O76" s="56">
        <v>24</v>
      </c>
      <c r="P76" s="56">
        <v>32</v>
      </c>
      <c r="Q76" s="56">
        <v>40</v>
      </c>
      <c r="R76" s="56">
        <v>31</v>
      </c>
      <c r="S76" s="56">
        <v>26</v>
      </c>
      <c r="T76" s="67">
        <v>10</v>
      </c>
      <c r="U76" s="59">
        <f>SUM(M76:T76,E76:J76)</f>
        <v>434</v>
      </c>
    </row>
    <row r="77" spans="1:21" ht="18.75" customHeight="1">
      <c r="A77" s="230"/>
      <c r="B77" s="4" t="s">
        <v>14</v>
      </c>
      <c r="C77" s="4">
        <v>5</v>
      </c>
      <c r="D77" s="4">
        <v>6</v>
      </c>
      <c r="E77" s="4">
        <v>12</v>
      </c>
      <c r="F77" s="4">
        <v>17</v>
      </c>
      <c r="G77" s="4">
        <v>21</v>
      </c>
      <c r="H77" s="4">
        <v>18</v>
      </c>
      <c r="I77" s="4">
        <v>18</v>
      </c>
      <c r="J77" s="4">
        <v>15</v>
      </c>
      <c r="K77" s="227"/>
      <c r="L77" s="4" t="s">
        <v>14</v>
      </c>
      <c r="M77" s="4">
        <v>10</v>
      </c>
      <c r="N77" s="4">
        <v>12</v>
      </c>
      <c r="O77" s="4">
        <v>12</v>
      </c>
      <c r="P77" s="4">
        <v>18</v>
      </c>
      <c r="Q77" s="4">
        <v>9</v>
      </c>
      <c r="R77" s="4">
        <v>5</v>
      </c>
      <c r="S77" s="4">
        <v>2</v>
      </c>
      <c r="T77" s="50">
        <v>1</v>
      </c>
      <c r="U77" s="60">
        <f>SUM(M77:T77,E77:J77)</f>
        <v>170</v>
      </c>
    </row>
    <row r="78" spans="1:21" ht="18.75" customHeight="1">
      <c r="A78" s="230"/>
      <c r="B78" s="4" t="s">
        <v>15</v>
      </c>
      <c r="C78" s="4">
        <v>28</v>
      </c>
      <c r="D78" s="4">
        <v>16</v>
      </c>
      <c r="E78" s="4">
        <v>18</v>
      </c>
      <c r="F78" s="4">
        <v>19</v>
      </c>
      <c r="G78" s="4">
        <v>24</v>
      </c>
      <c r="H78" s="4">
        <v>21</v>
      </c>
      <c r="I78" s="4">
        <v>27</v>
      </c>
      <c r="J78" s="4">
        <v>25</v>
      </c>
      <c r="K78" s="227"/>
      <c r="L78" s="4" t="s">
        <v>15</v>
      </c>
      <c r="M78" s="4">
        <v>16</v>
      </c>
      <c r="N78" s="4">
        <v>19</v>
      </c>
      <c r="O78" s="4">
        <v>16</v>
      </c>
      <c r="P78" s="4">
        <v>21</v>
      </c>
      <c r="Q78" s="4">
        <v>38</v>
      </c>
      <c r="R78" s="4">
        <v>26</v>
      </c>
      <c r="S78" s="4">
        <v>30</v>
      </c>
      <c r="T78" s="50">
        <v>10</v>
      </c>
      <c r="U78" s="60">
        <f t="shared" ref="U78" si="19">SUM(M78:Q78,E78:J78)</f>
        <v>244</v>
      </c>
    </row>
    <row r="79" spans="1:21" ht="18.75" customHeight="1">
      <c r="A79" s="230"/>
      <c r="B79" s="4" t="s">
        <v>16</v>
      </c>
      <c r="C79" s="4">
        <v>6</v>
      </c>
      <c r="D79" s="4">
        <v>3</v>
      </c>
      <c r="E79" s="4">
        <v>8</v>
      </c>
      <c r="F79" s="4">
        <v>17</v>
      </c>
      <c r="G79" s="4">
        <v>15</v>
      </c>
      <c r="H79" s="4">
        <v>19</v>
      </c>
      <c r="I79" s="4">
        <v>17</v>
      </c>
      <c r="J79" s="4">
        <v>13</v>
      </c>
      <c r="K79" s="227"/>
      <c r="L79" s="4" t="s">
        <v>16</v>
      </c>
      <c r="M79" s="4">
        <v>7</v>
      </c>
      <c r="N79" s="4">
        <v>9</v>
      </c>
      <c r="O79" s="4">
        <v>6</v>
      </c>
      <c r="P79" s="4">
        <v>10</v>
      </c>
      <c r="Q79" s="4">
        <v>10</v>
      </c>
      <c r="R79" s="4">
        <v>13</v>
      </c>
      <c r="S79" s="4">
        <v>3</v>
      </c>
      <c r="T79" s="50">
        <v>4</v>
      </c>
      <c r="U79" s="60">
        <f>SUM(M79:T79,E79:J79)</f>
        <v>151</v>
      </c>
    </row>
    <row r="80" spans="1:21" ht="18.75" customHeight="1">
      <c r="A80" s="230"/>
      <c r="B80" s="4" t="s">
        <v>17</v>
      </c>
      <c r="C80" s="4">
        <v>7</v>
      </c>
      <c r="D80" s="4">
        <v>12</v>
      </c>
      <c r="E80" s="4">
        <v>6</v>
      </c>
      <c r="F80" s="4">
        <v>6</v>
      </c>
      <c r="G80" s="4">
        <v>10</v>
      </c>
      <c r="H80" s="4">
        <v>18</v>
      </c>
      <c r="I80" s="4">
        <v>8</v>
      </c>
      <c r="J80" s="4">
        <v>10</v>
      </c>
      <c r="K80" s="227"/>
      <c r="L80" s="4" t="s">
        <v>17</v>
      </c>
      <c r="M80" s="4">
        <v>7</v>
      </c>
      <c r="N80" s="4">
        <v>4</v>
      </c>
      <c r="O80" s="4">
        <v>12</v>
      </c>
      <c r="P80" s="4">
        <v>6</v>
      </c>
      <c r="Q80" s="4">
        <v>8</v>
      </c>
      <c r="R80" s="4">
        <v>10</v>
      </c>
      <c r="S80" s="4">
        <v>8</v>
      </c>
      <c r="T80" s="50">
        <v>4</v>
      </c>
      <c r="U80" s="60">
        <f>SUM(M80:T80,E80:J80)</f>
        <v>117</v>
      </c>
    </row>
    <row r="81" spans="1:21" ht="18.75" customHeight="1">
      <c r="A81" s="230"/>
      <c r="B81" s="46" t="s">
        <v>18</v>
      </c>
      <c r="C81" s="46">
        <v>22</v>
      </c>
      <c r="D81" s="46">
        <v>8</v>
      </c>
      <c r="E81" s="46">
        <v>8</v>
      </c>
      <c r="F81" s="46">
        <v>4</v>
      </c>
      <c r="G81" s="46">
        <v>6</v>
      </c>
      <c r="H81" s="46">
        <v>16</v>
      </c>
      <c r="I81" s="46">
        <v>17</v>
      </c>
      <c r="J81" s="46">
        <v>13</v>
      </c>
      <c r="K81" s="227"/>
      <c r="L81" s="46" t="s">
        <v>18</v>
      </c>
      <c r="M81" s="46">
        <v>7</v>
      </c>
      <c r="N81" s="46">
        <v>7</v>
      </c>
      <c r="O81" s="46">
        <v>4</v>
      </c>
      <c r="P81" s="46">
        <v>7</v>
      </c>
      <c r="Q81" s="46">
        <v>15</v>
      </c>
      <c r="R81" s="46">
        <v>13</v>
      </c>
      <c r="S81" s="46">
        <v>10</v>
      </c>
      <c r="T81" s="69">
        <v>3</v>
      </c>
      <c r="U81" s="66">
        <f>SUM(M81:T81,E81:J81)</f>
        <v>130</v>
      </c>
    </row>
    <row r="82" spans="1:21" ht="18.75" customHeight="1">
      <c r="A82" s="193" t="s">
        <v>10</v>
      </c>
      <c r="B82" s="63" t="s">
        <v>13</v>
      </c>
      <c r="C82" s="63">
        <v>25</v>
      </c>
      <c r="D82" s="63">
        <v>16</v>
      </c>
      <c r="E82" s="63">
        <v>22</v>
      </c>
      <c r="F82" s="63">
        <v>25</v>
      </c>
      <c r="G82" s="63">
        <v>32</v>
      </c>
      <c r="H82" s="63">
        <v>30</v>
      </c>
      <c r="I82" s="63">
        <v>31</v>
      </c>
      <c r="J82" s="63">
        <v>29</v>
      </c>
      <c r="K82" s="194" t="s">
        <v>10</v>
      </c>
      <c r="L82" s="63" t="s">
        <v>13</v>
      </c>
      <c r="M82" s="63">
        <v>18</v>
      </c>
      <c r="N82" s="63">
        <v>25</v>
      </c>
      <c r="O82" s="63">
        <v>29</v>
      </c>
      <c r="P82" s="63">
        <v>26</v>
      </c>
      <c r="Q82" s="63">
        <v>35</v>
      </c>
      <c r="R82" s="63">
        <v>29</v>
      </c>
      <c r="S82" s="63">
        <v>22</v>
      </c>
      <c r="T82" s="68">
        <v>18</v>
      </c>
      <c r="U82" s="59">
        <f t="shared" ref="U82:U93" si="20">SUM(M82:T82,C82:J82)</f>
        <v>412</v>
      </c>
    </row>
    <row r="83" spans="1:21" ht="18.75" customHeight="1">
      <c r="A83" s="230"/>
      <c r="B83" s="6" t="s">
        <v>14</v>
      </c>
      <c r="C83" s="6">
        <v>7</v>
      </c>
      <c r="D83" s="6">
        <v>6</v>
      </c>
      <c r="E83" s="6">
        <v>6</v>
      </c>
      <c r="F83" s="6">
        <v>12</v>
      </c>
      <c r="G83" s="6">
        <v>10</v>
      </c>
      <c r="H83" s="6">
        <v>15</v>
      </c>
      <c r="I83" s="6">
        <v>11</v>
      </c>
      <c r="J83" s="6">
        <v>15</v>
      </c>
      <c r="K83" s="200"/>
      <c r="L83" s="6" t="s">
        <v>14</v>
      </c>
      <c r="M83" s="6">
        <v>13</v>
      </c>
      <c r="N83" s="6">
        <v>11</v>
      </c>
      <c r="O83" s="6">
        <v>7</v>
      </c>
      <c r="P83" s="6">
        <v>3</v>
      </c>
      <c r="Q83" s="6">
        <v>5</v>
      </c>
      <c r="R83" s="6">
        <v>11</v>
      </c>
      <c r="S83" s="6">
        <v>3</v>
      </c>
      <c r="T83" s="51">
        <v>3</v>
      </c>
      <c r="U83" s="60">
        <f t="shared" si="20"/>
        <v>138</v>
      </c>
    </row>
    <row r="84" spans="1:21" ht="18.75" customHeight="1">
      <c r="A84" s="230"/>
      <c r="B84" s="6" t="s">
        <v>15</v>
      </c>
      <c r="C84" s="6">
        <v>15</v>
      </c>
      <c r="D84" s="6">
        <v>14</v>
      </c>
      <c r="E84" s="6">
        <v>13</v>
      </c>
      <c r="F84" s="6">
        <v>19</v>
      </c>
      <c r="G84" s="6">
        <v>25</v>
      </c>
      <c r="H84" s="6">
        <v>22</v>
      </c>
      <c r="I84" s="6">
        <v>16</v>
      </c>
      <c r="J84" s="6">
        <v>15</v>
      </c>
      <c r="K84" s="200"/>
      <c r="L84" s="6" t="s">
        <v>15</v>
      </c>
      <c r="M84" s="6">
        <v>20</v>
      </c>
      <c r="N84" s="6">
        <v>18</v>
      </c>
      <c r="O84" s="6">
        <v>24</v>
      </c>
      <c r="P84" s="6">
        <v>33</v>
      </c>
      <c r="Q84" s="6">
        <v>29</v>
      </c>
      <c r="R84" s="6">
        <v>37</v>
      </c>
      <c r="S84" s="6">
        <v>25</v>
      </c>
      <c r="T84" s="51">
        <v>26</v>
      </c>
      <c r="U84" s="60">
        <f t="shared" si="20"/>
        <v>351</v>
      </c>
    </row>
    <row r="85" spans="1:21" ht="18.75" customHeight="1">
      <c r="A85" s="230"/>
      <c r="B85" s="6" t="s">
        <v>16</v>
      </c>
      <c r="C85" s="6">
        <v>6</v>
      </c>
      <c r="D85" s="6">
        <v>5</v>
      </c>
      <c r="E85" s="6">
        <v>9</v>
      </c>
      <c r="F85" s="6">
        <v>23</v>
      </c>
      <c r="G85" s="6">
        <v>15</v>
      </c>
      <c r="H85" s="6">
        <v>14</v>
      </c>
      <c r="I85" s="6">
        <v>15</v>
      </c>
      <c r="J85" s="6">
        <v>9</v>
      </c>
      <c r="K85" s="200"/>
      <c r="L85" s="6" t="s">
        <v>16</v>
      </c>
      <c r="M85" s="6">
        <v>11</v>
      </c>
      <c r="N85" s="6">
        <v>12</v>
      </c>
      <c r="O85" s="6">
        <v>10</v>
      </c>
      <c r="P85" s="6">
        <v>5</v>
      </c>
      <c r="Q85" s="6">
        <v>5</v>
      </c>
      <c r="R85" s="6">
        <v>3</v>
      </c>
      <c r="S85" s="6">
        <v>4</v>
      </c>
      <c r="T85" s="51">
        <v>5</v>
      </c>
      <c r="U85" s="60">
        <f t="shared" si="20"/>
        <v>151</v>
      </c>
    </row>
    <row r="86" spans="1:21" ht="18.75" customHeight="1">
      <c r="A86" s="230"/>
      <c r="B86" s="6" t="s">
        <v>17</v>
      </c>
      <c r="C86" s="6">
        <v>9</v>
      </c>
      <c r="D86" s="6">
        <v>7</v>
      </c>
      <c r="E86" s="6">
        <v>6</v>
      </c>
      <c r="F86" s="6">
        <v>9</v>
      </c>
      <c r="G86" s="6">
        <v>12</v>
      </c>
      <c r="H86" s="6">
        <v>14</v>
      </c>
      <c r="I86" s="6">
        <v>4</v>
      </c>
      <c r="J86" s="6">
        <v>11</v>
      </c>
      <c r="K86" s="200"/>
      <c r="L86" s="6" t="s">
        <v>17</v>
      </c>
      <c r="M86" s="6">
        <v>5</v>
      </c>
      <c r="N86" s="6">
        <v>6</v>
      </c>
      <c r="O86" s="6">
        <v>7</v>
      </c>
      <c r="P86" s="6">
        <v>5</v>
      </c>
      <c r="Q86" s="6">
        <v>10</v>
      </c>
      <c r="R86" s="6">
        <v>6</v>
      </c>
      <c r="S86" s="6">
        <v>4</v>
      </c>
      <c r="T86" s="51">
        <v>4</v>
      </c>
      <c r="U86" s="60">
        <f t="shared" si="20"/>
        <v>119</v>
      </c>
    </row>
    <row r="87" spans="1:21" ht="18.75" customHeight="1">
      <c r="A87" s="230"/>
      <c r="B87" s="47" t="s">
        <v>18</v>
      </c>
      <c r="C87" s="47">
        <v>17</v>
      </c>
      <c r="D87" s="47">
        <v>6</v>
      </c>
      <c r="E87" s="47">
        <v>5</v>
      </c>
      <c r="F87" s="47">
        <v>5</v>
      </c>
      <c r="G87" s="47">
        <v>10</v>
      </c>
      <c r="H87" s="47">
        <v>10</v>
      </c>
      <c r="I87" s="47">
        <v>9</v>
      </c>
      <c r="J87" s="47">
        <v>2</v>
      </c>
      <c r="K87" s="200"/>
      <c r="L87" s="47" t="s">
        <v>18</v>
      </c>
      <c r="M87" s="47">
        <v>4</v>
      </c>
      <c r="N87" s="47">
        <v>3</v>
      </c>
      <c r="O87" s="47">
        <v>3</v>
      </c>
      <c r="P87" s="47">
        <v>4</v>
      </c>
      <c r="Q87" s="47">
        <v>14</v>
      </c>
      <c r="R87" s="47">
        <v>14</v>
      </c>
      <c r="S87" s="47">
        <v>11</v>
      </c>
      <c r="T87" s="70">
        <v>5</v>
      </c>
      <c r="U87" s="66">
        <f t="shared" si="20"/>
        <v>122</v>
      </c>
    </row>
    <row r="88" spans="1:21" ht="18.75" customHeight="1">
      <c r="A88" s="195" t="s">
        <v>11</v>
      </c>
      <c r="B88" s="56" t="s">
        <v>13</v>
      </c>
      <c r="C88" s="56">
        <v>8</v>
      </c>
      <c r="D88" s="56">
        <v>16</v>
      </c>
      <c r="E88" s="56">
        <v>17</v>
      </c>
      <c r="F88" s="56">
        <v>25</v>
      </c>
      <c r="G88" s="56">
        <v>40</v>
      </c>
      <c r="H88" s="56">
        <v>39</v>
      </c>
      <c r="I88" s="56">
        <v>33</v>
      </c>
      <c r="J88" s="56">
        <v>16</v>
      </c>
      <c r="K88" s="196" t="s">
        <v>11</v>
      </c>
      <c r="L88" s="56" t="s">
        <v>13</v>
      </c>
      <c r="M88" s="56">
        <v>23</v>
      </c>
      <c r="N88" s="56">
        <v>16</v>
      </c>
      <c r="O88" s="56">
        <v>23</v>
      </c>
      <c r="P88" s="56">
        <v>22</v>
      </c>
      <c r="Q88" s="56">
        <v>23</v>
      </c>
      <c r="R88" s="56">
        <v>16</v>
      </c>
      <c r="S88" s="56">
        <v>20</v>
      </c>
      <c r="T88" s="67">
        <v>15</v>
      </c>
      <c r="U88" s="59">
        <f t="shared" si="20"/>
        <v>352</v>
      </c>
    </row>
    <row r="89" spans="1:21" ht="18.75" customHeight="1">
      <c r="A89" s="230"/>
      <c r="B89" s="4" t="s">
        <v>14</v>
      </c>
      <c r="C89" s="4">
        <v>5</v>
      </c>
      <c r="D89" s="4">
        <v>4</v>
      </c>
      <c r="E89" s="4">
        <v>11</v>
      </c>
      <c r="F89" s="4">
        <v>12</v>
      </c>
      <c r="G89" s="4">
        <v>18</v>
      </c>
      <c r="H89" s="4">
        <v>22</v>
      </c>
      <c r="I89" s="4">
        <v>21</v>
      </c>
      <c r="J89" s="4">
        <v>14</v>
      </c>
      <c r="K89" s="200"/>
      <c r="L89" s="4" t="s">
        <v>14</v>
      </c>
      <c r="M89" s="4">
        <v>13</v>
      </c>
      <c r="N89" s="4">
        <v>10</v>
      </c>
      <c r="O89" s="4">
        <v>14</v>
      </c>
      <c r="P89" s="4">
        <v>9</v>
      </c>
      <c r="Q89" s="4">
        <v>5</v>
      </c>
      <c r="R89" s="4">
        <v>9</v>
      </c>
      <c r="S89" s="4">
        <v>4</v>
      </c>
      <c r="T89" s="50">
        <v>0</v>
      </c>
      <c r="U89" s="60">
        <f t="shared" si="20"/>
        <v>171</v>
      </c>
    </row>
    <row r="90" spans="1:21" ht="18.75" customHeight="1">
      <c r="A90" s="230"/>
      <c r="B90" s="4" t="s">
        <v>15</v>
      </c>
      <c r="C90" s="4">
        <v>11</v>
      </c>
      <c r="D90" s="4">
        <v>10</v>
      </c>
      <c r="E90" s="4">
        <v>10</v>
      </c>
      <c r="F90" s="4">
        <v>13</v>
      </c>
      <c r="G90" s="4">
        <v>19</v>
      </c>
      <c r="H90" s="4">
        <v>30</v>
      </c>
      <c r="I90" s="4">
        <v>25</v>
      </c>
      <c r="J90" s="4">
        <v>13</v>
      </c>
      <c r="K90" s="200"/>
      <c r="L90" s="4" t="s">
        <v>15</v>
      </c>
      <c r="M90" s="4">
        <v>12</v>
      </c>
      <c r="N90" s="4">
        <v>22</v>
      </c>
      <c r="O90" s="4">
        <v>17</v>
      </c>
      <c r="P90" s="4">
        <v>13</v>
      </c>
      <c r="Q90" s="4">
        <v>17</v>
      </c>
      <c r="R90" s="4">
        <v>26</v>
      </c>
      <c r="S90" s="4">
        <v>17</v>
      </c>
      <c r="T90" s="50">
        <v>15</v>
      </c>
      <c r="U90" s="60">
        <f t="shared" si="20"/>
        <v>270</v>
      </c>
    </row>
    <row r="91" spans="1:21" ht="18.75" customHeight="1">
      <c r="A91" s="230"/>
      <c r="B91" s="4" t="s">
        <v>16</v>
      </c>
      <c r="C91" s="4">
        <v>2</v>
      </c>
      <c r="D91" s="4">
        <v>4</v>
      </c>
      <c r="E91" s="4">
        <v>10</v>
      </c>
      <c r="F91" s="4">
        <v>16</v>
      </c>
      <c r="G91" s="4">
        <v>11</v>
      </c>
      <c r="H91" s="4">
        <v>16</v>
      </c>
      <c r="I91" s="4">
        <v>16</v>
      </c>
      <c r="J91" s="4">
        <v>11</v>
      </c>
      <c r="K91" s="200"/>
      <c r="L91" s="4" t="s">
        <v>16</v>
      </c>
      <c r="M91" s="4">
        <v>6</v>
      </c>
      <c r="N91" s="4">
        <v>9</v>
      </c>
      <c r="O91" s="4">
        <v>6</v>
      </c>
      <c r="P91" s="4">
        <v>5</v>
      </c>
      <c r="Q91" s="4">
        <v>6</v>
      </c>
      <c r="R91" s="4">
        <v>7</v>
      </c>
      <c r="S91" s="4">
        <v>4</v>
      </c>
      <c r="T91" s="50">
        <v>2</v>
      </c>
      <c r="U91" s="60">
        <f t="shared" si="20"/>
        <v>131</v>
      </c>
    </row>
    <row r="92" spans="1:21" ht="15.75" customHeight="1">
      <c r="A92" s="230"/>
      <c r="B92" s="4" t="s">
        <v>17</v>
      </c>
      <c r="C92" s="4">
        <v>1</v>
      </c>
      <c r="D92" s="4">
        <v>4</v>
      </c>
      <c r="E92" s="4">
        <v>7</v>
      </c>
      <c r="F92" s="4">
        <v>6</v>
      </c>
      <c r="G92" s="4">
        <v>11</v>
      </c>
      <c r="H92" s="4">
        <v>9</v>
      </c>
      <c r="I92" s="4">
        <v>9</v>
      </c>
      <c r="J92" s="4">
        <v>6</v>
      </c>
      <c r="K92" s="200"/>
      <c r="L92" s="4" t="s">
        <v>17</v>
      </c>
      <c r="M92" s="4">
        <v>7</v>
      </c>
      <c r="N92" s="4">
        <v>10</v>
      </c>
      <c r="O92" s="4">
        <v>4</v>
      </c>
      <c r="P92" s="4">
        <v>8</v>
      </c>
      <c r="Q92" s="4">
        <v>3</v>
      </c>
      <c r="R92" s="4">
        <v>5</v>
      </c>
      <c r="S92" s="4">
        <v>2</v>
      </c>
      <c r="T92" s="50">
        <v>3</v>
      </c>
      <c r="U92" s="60">
        <f t="shared" si="20"/>
        <v>95</v>
      </c>
    </row>
    <row r="93" spans="1:21" ht="15.75" customHeight="1">
      <c r="A93" s="231"/>
      <c r="B93" s="61" t="s">
        <v>18</v>
      </c>
      <c r="C93" s="61">
        <v>4</v>
      </c>
      <c r="D93" s="61">
        <v>2</v>
      </c>
      <c r="E93" s="61">
        <v>3</v>
      </c>
      <c r="F93" s="61">
        <v>4</v>
      </c>
      <c r="G93" s="61">
        <v>8</v>
      </c>
      <c r="H93" s="61">
        <v>15</v>
      </c>
      <c r="I93" s="61">
        <v>16</v>
      </c>
      <c r="J93" s="61">
        <v>6</v>
      </c>
      <c r="K93" s="201"/>
      <c r="L93" s="61" t="s">
        <v>18</v>
      </c>
      <c r="M93" s="61">
        <v>10</v>
      </c>
      <c r="N93" s="61">
        <v>6</v>
      </c>
      <c r="O93" s="61">
        <v>10</v>
      </c>
      <c r="P93" s="61">
        <v>6</v>
      </c>
      <c r="Q93" s="61">
        <v>7</v>
      </c>
      <c r="R93" s="61">
        <v>8</v>
      </c>
      <c r="S93" s="61">
        <v>9</v>
      </c>
      <c r="T93" s="88">
        <v>3</v>
      </c>
      <c r="U93" s="62">
        <f t="shared" si="20"/>
        <v>117</v>
      </c>
    </row>
    <row r="95" spans="1:21" ht="15.75" customHeight="1">
      <c r="A95" s="1"/>
      <c r="B95" s="1"/>
      <c r="C95" s="183" t="s">
        <v>0</v>
      </c>
      <c r="D95" s="225"/>
      <c r="E95" s="225"/>
      <c r="F95" s="225"/>
      <c r="G95" s="226"/>
      <c r="H95" s="2"/>
      <c r="I95" s="1"/>
    </row>
    <row r="96" spans="1:21" ht="15.75" customHeight="1">
      <c r="A96" s="1"/>
      <c r="B96" s="183" t="s">
        <v>1</v>
      </c>
      <c r="C96" s="225"/>
      <c r="D96" s="226"/>
      <c r="E96" s="1"/>
      <c r="F96" s="202" t="s">
        <v>66</v>
      </c>
      <c r="G96" s="233"/>
      <c r="H96" s="234"/>
      <c r="I96" s="1"/>
      <c r="K96" s="1"/>
      <c r="L96" s="183" t="s">
        <v>26</v>
      </c>
      <c r="M96" s="225"/>
      <c r="N96" s="226"/>
      <c r="O96" s="1"/>
      <c r="P96" s="184" t="s">
        <v>66</v>
      </c>
      <c r="Q96" s="225"/>
      <c r="R96" s="226"/>
      <c r="S96" s="1"/>
    </row>
    <row r="97" spans="1:40" ht="15.75" customHeight="1">
      <c r="A97" s="54" t="s">
        <v>35</v>
      </c>
      <c r="B97" s="54" t="s">
        <v>4</v>
      </c>
      <c r="C97" s="54" t="s">
        <v>12</v>
      </c>
      <c r="D97" s="54" t="s">
        <v>19</v>
      </c>
      <c r="E97" s="54" t="s">
        <v>20</v>
      </c>
      <c r="F97" s="54" t="s">
        <v>21</v>
      </c>
      <c r="G97" s="54" t="s">
        <v>22</v>
      </c>
      <c r="H97" s="54" t="s">
        <v>23</v>
      </c>
      <c r="I97" s="54" t="s">
        <v>24</v>
      </c>
      <c r="J97" s="54" t="s">
        <v>25</v>
      </c>
      <c r="K97" s="54" t="s">
        <v>35</v>
      </c>
      <c r="L97" s="54" t="s">
        <v>4</v>
      </c>
      <c r="M97" s="54" t="s">
        <v>27</v>
      </c>
      <c r="N97" s="54" t="s">
        <v>28</v>
      </c>
      <c r="O97" s="54" t="s">
        <v>29</v>
      </c>
      <c r="P97" s="54" t="s">
        <v>30</v>
      </c>
      <c r="Q97" s="54" t="s">
        <v>31</v>
      </c>
      <c r="R97" s="54" t="s">
        <v>32</v>
      </c>
      <c r="S97" s="54" t="s">
        <v>33</v>
      </c>
      <c r="T97" s="54" t="s">
        <v>34</v>
      </c>
      <c r="U97" s="54" t="s">
        <v>55</v>
      </c>
    </row>
    <row r="98" spans="1:40" ht="15.75" customHeight="1">
      <c r="A98" s="195" t="s">
        <v>5</v>
      </c>
      <c r="B98" s="56" t="s">
        <v>13</v>
      </c>
      <c r="C98" s="57"/>
      <c r="D98" s="57"/>
      <c r="E98" s="56">
        <v>11</v>
      </c>
      <c r="F98" s="56">
        <v>33</v>
      </c>
      <c r="G98" s="56">
        <v>38</v>
      </c>
      <c r="H98" s="56">
        <v>40</v>
      </c>
      <c r="I98" s="56">
        <v>30</v>
      </c>
      <c r="J98" s="56">
        <v>36</v>
      </c>
      <c r="K98" s="196" t="s">
        <v>5</v>
      </c>
      <c r="L98" s="56" t="s">
        <v>13</v>
      </c>
      <c r="M98" s="56">
        <v>13</v>
      </c>
      <c r="N98" s="56">
        <v>24</v>
      </c>
      <c r="O98" s="56">
        <v>28</v>
      </c>
      <c r="P98" s="56">
        <v>28</v>
      </c>
      <c r="Q98" s="56">
        <v>15</v>
      </c>
      <c r="R98" s="57"/>
      <c r="S98" s="57"/>
      <c r="T98" s="58"/>
      <c r="U98" s="59">
        <f>SUM(M98:T98,C98:J98)</f>
        <v>296</v>
      </c>
      <c r="W98" s="197" t="s">
        <v>66</v>
      </c>
      <c r="X98" s="198"/>
      <c r="AG98" s="190" t="s">
        <v>58</v>
      </c>
      <c r="AH98" s="191"/>
      <c r="AI98" s="191"/>
      <c r="AJ98" s="191"/>
      <c r="AK98" s="191"/>
      <c r="AL98" s="191"/>
      <c r="AM98" s="191"/>
      <c r="AN98" s="192"/>
    </row>
    <row r="99" spans="1:40" ht="15.75" customHeight="1">
      <c r="A99" s="230"/>
      <c r="B99" s="4" t="s">
        <v>14</v>
      </c>
      <c r="C99" s="5"/>
      <c r="D99" s="5"/>
      <c r="E99" s="4">
        <v>5</v>
      </c>
      <c r="F99" s="4">
        <v>8</v>
      </c>
      <c r="G99" s="4">
        <v>6</v>
      </c>
      <c r="H99" s="4">
        <v>6</v>
      </c>
      <c r="I99" s="4">
        <v>6</v>
      </c>
      <c r="J99" s="4">
        <v>10</v>
      </c>
      <c r="K99" s="227"/>
      <c r="L99" s="4" t="s">
        <v>14</v>
      </c>
      <c r="M99" s="4">
        <v>7</v>
      </c>
      <c r="N99" s="4">
        <v>3</v>
      </c>
      <c r="O99" s="4">
        <v>10</v>
      </c>
      <c r="P99" s="4">
        <v>4</v>
      </c>
      <c r="Q99" s="4">
        <v>9</v>
      </c>
      <c r="R99" s="5"/>
      <c r="S99" s="5"/>
      <c r="T99" s="49"/>
      <c r="U99" s="60">
        <f>SUM(M99:Q99,E99:J99)</f>
        <v>74</v>
      </c>
      <c r="W99" s="55" t="s">
        <v>5</v>
      </c>
      <c r="X99" s="48">
        <f>SUM(U98:U103)</f>
        <v>849</v>
      </c>
      <c r="AG99" s="98" t="s">
        <v>4</v>
      </c>
      <c r="AH99" s="98" t="s">
        <v>5</v>
      </c>
      <c r="AI99" s="98" t="s">
        <v>6</v>
      </c>
      <c r="AJ99" s="98" t="s">
        <v>7</v>
      </c>
      <c r="AK99" s="98" t="s">
        <v>8</v>
      </c>
      <c r="AL99" s="98" t="s">
        <v>9</v>
      </c>
      <c r="AM99" s="98" t="s">
        <v>10</v>
      </c>
      <c r="AN99" s="98" t="s">
        <v>11</v>
      </c>
    </row>
    <row r="100" spans="1:40" ht="15.75" customHeight="1">
      <c r="A100" s="230"/>
      <c r="B100" s="4" t="s">
        <v>15</v>
      </c>
      <c r="C100" s="5"/>
      <c r="D100" s="5"/>
      <c r="E100" s="4">
        <v>6</v>
      </c>
      <c r="F100" s="4">
        <v>17</v>
      </c>
      <c r="G100" s="4">
        <v>23</v>
      </c>
      <c r="H100" s="4">
        <v>24</v>
      </c>
      <c r="I100" s="4">
        <v>20</v>
      </c>
      <c r="J100" s="4">
        <v>17</v>
      </c>
      <c r="K100" s="227"/>
      <c r="L100" s="4" t="s">
        <v>15</v>
      </c>
      <c r="M100" s="4">
        <v>36</v>
      </c>
      <c r="N100" s="4">
        <v>26</v>
      </c>
      <c r="O100" s="4">
        <v>22</v>
      </c>
      <c r="P100" s="4">
        <v>20</v>
      </c>
      <c r="Q100" s="4">
        <v>13</v>
      </c>
      <c r="R100" s="5"/>
      <c r="S100" s="5"/>
      <c r="T100" s="49"/>
      <c r="U100" s="60">
        <f t="shared" ref="U100:U109" si="21">SUM(M100:Q100,E100:J100)</f>
        <v>224</v>
      </c>
      <c r="W100" s="55" t="s">
        <v>6</v>
      </c>
      <c r="X100" s="48">
        <f>SUM(U104:U109)</f>
        <v>496</v>
      </c>
      <c r="AG100" s="79" t="s">
        <v>13</v>
      </c>
      <c r="AH100" s="79">
        <f t="shared" ref="AH100:AH105" si="22">U98</f>
        <v>296</v>
      </c>
      <c r="AI100" s="79">
        <f t="shared" ref="AI100:AI105" si="23">U104</f>
        <v>170</v>
      </c>
      <c r="AJ100" s="79">
        <f t="shared" ref="AJ100:AJ105" si="24">U110</f>
        <v>392</v>
      </c>
      <c r="AK100" s="79">
        <f t="shared" ref="AK100:AK105" si="25">U116</f>
        <v>400</v>
      </c>
      <c r="AL100" s="79">
        <f t="shared" ref="AL100:AL105" si="26">U122</f>
        <v>402</v>
      </c>
      <c r="AM100" s="79">
        <f t="shared" ref="AM100:AM105" si="27">U128</f>
        <v>344</v>
      </c>
      <c r="AN100" s="79">
        <f t="shared" ref="AN100:AN105" si="28">U134</f>
        <v>288</v>
      </c>
    </row>
    <row r="101" spans="1:40" ht="15.75" customHeight="1">
      <c r="A101" s="230"/>
      <c r="B101" s="4" t="s">
        <v>16</v>
      </c>
      <c r="C101" s="5"/>
      <c r="D101" s="5"/>
      <c r="E101" s="4">
        <v>5</v>
      </c>
      <c r="F101" s="4">
        <v>10</v>
      </c>
      <c r="G101" s="4">
        <v>5</v>
      </c>
      <c r="H101" s="4">
        <v>9</v>
      </c>
      <c r="I101" s="4">
        <v>10</v>
      </c>
      <c r="J101" s="4">
        <v>16</v>
      </c>
      <c r="K101" s="227"/>
      <c r="L101" s="4" t="s">
        <v>16</v>
      </c>
      <c r="M101" s="4">
        <v>14</v>
      </c>
      <c r="N101" s="4">
        <v>8</v>
      </c>
      <c r="O101" s="4">
        <v>8</v>
      </c>
      <c r="P101" s="4">
        <v>8</v>
      </c>
      <c r="Q101" s="4">
        <v>5</v>
      </c>
      <c r="R101" s="5"/>
      <c r="S101" s="5"/>
      <c r="T101" s="49"/>
      <c r="U101" s="60">
        <f t="shared" si="21"/>
        <v>98</v>
      </c>
      <c r="W101" s="55" t="s">
        <v>7</v>
      </c>
      <c r="X101" s="48">
        <f>SUM(U110:U115)</f>
        <v>1226</v>
      </c>
      <c r="AG101" s="97" t="s">
        <v>14</v>
      </c>
      <c r="AH101" s="97">
        <f t="shared" si="22"/>
        <v>74</v>
      </c>
      <c r="AI101" s="97">
        <f t="shared" si="23"/>
        <v>63</v>
      </c>
      <c r="AJ101" s="97">
        <f t="shared" si="24"/>
        <v>137</v>
      </c>
      <c r="AK101" s="97">
        <f t="shared" si="25"/>
        <v>160</v>
      </c>
      <c r="AL101" s="97">
        <f t="shared" si="26"/>
        <v>155</v>
      </c>
      <c r="AM101" s="97">
        <f t="shared" si="27"/>
        <v>129</v>
      </c>
      <c r="AN101" s="97">
        <f t="shared" si="28"/>
        <v>140</v>
      </c>
    </row>
    <row r="102" spans="1:40" ht="15.75" customHeight="1">
      <c r="A102" s="230"/>
      <c r="B102" s="4" t="s">
        <v>17</v>
      </c>
      <c r="C102" s="5"/>
      <c r="D102" s="5"/>
      <c r="E102" s="4">
        <v>3</v>
      </c>
      <c r="F102" s="4">
        <v>6</v>
      </c>
      <c r="G102" s="4">
        <v>9</v>
      </c>
      <c r="H102" s="4">
        <v>9</v>
      </c>
      <c r="I102" s="4">
        <v>6</v>
      </c>
      <c r="J102" s="4">
        <v>16</v>
      </c>
      <c r="K102" s="227"/>
      <c r="L102" s="4" t="s">
        <v>17</v>
      </c>
      <c r="M102" s="4">
        <v>9</v>
      </c>
      <c r="N102" s="4">
        <v>8</v>
      </c>
      <c r="O102" s="4">
        <v>5</v>
      </c>
      <c r="P102" s="4">
        <v>6</v>
      </c>
      <c r="Q102" s="4">
        <v>7</v>
      </c>
      <c r="R102" s="5"/>
      <c r="S102" s="5"/>
      <c r="T102" s="49"/>
      <c r="U102" s="60">
        <f t="shared" si="21"/>
        <v>84</v>
      </c>
      <c r="W102" s="55" t="s">
        <v>61</v>
      </c>
      <c r="X102" s="48">
        <f>SUM(U116:U121)</f>
        <v>1201</v>
      </c>
      <c r="AG102" s="79" t="s">
        <v>15</v>
      </c>
      <c r="AH102" s="79">
        <f t="shared" si="22"/>
        <v>224</v>
      </c>
      <c r="AI102" s="79">
        <f t="shared" si="23"/>
        <v>110</v>
      </c>
      <c r="AJ102" s="79">
        <f t="shared" si="24"/>
        <v>302</v>
      </c>
      <c r="AK102" s="79">
        <f t="shared" si="25"/>
        <v>284</v>
      </c>
      <c r="AL102" s="79">
        <f t="shared" si="26"/>
        <v>313</v>
      </c>
      <c r="AM102" s="79">
        <f t="shared" si="27"/>
        <v>249</v>
      </c>
      <c r="AN102" s="79">
        <f t="shared" si="28"/>
        <v>239</v>
      </c>
    </row>
    <row r="103" spans="1:40" ht="15.75" customHeight="1">
      <c r="A103" s="230"/>
      <c r="B103" s="46" t="s">
        <v>18</v>
      </c>
      <c r="C103" s="64"/>
      <c r="D103" s="64"/>
      <c r="E103" s="46">
        <v>5</v>
      </c>
      <c r="F103" s="46">
        <v>5</v>
      </c>
      <c r="G103" s="46">
        <v>5</v>
      </c>
      <c r="H103" s="46">
        <v>7</v>
      </c>
      <c r="I103" s="46">
        <v>6</v>
      </c>
      <c r="J103" s="46">
        <v>15</v>
      </c>
      <c r="K103" s="227"/>
      <c r="L103" s="46" t="s">
        <v>18</v>
      </c>
      <c r="M103" s="46">
        <v>7</v>
      </c>
      <c r="N103" s="46">
        <v>8</v>
      </c>
      <c r="O103" s="46">
        <v>3</v>
      </c>
      <c r="P103" s="46">
        <v>10</v>
      </c>
      <c r="Q103" s="46">
        <v>2</v>
      </c>
      <c r="R103" s="64"/>
      <c r="S103" s="64"/>
      <c r="T103" s="65"/>
      <c r="U103" s="66">
        <f t="shared" si="21"/>
        <v>73</v>
      </c>
      <c r="W103" s="55" t="s">
        <v>9</v>
      </c>
      <c r="X103" s="48">
        <f>SUM(U122:U127)</f>
        <v>1279</v>
      </c>
      <c r="AG103" s="97" t="s">
        <v>16</v>
      </c>
      <c r="AH103" s="97">
        <f t="shared" si="22"/>
        <v>98</v>
      </c>
      <c r="AI103" s="97">
        <f t="shared" si="23"/>
        <v>44</v>
      </c>
      <c r="AJ103" s="97">
        <f t="shared" si="24"/>
        <v>140</v>
      </c>
      <c r="AK103" s="97">
        <f t="shared" si="25"/>
        <v>137</v>
      </c>
      <c r="AL103" s="97">
        <f t="shared" si="26"/>
        <v>154</v>
      </c>
      <c r="AM103" s="97">
        <f t="shared" si="27"/>
        <v>114</v>
      </c>
      <c r="AN103" s="97">
        <f t="shared" si="28"/>
        <v>117</v>
      </c>
    </row>
    <row r="104" spans="1:40" ht="15.75" customHeight="1">
      <c r="A104" s="193" t="s">
        <v>6</v>
      </c>
      <c r="B104" s="63" t="s">
        <v>13</v>
      </c>
      <c r="C104" s="57"/>
      <c r="D104" s="57"/>
      <c r="E104" s="57"/>
      <c r="F104" s="63">
        <v>20</v>
      </c>
      <c r="G104" s="63">
        <v>32</v>
      </c>
      <c r="H104" s="63">
        <v>29</v>
      </c>
      <c r="I104" s="63">
        <v>24</v>
      </c>
      <c r="J104" s="63">
        <v>16</v>
      </c>
      <c r="K104" s="194" t="s">
        <v>6</v>
      </c>
      <c r="L104" s="63" t="s">
        <v>13</v>
      </c>
      <c r="M104" s="63">
        <v>12</v>
      </c>
      <c r="N104" s="63">
        <v>10</v>
      </c>
      <c r="O104" s="63">
        <v>15</v>
      </c>
      <c r="P104" s="63">
        <v>12</v>
      </c>
      <c r="Q104" s="57"/>
      <c r="R104" s="57"/>
      <c r="S104" s="57"/>
      <c r="T104" s="58"/>
      <c r="U104" s="59">
        <f t="shared" si="21"/>
        <v>170</v>
      </c>
      <c r="W104" s="55" t="s">
        <v>10</v>
      </c>
      <c r="X104" s="48">
        <f>SUM(U128:U133)</f>
        <v>991</v>
      </c>
      <c r="AG104" s="79" t="s">
        <v>17</v>
      </c>
      <c r="AH104" s="79">
        <f t="shared" si="22"/>
        <v>84</v>
      </c>
      <c r="AI104" s="79">
        <f t="shared" si="23"/>
        <v>45</v>
      </c>
      <c r="AJ104" s="79">
        <f t="shared" si="24"/>
        <v>124</v>
      </c>
      <c r="AK104" s="79">
        <f t="shared" si="25"/>
        <v>87</v>
      </c>
      <c r="AL104" s="79">
        <f t="shared" si="26"/>
        <v>107</v>
      </c>
      <c r="AM104" s="79">
        <f t="shared" si="27"/>
        <v>65</v>
      </c>
      <c r="AN104" s="79">
        <f t="shared" si="28"/>
        <v>74</v>
      </c>
    </row>
    <row r="105" spans="1:40" ht="15.75" customHeight="1">
      <c r="A105" s="230"/>
      <c r="B105" s="6" t="s">
        <v>14</v>
      </c>
      <c r="C105" s="5"/>
      <c r="D105" s="5"/>
      <c r="E105" s="5"/>
      <c r="F105" s="6">
        <v>8</v>
      </c>
      <c r="G105" s="6">
        <v>12</v>
      </c>
      <c r="H105" s="6">
        <v>8</v>
      </c>
      <c r="I105" s="6">
        <v>13</v>
      </c>
      <c r="J105" s="6">
        <v>4</v>
      </c>
      <c r="K105" s="227"/>
      <c r="L105" s="6" t="s">
        <v>14</v>
      </c>
      <c r="M105" s="6">
        <v>2</v>
      </c>
      <c r="N105" s="6">
        <v>8</v>
      </c>
      <c r="O105" s="6">
        <v>4</v>
      </c>
      <c r="P105" s="6">
        <v>4</v>
      </c>
      <c r="Q105" s="5"/>
      <c r="R105" s="5"/>
      <c r="S105" s="5"/>
      <c r="T105" s="49"/>
      <c r="U105" s="60">
        <f t="shared" si="21"/>
        <v>63</v>
      </c>
      <c r="W105" s="81" t="s">
        <v>11</v>
      </c>
      <c r="X105" s="80">
        <f>SUM(U134:U139)</f>
        <v>968</v>
      </c>
      <c r="AG105" s="97" t="s">
        <v>18</v>
      </c>
      <c r="AH105" s="97">
        <f t="shared" si="22"/>
        <v>73</v>
      </c>
      <c r="AI105" s="97">
        <f t="shared" si="23"/>
        <v>64</v>
      </c>
      <c r="AJ105" s="97">
        <f t="shared" si="24"/>
        <v>131</v>
      </c>
      <c r="AK105" s="97">
        <f t="shared" si="25"/>
        <v>133</v>
      </c>
      <c r="AL105" s="97">
        <f t="shared" si="26"/>
        <v>148</v>
      </c>
      <c r="AM105" s="97">
        <f t="shared" si="27"/>
        <v>90</v>
      </c>
      <c r="AN105" s="97">
        <f t="shared" si="28"/>
        <v>110</v>
      </c>
    </row>
    <row r="106" spans="1:40" ht="15.75" customHeight="1">
      <c r="A106" s="230"/>
      <c r="B106" s="6" t="s">
        <v>15</v>
      </c>
      <c r="C106" s="5"/>
      <c r="D106" s="5"/>
      <c r="E106" s="5"/>
      <c r="F106" s="6">
        <v>10</v>
      </c>
      <c r="G106" s="6">
        <v>20</v>
      </c>
      <c r="H106" s="6">
        <v>14</v>
      </c>
      <c r="I106" s="6">
        <v>16</v>
      </c>
      <c r="J106" s="6">
        <v>15</v>
      </c>
      <c r="K106" s="227"/>
      <c r="L106" s="6" t="s">
        <v>15</v>
      </c>
      <c r="M106" s="6">
        <v>10</v>
      </c>
      <c r="N106" s="6">
        <v>12</v>
      </c>
      <c r="O106" s="6">
        <v>8</v>
      </c>
      <c r="P106" s="6">
        <v>5</v>
      </c>
      <c r="Q106" s="5"/>
      <c r="R106" s="5"/>
      <c r="S106" s="5"/>
      <c r="T106" s="49"/>
      <c r="U106" s="60">
        <f t="shared" si="21"/>
        <v>110</v>
      </c>
      <c r="W106" s="79" t="s">
        <v>63</v>
      </c>
      <c r="X106" s="82">
        <f>SUM(X99:X105)</f>
        <v>7010</v>
      </c>
    </row>
    <row r="107" spans="1:40" ht="15.75" customHeight="1">
      <c r="A107" s="230"/>
      <c r="B107" s="6" t="s">
        <v>16</v>
      </c>
      <c r="C107" s="5"/>
      <c r="D107" s="5"/>
      <c r="E107" s="5"/>
      <c r="F107" s="6">
        <v>6</v>
      </c>
      <c r="G107" s="6">
        <v>2</v>
      </c>
      <c r="H107" s="6">
        <v>7</v>
      </c>
      <c r="I107" s="6">
        <v>8</v>
      </c>
      <c r="J107" s="6">
        <v>7</v>
      </c>
      <c r="K107" s="227"/>
      <c r="L107" s="6" t="s">
        <v>16</v>
      </c>
      <c r="M107" s="6">
        <v>3</v>
      </c>
      <c r="N107" s="6">
        <v>2</v>
      </c>
      <c r="O107" s="6">
        <v>4</v>
      </c>
      <c r="P107" s="6">
        <v>5</v>
      </c>
      <c r="Q107" s="5"/>
      <c r="R107" s="5"/>
      <c r="S107" s="5"/>
      <c r="T107" s="49"/>
      <c r="U107" s="60">
        <f t="shared" si="21"/>
        <v>44</v>
      </c>
    </row>
    <row r="108" spans="1:40" ht="15.75" customHeight="1">
      <c r="A108" s="230"/>
      <c r="B108" s="6" t="s">
        <v>17</v>
      </c>
      <c r="C108" s="5"/>
      <c r="D108" s="5"/>
      <c r="E108" s="5"/>
      <c r="F108" s="6">
        <v>5</v>
      </c>
      <c r="G108" s="6">
        <v>6</v>
      </c>
      <c r="H108" s="6">
        <v>6</v>
      </c>
      <c r="I108" s="6">
        <v>9</v>
      </c>
      <c r="J108" s="6">
        <v>6</v>
      </c>
      <c r="K108" s="227"/>
      <c r="L108" s="6" t="s">
        <v>17</v>
      </c>
      <c r="M108" s="6">
        <v>5</v>
      </c>
      <c r="N108" s="6">
        <v>4</v>
      </c>
      <c r="O108" s="6">
        <v>2</v>
      </c>
      <c r="P108" s="6">
        <v>2</v>
      </c>
      <c r="Q108" s="5"/>
      <c r="R108" s="5"/>
      <c r="S108" s="5"/>
      <c r="T108" s="49"/>
      <c r="U108" s="60">
        <f t="shared" si="21"/>
        <v>45</v>
      </c>
    </row>
    <row r="109" spans="1:40" ht="15.75" customHeight="1">
      <c r="A109" s="230"/>
      <c r="B109" s="47" t="s">
        <v>18</v>
      </c>
      <c r="C109" s="64"/>
      <c r="D109" s="64"/>
      <c r="E109" s="64"/>
      <c r="F109" s="47">
        <v>5</v>
      </c>
      <c r="G109" s="47">
        <v>10</v>
      </c>
      <c r="H109" s="47">
        <v>9</v>
      </c>
      <c r="I109" s="47">
        <v>8</v>
      </c>
      <c r="J109" s="47">
        <v>8</v>
      </c>
      <c r="K109" s="227"/>
      <c r="L109" s="47" t="s">
        <v>18</v>
      </c>
      <c r="M109" s="47">
        <v>7</v>
      </c>
      <c r="N109" s="47">
        <v>5</v>
      </c>
      <c r="O109" s="47">
        <v>5</v>
      </c>
      <c r="P109" s="47">
        <v>7</v>
      </c>
      <c r="Q109" s="64"/>
      <c r="R109" s="64"/>
      <c r="S109" s="64"/>
      <c r="T109" s="65"/>
      <c r="U109" s="66">
        <f t="shared" si="21"/>
        <v>64</v>
      </c>
    </row>
    <row r="110" spans="1:40" ht="15.75" customHeight="1">
      <c r="A110" s="195" t="s">
        <v>7</v>
      </c>
      <c r="B110" s="56" t="s">
        <v>13</v>
      </c>
      <c r="C110" s="56">
        <v>20</v>
      </c>
      <c r="D110" s="56">
        <v>27</v>
      </c>
      <c r="E110" s="56">
        <v>35</v>
      </c>
      <c r="F110" s="56">
        <v>30</v>
      </c>
      <c r="G110" s="56">
        <v>30</v>
      </c>
      <c r="H110" s="56">
        <v>29</v>
      </c>
      <c r="I110" s="56">
        <v>32</v>
      </c>
      <c r="J110" s="56">
        <v>26</v>
      </c>
      <c r="K110" s="196" t="s">
        <v>7</v>
      </c>
      <c r="L110" s="56" t="s">
        <v>13</v>
      </c>
      <c r="M110" s="56">
        <v>21</v>
      </c>
      <c r="N110" s="56">
        <v>19</v>
      </c>
      <c r="O110" s="56">
        <v>14</v>
      </c>
      <c r="P110" s="56">
        <v>28</v>
      </c>
      <c r="Q110" s="56">
        <v>25</v>
      </c>
      <c r="R110" s="56">
        <v>22</v>
      </c>
      <c r="S110" s="56">
        <v>18</v>
      </c>
      <c r="T110" s="67">
        <v>16</v>
      </c>
      <c r="U110" s="59">
        <f t="shared" ref="U110:U139" si="29">SUM(M110:T110,C110:J110)</f>
        <v>392</v>
      </c>
    </row>
    <row r="111" spans="1:40" ht="15.75" customHeight="1">
      <c r="A111" s="230"/>
      <c r="B111" s="4" t="s">
        <v>14</v>
      </c>
      <c r="C111" s="4">
        <v>6</v>
      </c>
      <c r="D111" s="4">
        <v>7</v>
      </c>
      <c r="E111" s="4">
        <v>6</v>
      </c>
      <c r="F111" s="4">
        <v>11</v>
      </c>
      <c r="G111" s="4">
        <v>11</v>
      </c>
      <c r="H111" s="4">
        <v>15</v>
      </c>
      <c r="I111" s="4">
        <v>8</v>
      </c>
      <c r="J111" s="4">
        <v>10</v>
      </c>
      <c r="K111" s="227"/>
      <c r="L111" s="4" t="s">
        <v>14</v>
      </c>
      <c r="M111" s="4">
        <v>7</v>
      </c>
      <c r="N111" s="4">
        <v>8</v>
      </c>
      <c r="O111" s="4">
        <v>5</v>
      </c>
      <c r="P111" s="4">
        <v>13</v>
      </c>
      <c r="Q111" s="4">
        <v>12</v>
      </c>
      <c r="R111" s="4">
        <v>6</v>
      </c>
      <c r="S111" s="4">
        <v>5</v>
      </c>
      <c r="T111" s="50">
        <v>7</v>
      </c>
      <c r="U111" s="60">
        <f t="shared" si="29"/>
        <v>137</v>
      </c>
    </row>
    <row r="112" spans="1:40" ht="15.75" customHeight="1">
      <c r="A112" s="230"/>
      <c r="B112" s="4" t="s">
        <v>15</v>
      </c>
      <c r="C112" s="4">
        <v>18</v>
      </c>
      <c r="D112" s="4">
        <v>9</v>
      </c>
      <c r="E112" s="4">
        <v>14</v>
      </c>
      <c r="F112" s="4">
        <v>19</v>
      </c>
      <c r="G112" s="4">
        <v>21</v>
      </c>
      <c r="H112" s="4">
        <v>23</v>
      </c>
      <c r="I112" s="4">
        <v>27</v>
      </c>
      <c r="J112" s="4">
        <v>23</v>
      </c>
      <c r="K112" s="227"/>
      <c r="L112" s="4" t="s">
        <v>15</v>
      </c>
      <c r="M112" s="4">
        <v>10</v>
      </c>
      <c r="N112" s="4">
        <v>10</v>
      </c>
      <c r="O112" s="4">
        <v>4</v>
      </c>
      <c r="P112" s="4">
        <v>17</v>
      </c>
      <c r="Q112" s="4">
        <v>34</v>
      </c>
      <c r="R112" s="4">
        <v>32</v>
      </c>
      <c r="S112" s="4">
        <v>23</v>
      </c>
      <c r="T112" s="50">
        <v>18</v>
      </c>
      <c r="U112" s="60">
        <f t="shared" si="29"/>
        <v>302</v>
      </c>
    </row>
    <row r="113" spans="1:21" ht="15.75" customHeight="1">
      <c r="A113" s="230"/>
      <c r="B113" s="4" t="s">
        <v>16</v>
      </c>
      <c r="C113" s="4">
        <v>3</v>
      </c>
      <c r="D113" s="4">
        <v>4</v>
      </c>
      <c r="E113" s="4">
        <v>11</v>
      </c>
      <c r="F113" s="4">
        <v>8</v>
      </c>
      <c r="G113" s="4">
        <v>18</v>
      </c>
      <c r="H113" s="4">
        <v>12</v>
      </c>
      <c r="I113" s="4">
        <v>22</v>
      </c>
      <c r="J113" s="4">
        <v>9</v>
      </c>
      <c r="K113" s="227"/>
      <c r="L113" s="4" t="s">
        <v>16</v>
      </c>
      <c r="M113" s="4">
        <v>9</v>
      </c>
      <c r="N113" s="4">
        <v>8</v>
      </c>
      <c r="O113" s="4">
        <v>5</v>
      </c>
      <c r="P113" s="4">
        <v>6</v>
      </c>
      <c r="Q113" s="4">
        <v>13</v>
      </c>
      <c r="R113" s="4">
        <v>6</v>
      </c>
      <c r="S113" s="4">
        <v>3</v>
      </c>
      <c r="T113" s="50">
        <v>3</v>
      </c>
      <c r="U113" s="60">
        <f t="shared" si="29"/>
        <v>140</v>
      </c>
    </row>
    <row r="114" spans="1:21" ht="15.75" customHeight="1">
      <c r="A114" s="230"/>
      <c r="B114" s="4" t="s">
        <v>17</v>
      </c>
      <c r="C114" s="4">
        <v>5</v>
      </c>
      <c r="D114" s="4">
        <v>7</v>
      </c>
      <c r="E114" s="4">
        <v>9</v>
      </c>
      <c r="F114" s="4">
        <v>8</v>
      </c>
      <c r="G114" s="4">
        <v>18</v>
      </c>
      <c r="H114" s="4">
        <v>10</v>
      </c>
      <c r="I114" s="4">
        <v>9</v>
      </c>
      <c r="J114" s="4">
        <v>2</v>
      </c>
      <c r="K114" s="227"/>
      <c r="L114" s="4" t="s">
        <v>17</v>
      </c>
      <c r="M114" s="4">
        <v>6</v>
      </c>
      <c r="N114" s="4">
        <v>7</v>
      </c>
      <c r="O114" s="4">
        <v>4</v>
      </c>
      <c r="P114" s="4">
        <v>5</v>
      </c>
      <c r="Q114" s="4">
        <v>11</v>
      </c>
      <c r="R114" s="4">
        <v>11</v>
      </c>
      <c r="S114" s="4">
        <v>6</v>
      </c>
      <c r="T114" s="50">
        <v>6</v>
      </c>
      <c r="U114" s="60">
        <f t="shared" si="29"/>
        <v>124</v>
      </c>
    </row>
    <row r="115" spans="1:21" ht="15.75" customHeight="1">
      <c r="A115" s="230"/>
      <c r="B115" s="46" t="s">
        <v>18</v>
      </c>
      <c r="C115" s="46">
        <v>15</v>
      </c>
      <c r="D115" s="46">
        <v>13</v>
      </c>
      <c r="E115" s="46">
        <v>10</v>
      </c>
      <c r="F115" s="46">
        <v>5</v>
      </c>
      <c r="G115" s="46">
        <v>7</v>
      </c>
      <c r="H115" s="46">
        <v>11</v>
      </c>
      <c r="I115" s="46">
        <v>14</v>
      </c>
      <c r="J115" s="46">
        <v>13</v>
      </c>
      <c r="K115" s="227"/>
      <c r="L115" s="46" t="s">
        <v>18</v>
      </c>
      <c r="M115" s="46">
        <v>2</v>
      </c>
      <c r="N115" s="46">
        <v>1</v>
      </c>
      <c r="O115" s="46">
        <v>2</v>
      </c>
      <c r="P115" s="46">
        <v>4</v>
      </c>
      <c r="Q115" s="46">
        <v>9</v>
      </c>
      <c r="R115" s="46">
        <v>11</v>
      </c>
      <c r="S115" s="46">
        <v>9</v>
      </c>
      <c r="T115" s="69">
        <v>5</v>
      </c>
      <c r="U115" s="66">
        <f t="shared" si="29"/>
        <v>131</v>
      </c>
    </row>
    <row r="116" spans="1:21" ht="15.75" customHeight="1">
      <c r="A116" s="193" t="s">
        <v>8</v>
      </c>
      <c r="B116" s="63" t="s">
        <v>13</v>
      </c>
      <c r="C116" s="63">
        <v>17</v>
      </c>
      <c r="D116" s="63">
        <v>21</v>
      </c>
      <c r="E116" s="63">
        <v>14</v>
      </c>
      <c r="F116" s="63">
        <v>23</v>
      </c>
      <c r="G116" s="63">
        <v>27</v>
      </c>
      <c r="H116" s="63">
        <v>28</v>
      </c>
      <c r="I116" s="63">
        <v>33</v>
      </c>
      <c r="J116" s="63">
        <v>25</v>
      </c>
      <c r="K116" s="194" t="s">
        <v>8</v>
      </c>
      <c r="L116" s="63" t="s">
        <v>13</v>
      </c>
      <c r="M116" s="63">
        <v>23</v>
      </c>
      <c r="N116" s="63">
        <v>16</v>
      </c>
      <c r="O116" s="63">
        <v>20</v>
      </c>
      <c r="P116" s="63">
        <v>45</v>
      </c>
      <c r="Q116" s="63">
        <v>37</v>
      </c>
      <c r="R116" s="63">
        <v>27</v>
      </c>
      <c r="S116" s="63">
        <v>27</v>
      </c>
      <c r="T116" s="68">
        <v>17</v>
      </c>
      <c r="U116" s="59">
        <f t="shared" si="29"/>
        <v>400</v>
      </c>
    </row>
    <row r="117" spans="1:21" ht="15.75" customHeight="1">
      <c r="A117" s="230"/>
      <c r="B117" s="6" t="s">
        <v>14</v>
      </c>
      <c r="C117" s="6">
        <v>2</v>
      </c>
      <c r="D117" s="6">
        <v>2</v>
      </c>
      <c r="E117" s="6">
        <v>9</v>
      </c>
      <c r="F117" s="6">
        <v>10</v>
      </c>
      <c r="G117" s="6">
        <v>15</v>
      </c>
      <c r="H117" s="6">
        <v>9</v>
      </c>
      <c r="I117" s="6">
        <v>15</v>
      </c>
      <c r="J117" s="6">
        <v>9</v>
      </c>
      <c r="K117" s="227"/>
      <c r="L117" s="6" t="s">
        <v>14</v>
      </c>
      <c r="M117" s="6">
        <v>10</v>
      </c>
      <c r="N117" s="6">
        <v>8</v>
      </c>
      <c r="O117" s="6">
        <v>8</v>
      </c>
      <c r="P117" s="6">
        <v>17</v>
      </c>
      <c r="Q117" s="6">
        <v>8</v>
      </c>
      <c r="R117" s="6">
        <v>30</v>
      </c>
      <c r="S117" s="6">
        <v>4</v>
      </c>
      <c r="T117" s="51">
        <v>4</v>
      </c>
      <c r="U117" s="60">
        <f t="shared" si="29"/>
        <v>160</v>
      </c>
    </row>
    <row r="118" spans="1:21" ht="15.75" customHeight="1">
      <c r="A118" s="230"/>
      <c r="B118" s="6" t="s">
        <v>15</v>
      </c>
      <c r="C118" s="6">
        <v>10</v>
      </c>
      <c r="D118" s="6">
        <v>13</v>
      </c>
      <c r="E118" s="6">
        <v>22</v>
      </c>
      <c r="F118" s="6">
        <v>17</v>
      </c>
      <c r="G118" s="6">
        <v>15</v>
      </c>
      <c r="H118" s="6">
        <v>17</v>
      </c>
      <c r="I118" s="6">
        <v>25</v>
      </c>
      <c r="J118" s="6">
        <v>23</v>
      </c>
      <c r="K118" s="227"/>
      <c r="L118" s="6" t="s">
        <v>15</v>
      </c>
      <c r="M118" s="6">
        <v>10</v>
      </c>
      <c r="N118" s="6">
        <v>22</v>
      </c>
      <c r="O118" s="6">
        <v>21</v>
      </c>
      <c r="P118" s="6">
        <v>18</v>
      </c>
      <c r="Q118" s="6">
        <v>24</v>
      </c>
      <c r="R118" s="6">
        <v>8</v>
      </c>
      <c r="S118" s="6">
        <v>19</v>
      </c>
      <c r="T118" s="51">
        <v>20</v>
      </c>
      <c r="U118" s="60">
        <f t="shared" si="29"/>
        <v>284</v>
      </c>
    </row>
    <row r="119" spans="1:21" ht="15.75" customHeight="1">
      <c r="A119" s="230"/>
      <c r="B119" s="6" t="s">
        <v>16</v>
      </c>
      <c r="C119" s="6">
        <v>7</v>
      </c>
      <c r="D119" s="6">
        <v>4</v>
      </c>
      <c r="E119" s="6">
        <v>8</v>
      </c>
      <c r="F119" s="6">
        <v>18</v>
      </c>
      <c r="G119" s="6">
        <v>11</v>
      </c>
      <c r="H119" s="6">
        <v>13</v>
      </c>
      <c r="I119" s="6">
        <v>16</v>
      </c>
      <c r="J119" s="6">
        <v>9</v>
      </c>
      <c r="K119" s="227"/>
      <c r="L119" s="6" t="s">
        <v>16</v>
      </c>
      <c r="M119" s="6">
        <v>4</v>
      </c>
      <c r="N119" s="6">
        <v>8</v>
      </c>
      <c r="O119" s="6">
        <v>9</v>
      </c>
      <c r="P119" s="6">
        <v>10</v>
      </c>
      <c r="Q119" s="6">
        <v>4</v>
      </c>
      <c r="R119" s="6">
        <v>6</v>
      </c>
      <c r="S119" s="6">
        <v>7</v>
      </c>
      <c r="T119" s="51">
        <v>3</v>
      </c>
      <c r="U119" s="60">
        <f t="shared" si="29"/>
        <v>137</v>
      </c>
    </row>
    <row r="120" spans="1:21" ht="15.75" customHeight="1">
      <c r="A120" s="230"/>
      <c r="B120" s="6" t="s">
        <v>17</v>
      </c>
      <c r="C120" s="6">
        <v>6</v>
      </c>
      <c r="D120" s="6">
        <v>5</v>
      </c>
      <c r="E120" s="6">
        <v>4</v>
      </c>
      <c r="F120" s="6">
        <v>10</v>
      </c>
      <c r="G120" s="6">
        <v>5</v>
      </c>
      <c r="H120" s="6">
        <v>13</v>
      </c>
      <c r="I120" s="6">
        <v>8</v>
      </c>
      <c r="J120" s="6">
        <v>1</v>
      </c>
      <c r="K120" s="227"/>
      <c r="L120" s="6" t="s">
        <v>17</v>
      </c>
      <c r="M120" s="6">
        <v>4</v>
      </c>
      <c r="N120" s="6">
        <v>5</v>
      </c>
      <c r="O120" s="6">
        <v>3</v>
      </c>
      <c r="P120" s="6">
        <v>5</v>
      </c>
      <c r="Q120" s="6">
        <v>8</v>
      </c>
      <c r="R120" s="6">
        <v>6</v>
      </c>
      <c r="S120" s="6">
        <v>2</v>
      </c>
      <c r="T120" s="51">
        <v>2</v>
      </c>
      <c r="U120" s="60">
        <f t="shared" si="29"/>
        <v>87</v>
      </c>
    </row>
    <row r="121" spans="1:21" ht="15.75" customHeight="1">
      <c r="A121" s="230"/>
      <c r="B121" s="47" t="s">
        <v>18</v>
      </c>
      <c r="C121" s="47">
        <v>10</v>
      </c>
      <c r="D121" s="47">
        <v>4</v>
      </c>
      <c r="E121" s="47">
        <v>7</v>
      </c>
      <c r="F121" s="47">
        <v>9</v>
      </c>
      <c r="G121" s="47">
        <v>9</v>
      </c>
      <c r="H121" s="47">
        <v>16</v>
      </c>
      <c r="I121" s="47">
        <v>11</v>
      </c>
      <c r="J121" s="47">
        <v>4</v>
      </c>
      <c r="K121" s="227"/>
      <c r="L121" s="47" t="s">
        <v>18</v>
      </c>
      <c r="M121" s="47">
        <v>9</v>
      </c>
      <c r="N121" s="47">
        <v>7</v>
      </c>
      <c r="O121" s="47">
        <v>5</v>
      </c>
      <c r="P121" s="47">
        <v>6</v>
      </c>
      <c r="Q121" s="47">
        <v>6</v>
      </c>
      <c r="R121" s="47">
        <v>16</v>
      </c>
      <c r="S121" s="47">
        <v>6</v>
      </c>
      <c r="T121" s="70">
        <v>8</v>
      </c>
      <c r="U121" s="66">
        <f t="shared" si="29"/>
        <v>133</v>
      </c>
    </row>
    <row r="122" spans="1:21" ht="15.75" customHeight="1">
      <c r="A122" s="195" t="s">
        <v>9</v>
      </c>
      <c r="B122" s="56" t="s">
        <v>13</v>
      </c>
      <c r="C122" s="56">
        <v>9</v>
      </c>
      <c r="D122" s="56">
        <v>18</v>
      </c>
      <c r="E122" s="56">
        <v>26</v>
      </c>
      <c r="F122" s="56">
        <v>31</v>
      </c>
      <c r="G122" s="56">
        <v>33</v>
      </c>
      <c r="H122" s="56">
        <v>37</v>
      </c>
      <c r="I122" s="56">
        <v>34</v>
      </c>
      <c r="J122" s="56">
        <v>30</v>
      </c>
      <c r="K122" s="196" t="s">
        <v>9</v>
      </c>
      <c r="L122" s="56" t="s">
        <v>13</v>
      </c>
      <c r="M122" s="56">
        <v>26</v>
      </c>
      <c r="N122" s="56">
        <v>17</v>
      </c>
      <c r="O122" s="56">
        <v>25</v>
      </c>
      <c r="P122" s="56">
        <v>25</v>
      </c>
      <c r="Q122" s="56">
        <v>37</v>
      </c>
      <c r="R122" s="56">
        <v>31</v>
      </c>
      <c r="S122" s="56">
        <v>12</v>
      </c>
      <c r="T122" s="67">
        <v>11</v>
      </c>
      <c r="U122" s="59">
        <f t="shared" si="29"/>
        <v>402</v>
      </c>
    </row>
    <row r="123" spans="1:21" ht="15.75" customHeight="1">
      <c r="A123" s="230"/>
      <c r="B123" s="4" t="s">
        <v>14</v>
      </c>
      <c r="C123" s="4">
        <v>9</v>
      </c>
      <c r="D123" s="4">
        <v>10</v>
      </c>
      <c r="E123" s="4">
        <v>7</v>
      </c>
      <c r="F123" s="4">
        <v>15</v>
      </c>
      <c r="G123" s="4">
        <v>14</v>
      </c>
      <c r="H123" s="4">
        <v>17</v>
      </c>
      <c r="I123" s="4">
        <v>16</v>
      </c>
      <c r="J123" s="4">
        <v>9</v>
      </c>
      <c r="K123" s="227"/>
      <c r="L123" s="4" t="s">
        <v>14</v>
      </c>
      <c r="M123" s="4">
        <v>12</v>
      </c>
      <c r="N123" s="4">
        <v>12</v>
      </c>
      <c r="O123" s="4" t="s">
        <v>67</v>
      </c>
      <c r="P123" s="4">
        <v>9</v>
      </c>
      <c r="Q123" s="4">
        <v>13</v>
      </c>
      <c r="R123" s="4">
        <v>4</v>
      </c>
      <c r="S123" s="4">
        <v>6</v>
      </c>
      <c r="T123" s="50">
        <v>2</v>
      </c>
      <c r="U123" s="60">
        <f t="shared" si="29"/>
        <v>155</v>
      </c>
    </row>
    <row r="124" spans="1:21" ht="15.75" customHeight="1">
      <c r="A124" s="230"/>
      <c r="B124" s="4" t="s">
        <v>15</v>
      </c>
      <c r="C124" s="4">
        <v>14</v>
      </c>
      <c r="D124" s="4">
        <v>14</v>
      </c>
      <c r="E124" s="4">
        <v>19</v>
      </c>
      <c r="F124" s="4">
        <v>20</v>
      </c>
      <c r="G124" s="4">
        <v>20</v>
      </c>
      <c r="H124" s="4">
        <v>18</v>
      </c>
      <c r="I124" s="4">
        <v>31</v>
      </c>
      <c r="J124" s="4">
        <v>12</v>
      </c>
      <c r="K124" s="227"/>
      <c r="L124" s="4" t="s">
        <v>15</v>
      </c>
      <c r="M124" s="4">
        <v>18</v>
      </c>
      <c r="N124" s="4">
        <v>20</v>
      </c>
      <c r="O124" s="4">
        <v>22</v>
      </c>
      <c r="P124" s="4">
        <v>27</v>
      </c>
      <c r="Q124" s="4">
        <v>31</v>
      </c>
      <c r="R124" s="4">
        <v>23</v>
      </c>
      <c r="S124" s="4">
        <v>15</v>
      </c>
      <c r="T124" s="50">
        <v>9</v>
      </c>
      <c r="U124" s="60">
        <f t="shared" si="29"/>
        <v>313</v>
      </c>
    </row>
    <row r="125" spans="1:21" ht="15.75" customHeight="1">
      <c r="A125" s="230"/>
      <c r="B125" s="4" t="s">
        <v>16</v>
      </c>
      <c r="C125" s="4">
        <v>5</v>
      </c>
      <c r="D125" s="4">
        <v>4</v>
      </c>
      <c r="E125" s="4">
        <v>11</v>
      </c>
      <c r="F125" s="4">
        <v>18</v>
      </c>
      <c r="G125" s="4">
        <v>13</v>
      </c>
      <c r="H125" s="4">
        <v>19</v>
      </c>
      <c r="I125" s="4">
        <v>20</v>
      </c>
      <c r="J125" s="4">
        <v>8</v>
      </c>
      <c r="K125" s="227"/>
      <c r="L125" s="4" t="s">
        <v>16</v>
      </c>
      <c r="M125" s="4">
        <v>11</v>
      </c>
      <c r="N125" s="4">
        <v>6</v>
      </c>
      <c r="O125" s="4">
        <v>8</v>
      </c>
      <c r="P125" s="4">
        <v>10</v>
      </c>
      <c r="Q125" s="4">
        <v>8</v>
      </c>
      <c r="R125" s="4">
        <v>7</v>
      </c>
      <c r="S125" s="4">
        <v>4</v>
      </c>
      <c r="T125" s="50">
        <v>2</v>
      </c>
      <c r="U125" s="60">
        <f t="shared" si="29"/>
        <v>154</v>
      </c>
    </row>
    <row r="126" spans="1:21" ht="15.75" customHeight="1">
      <c r="A126" s="230"/>
      <c r="B126" s="4" t="s">
        <v>17</v>
      </c>
      <c r="C126" s="4">
        <v>2</v>
      </c>
      <c r="D126" s="4">
        <v>2</v>
      </c>
      <c r="E126" s="4">
        <v>3</v>
      </c>
      <c r="F126" s="4">
        <v>10</v>
      </c>
      <c r="G126" s="4">
        <v>9</v>
      </c>
      <c r="H126" s="4">
        <v>13</v>
      </c>
      <c r="I126" s="4">
        <v>18</v>
      </c>
      <c r="J126" s="4">
        <v>4</v>
      </c>
      <c r="K126" s="227"/>
      <c r="L126" s="4" t="s">
        <v>17</v>
      </c>
      <c r="M126" s="4">
        <v>3</v>
      </c>
      <c r="N126" s="4">
        <v>1</v>
      </c>
      <c r="O126" s="4">
        <v>8</v>
      </c>
      <c r="P126" s="4">
        <v>4</v>
      </c>
      <c r="Q126" s="4">
        <v>7</v>
      </c>
      <c r="R126" s="4">
        <v>14</v>
      </c>
      <c r="S126" s="4">
        <v>5</v>
      </c>
      <c r="T126" s="50">
        <v>4</v>
      </c>
      <c r="U126" s="60">
        <f t="shared" si="29"/>
        <v>107</v>
      </c>
    </row>
    <row r="127" spans="1:21" ht="15.75" customHeight="1">
      <c r="A127" s="230"/>
      <c r="B127" s="46" t="s">
        <v>18</v>
      </c>
      <c r="C127" s="46">
        <v>7</v>
      </c>
      <c r="D127" s="46">
        <v>6</v>
      </c>
      <c r="E127" s="46">
        <v>2</v>
      </c>
      <c r="F127" s="46">
        <v>12</v>
      </c>
      <c r="G127" s="46">
        <v>9</v>
      </c>
      <c r="H127" s="46">
        <v>14</v>
      </c>
      <c r="I127" s="46">
        <v>20</v>
      </c>
      <c r="J127" s="46">
        <v>7</v>
      </c>
      <c r="K127" s="227"/>
      <c r="L127" s="46" t="s">
        <v>18</v>
      </c>
      <c r="M127" s="46">
        <v>14</v>
      </c>
      <c r="N127" s="46">
        <v>17</v>
      </c>
      <c r="O127" s="46">
        <v>4</v>
      </c>
      <c r="P127" s="46">
        <v>5</v>
      </c>
      <c r="Q127" s="46">
        <v>12</v>
      </c>
      <c r="R127" s="46">
        <v>6</v>
      </c>
      <c r="S127" s="46">
        <v>6</v>
      </c>
      <c r="T127" s="69">
        <v>7</v>
      </c>
      <c r="U127" s="66">
        <f t="shared" si="29"/>
        <v>148</v>
      </c>
    </row>
    <row r="128" spans="1:21" ht="15.75" customHeight="1">
      <c r="A128" s="193" t="s">
        <v>10</v>
      </c>
      <c r="B128" s="63" t="s">
        <v>13</v>
      </c>
      <c r="C128" s="63">
        <v>14</v>
      </c>
      <c r="D128" s="63">
        <v>15</v>
      </c>
      <c r="E128" s="63">
        <v>20</v>
      </c>
      <c r="F128" s="63">
        <v>36</v>
      </c>
      <c r="G128" s="63">
        <v>30</v>
      </c>
      <c r="H128" s="63">
        <v>37</v>
      </c>
      <c r="I128" s="63">
        <v>27</v>
      </c>
      <c r="J128" s="63">
        <v>19</v>
      </c>
      <c r="K128" s="194" t="s">
        <v>10</v>
      </c>
      <c r="L128" s="63" t="s">
        <v>13</v>
      </c>
      <c r="M128" s="63">
        <v>20</v>
      </c>
      <c r="N128" s="63">
        <v>18</v>
      </c>
      <c r="O128" s="63">
        <v>16</v>
      </c>
      <c r="P128" s="63">
        <v>19</v>
      </c>
      <c r="Q128" s="63">
        <v>31</v>
      </c>
      <c r="R128" s="63">
        <v>24</v>
      </c>
      <c r="S128" s="63">
        <v>10</v>
      </c>
      <c r="T128" s="68">
        <v>8</v>
      </c>
      <c r="U128" s="59">
        <f t="shared" si="29"/>
        <v>344</v>
      </c>
    </row>
    <row r="129" spans="1:40" ht="15.75" customHeight="1">
      <c r="A129" s="230"/>
      <c r="B129" s="6" t="s">
        <v>14</v>
      </c>
      <c r="C129" s="6">
        <v>4</v>
      </c>
      <c r="D129" s="6">
        <v>4</v>
      </c>
      <c r="E129" s="6">
        <v>8</v>
      </c>
      <c r="F129" s="6">
        <v>11</v>
      </c>
      <c r="G129" s="6">
        <v>15</v>
      </c>
      <c r="H129" s="6">
        <v>19</v>
      </c>
      <c r="I129" s="6">
        <v>12</v>
      </c>
      <c r="J129" s="6">
        <v>11</v>
      </c>
      <c r="K129" s="199"/>
      <c r="L129" s="6" t="s">
        <v>14</v>
      </c>
      <c r="M129" s="6">
        <v>6</v>
      </c>
      <c r="N129" s="6">
        <v>10</v>
      </c>
      <c r="O129" s="6">
        <v>8</v>
      </c>
      <c r="P129" s="6">
        <v>5</v>
      </c>
      <c r="Q129" s="6">
        <v>5</v>
      </c>
      <c r="R129" s="6">
        <v>3</v>
      </c>
      <c r="S129" s="6">
        <v>2</v>
      </c>
      <c r="T129" s="51">
        <v>6</v>
      </c>
      <c r="U129" s="60">
        <f t="shared" si="29"/>
        <v>129</v>
      </c>
    </row>
    <row r="130" spans="1:40" ht="15.75" customHeight="1">
      <c r="A130" s="230"/>
      <c r="B130" s="6" t="s">
        <v>15</v>
      </c>
      <c r="C130" s="6">
        <v>7</v>
      </c>
      <c r="D130" s="6">
        <v>8</v>
      </c>
      <c r="E130" s="6">
        <v>7</v>
      </c>
      <c r="F130" s="6">
        <v>9</v>
      </c>
      <c r="G130" s="6">
        <v>14</v>
      </c>
      <c r="H130" s="6">
        <v>22</v>
      </c>
      <c r="I130" s="6">
        <v>31</v>
      </c>
      <c r="J130" s="6">
        <v>24</v>
      </c>
      <c r="K130" s="199"/>
      <c r="L130" s="6" t="s">
        <v>15</v>
      </c>
      <c r="M130" s="6">
        <v>14</v>
      </c>
      <c r="N130" s="6">
        <v>15</v>
      </c>
      <c r="O130" s="6">
        <v>16</v>
      </c>
      <c r="P130" s="6">
        <v>6</v>
      </c>
      <c r="Q130" s="6">
        <v>20</v>
      </c>
      <c r="R130" s="6">
        <v>25</v>
      </c>
      <c r="S130" s="6">
        <v>22</v>
      </c>
      <c r="T130" s="51">
        <v>9</v>
      </c>
      <c r="U130" s="60">
        <f t="shared" si="29"/>
        <v>249</v>
      </c>
    </row>
    <row r="131" spans="1:40" ht="15.75" customHeight="1">
      <c r="A131" s="230"/>
      <c r="B131" s="6" t="s">
        <v>16</v>
      </c>
      <c r="C131" s="6">
        <v>1</v>
      </c>
      <c r="D131" s="6">
        <v>1</v>
      </c>
      <c r="E131" s="6">
        <v>8</v>
      </c>
      <c r="F131" s="6">
        <v>9</v>
      </c>
      <c r="G131" s="6">
        <v>15</v>
      </c>
      <c r="H131" s="6">
        <v>17</v>
      </c>
      <c r="I131" s="6">
        <v>10</v>
      </c>
      <c r="J131" s="6">
        <v>13</v>
      </c>
      <c r="K131" s="199"/>
      <c r="L131" s="6" t="s">
        <v>16</v>
      </c>
      <c r="M131" s="6">
        <v>9</v>
      </c>
      <c r="N131" s="6">
        <v>8</v>
      </c>
      <c r="O131" s="6">
        <v>6</v>
      </c>
      <c r="P131" s="6">
        <v>7</v>
      </c>
      <c r="Q131" s="6">
        <v>3</v>
      </c>
      <c r="R131" s="6">
        <v>3</v>
      </c>
      <c r="S131" s="6">
        <v>2</v>
      </c>
      <c r="T131" s="51">
        <v>2</v>
      </c>
      <c r="U131" s="60">
        <f t="shared" si="29"/>
        <v>114</v>
      </c>
    </row>
    <row r="132" spans="1:40" ht="15.75" customHeight="1">
      <c r="A132" s="230"/>
      <c r="B132" s="6" t="s">
        <v>17</v>
      </c>
      <c r="C132" s="6">
        <v>0</v>
      </c>
      <c r="D132" s="6">
        <v>0</v>
      </c>
      <c r="E132" s="6">
        <v>2</v>
      </c>
      <c r="F132" s="6">
        <v>6</v>
      </c>
      <c r="G132" s="6">
        <v>10</v>
      </c>
      <c r="H132" s="6">
        <v>3</v>
      </c>
      <c r="I132" s="6">
        <v>8</v>
      </c>
      <c r="J132" s="6">
        <v>7</v>
      </c>
      <c r="K132" s="199"/>
      <c r="L132" s="6" t="s">
        <v>17</v>
      </c>
      <c r="M132" s="6">
        <v>5</v>
      </c>
      <c r="N132" s="6">
        <v>3</v>
      </c>
      <c r="O132" s="6">
        <v>4</v>
      </c>
      <c r="P132" s="6">
        <v>1</v>
      </c>
      <c r="Q132" s="6">
        <v>8</v>
      </c>
      <c r="R132" s="6">
        <v>5</v>
      </c>
      <c r="S132" s="6">
        <v>3</v>
      </c>
      <c r="T132" s="51">
        <v>0</v>
      </c>
      <c r="U132" s="60">
        <f t="shared" si="29"/>
        <v>65</v>
      </c>
    </row>
    <row r="133" spans="1:40" ht="15.75" customHeight="1">
      <c r="A133" s="230"/>
      <c r="B133" s="47" t="s">
        <v>18</v>
      </c>
      <c r="C133" s="47">
        <v>0</v>
      </c>
      <c r="D133" s="47">
        <v>9</v>
      </c>
      <c r="E133" s="47">
        <v>4</v>
      </c>
      <c r="F133" s="47">
        <v>6</v>
      </c>
      <c r="G133" s="6">
        <v>10</v>
      </c>
      <c r="H133" s="47">
        <v>5</v>
      </c>
      <c r="I133" s="47">
        <v>7</v>
      </c>
      <c r="J133" s="47">
        <v>4</v>
      </c>
      <c r="K133" s="199"/>
      <c r="L133" s="47" t="s">
        <v>18</v>
      </c>
      <c r="M133" s="47">
        <v>5</v>
      </c>
      <c r="N133" s="47">
        <v>7</v>
      </c>
      <c r="O133" s="47">
        <v>4</v>
      </c>
      <c r="P133" s="47">
        <v>7</v>
      </c>
      <c r="Q133" s="47">
        <v>8</v>
      </c>
      <c r="R133" s="47">
        <v>7</v>
      </c>
      <c r="S133" s="47">
        <v>3</v>
      </c>
      <c r="T133" s="70">
        <v>4</v>
      </c>
      <c r="U133" s="66">
        <f t="shared" si="29"/>
        <v>90</v>
      </c>
    </row>
    <row r="134" spans="1:40" ht="15.75" customHeight="1">
      <c r="A134" s="195" t="s">
        <v>11</v>
      </c>
      <c r="B134" s="56" t="s">
        <v>13</v>
      </c>
      <c r="C134" s="56">
        <v>5</v>
      </c>
      <c r="D134" s="56">
        <v>16</v>
      </c>
      <c r="E134" s="56">
        <v>11</v>
      </c>
      <c r="F134" s="56">
        <v>35</v>
      </c>
      <c r="G134" s="56">
        <v>30</v>
      </c>
      <c r="H134" s="56">
        <v>35</v>
      </c>
      <c r="I134" s="56">
        <v>30</v>
      </c>
      <c r="J134" s="56">
        <v>26</v>
      </c>
      <c r="K134" s="196" t="s">
        <v>11</v>
      </c>
      <c r="L134" s="56" t="s">
        <v>13</v>
      </c>
      <c r="M134" s="56">
        <v>24</v>
      </c>
      <c r="N134" s="56">
        <v>18</v>
      </c>
      <c r="O134" s="56">
        <v>6</v>
      </c>
      <c r="P134" s="56">
        <v>11</v>
      </c>
      <c r="Q134" s="56">
        <v>13</v>
      </c>
      <c r="R134" s="56">
        <v>16</v>
      </c>
      <c r="S134" s="56">
        <v>4</v>
      </c>
      <c r="T134" s="67">
        <v>8</v>
      </c>
      <c r="U134" s="59">
        <f t="shared" si="29"/>
        <v>288</v>
      </c>
    </row>
    <row r="135" spans="1:40" ht="15.75" customHeight="1">
      <c r="A135" s="230"/>
      <c r="B135" s="4" t="s">
        <v>14</v>
      </c>
      <c r="C135" s="4">
        <v>6</v>
      </c>
      <c r="D135" s="4">
        <v>5</v>
      </c>
      <c r="E135" s="4">
        <v>9</v>
      </c>
      <c r="F135" s="4">
        <v>12</v>
      </c>
      <c r="G135" s="4">
        <v>14</v>
      </c>
      <c r="H135" s="4">
        <v>18</v>
      </c>
      <c r="I135" s="4">
        <v>14</v>
      </c>
      <c r="J135" s="4">
        <v>9</v>
      </c>
      <c r="K135" s="227"/>
      <c r="L135" s="4" t="s">
        <v>14</v>
      </c>
      <c r="M135" s="4">
        <v>10</v>
      </c>
      <c r="N135" s="4">
        <v>11</v>
      </c>
      <c r="O135" s="4">
        <v>9</v>
      </c>
      <c r="P135" s="4">
        <v>10</v>
      </c>
      <c r="Q135" s="4">
        <v>6</v>
      </c>
      <c r="R135" s="4">
        <v>3</v>
      </c>
      <c r="S135" s="4">
        <v>2</v>
      </c>
      <c r="T135" s="50">
        <v>2</v>
      </c>
      <c r="U135" s="60">
        <f t="shared" si="29"/>
        <v>140</v>
      </c>
    </row>
    <row r="136" spans="1:40" ht="15.75" customHeight="1">
      <c r="A136" s="230"/>
      <c r="B136" s="4" t="s">
        <v>15</v>
      </c>
      <c r="C136" s="4">
        <v>9</v>
      </c>
      <c r="D136" s="4">
        <v>6</v>
      </c>
      <c r="E136" s="4">
        <v>10</v>
      </c>
      <c r="F136" s="4">
        <v>15</v>
      </c>
      <c r="G136" s="4">
        <v>17</v>
      </c>
      <c r="H136" s="4">
        <v>20</v>
      </c>
      <c r="I136" s="4">
        <v>30</v>
      </c>
      <c r="J136" s="4">
        <v>17</v>
      </c>
      <c r="K136" s="227"/>
      <c r="L136" s="4" t="s">
        <v>15</v>
      </c>
      <c r="M136" s="4">
        <v>12</v>
      </c>
      <c r="N136" s="4">
        <v>15</v>
      </c>
      <c r="O136" s="4">
        <v>16</v>
      </c>
      <c r="P136" s="4">
        <v>21</v>
      </c>
      <c r="Q136" s="4">
        <v>15</v>
      </c>
      <c r="R136" s="4">
        <v>12</v>
      </c>
      <c r="S136" s="4">
        <v>17</v>
      </c>
      <c r="T136" s="50">
        <v>7</v>
      </c>
      <c r="U136" s="60">
        <f t="shared" si="29"/>
        <v>239</v>
      </c>
    </row>
    <row r="137" spans="1:40" ht="15.75" customHeight="1">
      <c r="A137" s="230"/>
      <c r="B137" s="4" t="s">
        <v>16</v>
      </c>
      <c r="C137" s="4">
        <v>2</v>
      </c>
      <c r="D137" s="4">
        <v>3</v>
      </c>
      <c r="E137" s="4">
        <v>5</v>
      </c>
      <c r="F137" s="4">
        <v>14</v>
      </c>
      <c r="G137" s="4">
        <v>14</v>
      </c>
      <c r="H137" s="4">
        <v>18</v>
      </c>
      <c r="I137" s="4">
        <v>15</v>
      </c>
      <c r="J137" s="4">
        <v>9</v>
      </c>
      <c r="K137" s="227"/>
      <c r="L137" s="4" t="s">
        <v>16</v>
      </c>
      <c r="M137" s="4">
        <v>10</v>
      </c>
      <c r="N137" s="4">
        <v>7</v>
      </c>
      <c r="O137" s="4">
        <v>0</v>
      </c>
      <c r="P137" s="4">
        <v>6</v>
      </c>
      <c r="Q137" s="4">
        <v>9</v>
      </c>
      <c r="R137" s="4">
        <v>2</v>
      </c>
      <c r="S137" s="4">
        <v>0</v>
      </c>
      <c r="T137" s="50">
        <v>3</v>
      </c>
      <c r="U137" s="60">
        <f t="shared" si="29"/>
        <v>117</v>
      </c>
    </row>
    <row r="138" spans="1:40" ht="15.75" customHeight="1">
      <c r="A138" s="230"/>
      <c r="B138" s="4" t="s">
        <v>17</v>
      </c>
      <c r="C138" s="4">
        <v>1</v>
      </c>
      <c r="D138" s="4">
        <v>3</v>
      </c>
      <c r="E138" s="4">
        <v>7</v>
      </c>
      <c r="F138" s="4">
        <v>8</v>
      </c>
      <c r="G138" s="4">
        <v>10</v>
      </c>
      <c r="H138" s="4">
        <v>8</v>
      </c>
      <c r="I138" s="4">
        <v>14</v>
      </c>
      <c r="J138" s="4">
        <v>5</v>
      </c>
      <c r="K138" s="227"/>
      <c r="L138" s="4" t="s">
        <v>17</v>
      </c>
      <c r="M138" s="4">
        <v>4</v>
      </c>
      <c r="N138" s="4">
        <v>2</v>
      </c>
      <c r="O138" s="4">
        <v>4</v>
      </c>
      <c r="P138" s="4">
        <v>5</v>
      </c>
      <c r="Q138" s="4">
        <v>2</v>
      </c>
      <c r="R138" s="4">
        <v>0</v>
      </c>
      <c r="S138" s="4">
        <v>1</v>
      </c>
      <c r="T138" s="50">
        <v>0</v>
      </c>
      <c r="U138" s="60">
        <f t="shared" si="29"/>
        <v>74</v>
      </c>
    </row>
    <row r="139" spans="1:40" ht="15.75" customHeight="1">
      <c r="A139" s="231"/>
      <c r="B139" s="61" t="s">
        <v>18</v>
      </c>
      <c r="C139" s="61">
        <v>4</v>
      </c>
      <c r="D139" s="61">
        <v>4</v>
      </c>
      <c r="E139" s="61">
        <v>8</v>
      </c>
      <c r="F139" s="61">
        <v>8</v>
      </c>
      <c r="G139" s="61">
        <v>10</v>
      </c>
      <c r="H139" s="61">
        <v>12</v>
      </c>
      <c r="I139" s="61">
        <v>16</v>
      </c>
      <c r="J139" s="61">
        <v>5</v>
      </c>
      <c r="K139" s="232"/>
      <c r="L139" s="61" t="s">
        <v>18</v>
      </c>
      <c r="M139" s="61">
        <v>10</v>
      </c>
      <c r="N139" s="61">
        <v>12</v>
      </c>
      <c r="O139" s="61">
        <v>4</v>
      </c>
      <c r="P139" s="61">
        <v>4</v>
      </c>
      <c r="Q139" s="61">
        <v>4</v>
      </c>
      <c r="R139" s="61">
        <v>2</v>
      </c>
      <c r="S139" s="61">
        <v>2</v>
      </c>
      <c r="T139" s="88">
        <v>5</v>
      </c>
      <c r="U139" s="62">
        <f t="shared" si="29"/>
        <v>110</v>
      </c>
    </row>
    <row r="141" spans="1:40" ht="15.75" customHeight="1">
      <c r="A141" s="1"/>
      <c r="B141" s="1"/>
      <c r="C141" s="183" t="s">
        <v>0</v>
      </c>
      <c r="D141" s="225"/>
      <c r="E141" s="225"/>
      <c r="F141" s="225"/>
      <c r="G141" s="226"/>
      <c r="H141" s="2"/>
      <c r="I141" s="1"/>
    </row>
    <row r="142" spans="1:40" ht="15.75" customHeight="1">
      <c r="A142" s="1"/>
      <c r="B142" s="183" t="s">
        <v>1</v>
      </c>
      <c r="C142" s="225"/>
      <c r="D142" s="226"/>
      <c r="E142" s="1"/>
      <c r="F142" s="184" t="s">
        <v>68</v>
      </c>
      <c r="G142" s="225"/>
      <c r="H142" s="226"/>
      <c r="I142" s="1"/>
      <c r="K142" s="1"/>
      <c r="L142" s="183" t="s">
        <v>26</v>
      </c>
      <c r="M142" s="225"/>
      <c r="N142" s="226"/>
      <c r="O142" s="1"/>
      <c r="P142" s="184" t="s">
        <v>68</v>
      </c>
      <c r="Q142" s="225"/>
      <c r="R142" s="226"/>
      <c r="S142" s="1"/>
    </row>
    <row r="143" spans="1:40" ht="15.75" customHeight="1">
      <c r="A143" s="54" t="s">
        <v>35</v>
      </c>
      <c r="B143" s="54" t="s">
        <v>4</v>
      </c>
      <c r="C143" s="54" t="s">
        <v>12</v>
      </c>
      <c r="D143" s="54" t="s">
        <v>19</v>
      </c>
      <c r="E143" s="54" t="s">
        <v>20</v>
      </c>
      <c r="F143" s="54" t="s">
        <v>21</v>
      </c>
      <c r="G143" s="54" t="s">
        <v>22</v>
      </c>
      <c r="H143" s="54" t="s">
        <v>23</v>
      </c>
      <c r="I143" s="54" t="s">
        <v>24</v>
      </c>
      <c r="J143" s="54" t="s">
        <v>25</v>
      </c>
      <c r="K143" s="54" t="s">
        <v>35</v>
      </c>
      <c r="L143" s="54" t="s">
        <v>4</v>
      </c>
      <c r="M143" s="54" t="s">
        <v>27</v>
      </c>
      <c r="N143" s="54" t="s">
        <v>28</v>
      </c>
      <c r="O143" s="54" t="s">
        <v>29</v>
      </c>
      <c r="P143" s="54" t="s">
        <v>30</v>
      </c>
      <c r="Q143" s="54" t="s">
        <v>31</v>
      </c>
      <c r="R143" s="54" t="s">
        <v>32</v>
      </c>
      <c r="S143" s="54" t="s">
        <v>33</v>
      </c>
      <c r="T143" s="54" t="s">
        <v>34</v>
      </c>
      <c r="U143" s="54" t="s">
        <v>55</v>
      </c>
    </row>
    <row r="144" spans="1:40" ht="15.75" customHeight="1">
      <c r="A144" s="195" t="s">
        <v>5</v>
      </c>
      <c r="B144" s="56" t="s">
        <v>13</v>
      </c>
      <c r="C144" s="57"/>
      <c r="D144" s="57"/>
      <c r="E144" s="56">
        <v>14</v>
      </c>
      <c r="F144" s="56">
        <v>20</v>
      </c>
      <c r="G144" s="56">
        <v>26</v>
      </c>
      <c r="H144" s="56">
        <v>37</v>
      </c>
      <c r="I144" s="56">
        <v>42</v>
      </c>
      <c r="J144" s="56">
        <v>41</v>
      </c>
      <c r="K144" s="196" t="s">
        <v>5</v>
      </c>
      <c r="L144" s="56" t="s">
        <v>13</v>
      </c>
      <c r="M144" s="56">
        <v>13</v>
      </c>
      <c r="N144" s="56">
        <v>24</v>
      </c>
      <c r="O144" s="56">
        <v>15</v>
      </c>
      <c r="P144" s="56">
        <v>24</v>
      </c>
      <c r="Q144" s="56">
        <v>3</v>
      </c>
      <c r="R144" s="57"/>
      <c r="S144" s="57"/>
      <c r="T144" s="58"/>
      <c r="U144" s="59">
        <f>SUM(M144:T144,C144:J144)</f>
        <v>259</v>
      </c>
      <c r="W144" s="197" t="s">
        <v>68</v>
      </c>
      <c r="X144" s="198"/>
      <c r="AG144" s="190" t="s">
        <v>58</v>
      </c>
      <c r="AH144" s="191"/>
      <c r="AI144" s="191"/>
      <c r="AJ144" s="191"/>
      <c r="AK144" s="191"/>
      <c r="AL144" s="191"/>
      <c r="AM144" s="191"/>
      <c r="AN144" s="192"/>
    </row>
    <row r="145" spans="1:40" ht="15.75" customHeight="1">
      <c r="A145" s="230"/>
      <c r="B145" s="4" t="s">
        <v>14</v>
      </c>
      <c r="C145" s="5"/>
      <c r="D145" s="5"/>
      <c r="E145" s="4">
        <v>5</v>
      </c>
      <c r="F145" s="4">
        <v>8</v>
      </c>
      <c r="G145" s="4">
        <v>9</v>
      </c>
      <c r="H145" s="4">
        <v>10</v>
      </c>
      <c r="I145" s="4">
        <v>5</v>
      </c>
      <c r="J145" s="4">
        <v>6</v>
      </c>
      <c r="K145" s="227"/>
      <c r="L145" s="4" t="s">
        <v>14</v>
      </c>
      <c r="M145" s="4">
        <v>7</v>
      </c>
      <c r="N145" s="4">
        <v>3</v>
      </c>
      <c r="O145" s="4">
        <v>1</v>
      </c>
      <c r="P145" s="4">
        <v>5</v>
      </c>
      <c r="Q145" s="4">
        <v>2</v>
      </c>
      <c r="R145" s="5"/>
      <c r="S145" s="5"/>
      <c r="T145" s="49"/>
      <c r="U145" s="60">
        <f>SUM(M145:Q145,E145:J145)</f>
        <v>61</v>
      </c>
      <c r="W145" s="55" t="s">
        <v>5</v>
      </c>
      <c r="X145" s="48">
        <f>SUM(U144:U149)</f>
        <v>814</v>
      </c>
      <c r="AG145" s="98" t="s">
        <v>4</v>
      </c>
      <c r="AH145" s="98" t="s">
        <v>5</v>
      </c>
      <c r="AI145" s="98" t="s">
        <v>6</v>
      </c>
      <c r="AJ145" s="98" t="s">
        <v>7</v>
      </c>
      <c r="AK145" s="98" t="s">
        <v>8</v>
      </c>
      <c r="AL145" s="98" t="s">
        <v>9</v>
      </c>
      <c r="AM145" s="98" t="s">
        <v>10</v>
      </c>
      <c r="AN145" s="98" t="s">
        <v>11</v>
      </c>
    </row>
    <row r="146" spans="1:40" ht="15.75" customHeight="1">
      <c r="A146" s="230"/>
      <c r="B146" s="4" t="s">
        <v>15</v>
      </c>
      <c r="C146" s="5"/>
      <c r="D146" s="5"/>
      <c r="E146" s="4">
        <v>16</v>
      </c>
      <c r="F146" s="4">
        <v>17</v>
      </c>
      <c r="G146" s="4">
        <v>25</v>
      </c>
      <c r="H146" s="4">
        <v>33</v>
      </c>
      <c r="I146" s="4">
        <v>35</v>
      </c>
      <c r="J146" s="4">
        <v>43</v>
      </c>
      <c r="K146" s="227"/>
      <c r="L146" s="4" t="s">
        <v>15</v>
      </c>
      <c r="M146" s="4">
        <v>36</v>
      </c>
      <c r="N146" s="4">
        <v>26</v>
      </c>
      <c r="O146" s="4">
        <v>18</v>
      </c>
      <c r="P146" s="4">
        <v>16</v>
      </c>
      <c r="Q146" s="4">
        <v>3</v>
      </c>
      <c r="R146" s="5"/>
      <c r="S146" s="5"/>
      <c r="T146" s="49"/>
      <c r="U146" s="60">
        <f t="shared" ref="U146:U155" si="30">SUM(M146:Q146,E146:J146)</f>
        <v>268</v>
      </c>
      <c r="W146" s="55" t="s">
        <v>6</v>
      </c>
      <c r="X146" s="48">
        <f>SUM(U150:U155)</f>
        <v>0</v>
      </c>
      <c r="Y146" t="s">
        <v>69</v>
      </c>
      <c r="AG146" s="79" t="s">
        <v>13</v>
      </c>
      <c r="AH146" s="79">
        <f t="shared" ref="AH146:AH151" si="31">U144</f>
        <v>259</v>
      </c>
      <c r="AI146" s="79">
        <f t="shared" ref="AI146:AI151" si="32">U150</f>
        <v>0</v>
      </c>
      <c r="AJ146" s="79">
        <f t="shared" ref="AJ146:AJ151" si="33">U156</f>
        <v>480</v>
      </c>
      <c r="AK146" s="79">
        <f t="shared" ref="AK146:AK151" si="34">U162</f>
        <v>382</v>
      </c>
      <c r="AL146" s="79">
        <f t="shared" ref="AL146:AL151" si="35">U168</f>
        <v>374</v>
      </c>
      <c r="AM146" s="79">
        <f t="shared" ref="AM146:AM151" si="36">U174</f>
        <v>282</v>
      </c>
      <c r="AN146" s="79">
        <f t="shared" ref="AN146:AN151" si="37">U180</f>
        <v>293</v>
      </c>
    </row>
    <row r="147" spans="1:40" ht="15.75" customHeight="1">
      <c r="A147" s="230"/>
      <c r="B147" s="4" t="s">
        <v>16</v>
      </c>
      <c r="C147" s="5"/>
      <c r="D147" s="5"/>
      <c r="E147" s="4">
        <v>3</v>
      </c>
      <c r="F147" s="4">
        <v>3</v>
      </c>
      <c r="G147" s="4">
        <v>8</v>
      </c>
      <c r="H147" s="4">
        <v>11</v>
      </c>
      <c r="I147" s="4">
        <v>9</v>
      </c>
      <c r="J147" s="4">
        <v>7</v>
      </c>
      <c r="K147" s="227"/>
      <c r="L147" s="4" t="s">
        <v>16</v>
      </c>
      <c r="M147" s="4">
        <v>14</v>
      </c>
      <c r="N147" s="4">
        <v>8</v>
      </c>
      <c r="O147" s="4">
        <v>8</v>
      </c>
      <c r="P147" s="4">
        <v>3</v>
      </c>
      <c r="Q147" s="4">
        <v>3</v>
      </c>
      <c r="R147" s="5"/>
      <c r="S147" s="5"/>
      <c r="T147" s="49"/>
      <c r="U147" s="60">
        <f t="shared" si="30"/>
        <v>77</v>
      </c>
      <c r="W147" s="55" t="s">
        <v>7</v>
      </c>
      <c r="X147" s="48">
        <f>SUM(U156:U161)</f>
        <v>1624</v>
      </c>
      <c r="AG147" s="97" t="s">
        <v>14</v>
      </c>
      <c r="AH147" s="97">
        <f t="shared" si="31"/>
        <v>61</v>
      </c>
      <c r="AI147" s="97">
        <f t="shared" si="32"/>
        <v>0</v>
      </c>
      <c r="AJ147" s="97">
        <f t="shared" si="33"/>
        <v>204</v>
      </c>
      <c r="AK147" s="97">
        <f t="shared" si="34"/>
        <v>139</v>
      </c>
      <c r="AL147" s="97">
        <f t="shared" si="35"/>
        <v>171</v>
      </c>
      <c r="AM147" s="97">
        <f t="shared" si="36"/>
        <v>123</v>
      </c>
      <c r="AN147" s="97">
        <f t="shared" si="37"/>
        <v>160</v>
      </c>
    </row>
    <row r="148" spans="1:40" ht="15.75" customHeight="1">
      <c r="A148" s="230"/>
      <c r="B148" s="4" t="s">
        <v>17</v>
      </c>
      <c r="C148" s="5"/>
      <c r="D148" s="5"/>
      <c r="E148" s="4">
        <v>0</v>
      </c>
      <c r="F148" s="4">
        <v>4</v>
      </c>
      <c r="G148" s="4">
        <v>11</v>
      </c>
      <c r="H148" s="4">
        <v>10</v>
      </c>
      <c r="I148" s="4">
        <v>8</v>
      </c>
      <c r="J148" s="4">
        <v>6</v>
      </c>
      <c r="K148" s="227"/>
      <c r="L148" s="4" t="s">
        <v>17</v>
      </c>
      <c r="M148" s="4">
        <v>9</v>
      </c>
      <c r="N148" s="4">
        <v>8</v>
      </c>
      <c r="O148" s="4">
        <v>4</v>
      </c>
      <c r="P148" s="4">
        <v>3</v>
      </c>
      <c r="Q148" s="4">
        <v>0</v>
      </c>
      <c r="R148" s="5"/>
      <c r="S148" s="5"/>
      <c r="T148" s="49"/>
      <c r="U148" s="60">
        <f t="shared" si="30"/>
        <v>63</v>
      </c>
      <c r="W148" s="55" t="s">
        <v>61</v>
      </c>
      <c r="X148" s="48">
        <f>SUM(U162:U167)</f>
        <v>1170</v>
      </c>
      <c r="AG148" s="79" t="s">
        <v>15</v>
      </c>
      <c r="AH148" s="79">
        <f t="shared" si="31"/>
        <v>268</v>
      </c>
      <c r="AI148" s="79">
        <f t="shared" si="32"/>
        <v>0</v>
      </c>
      <c r="AJ148" s="79">
        <f t="shared" si="33"/>
        <v>445</v>
      </c>
      <c r="AK148" s="79">
        <f t="shared" si="34"/>
        <v>335</v>
      </c>
      <c r="AL148" s="79">
        <f t="shared" si="35"/>
        <v>330</v>
      </c>
      <c r="AM148" s="79">
        <f t="shared" si="36"/>
        <v>282</v>
      </c>
      <c r="AN148" s="79">
        <f t="shared" si="37"/>
        <v>279</v>
      </c>
    </row>
    <row r="149" spans="1:40" ht="15.75" customHeight="1">
      <c r="A149" s="230"/>
      <c r="B149" s="46" t="s">
        <v>18</v>
      </c>
      <c r="C149" s="64"/>
      <c r="D149" s="64"/>
      <c r="E149" s="46">
        <v>11</v>
      </c>
      <c r="F149" s="46">
        <v>6</v>
      </c>
      <c r="G149" s="46">
        <v>7</v>
      </c>
      <c r="H149" s="46">
        <v>10</v>
      </c>
      <c r="I149" s="46">
        <v>7</v>
      </c>
      <c r="J149" s="46">
        <v>12</v>
      </c>
      <c r="K149" s="227"/>
      <c r="L149" s="46" t="s">
        <v>18</v>
      </c>
      <c r="M149" s="46">
        <v>7</v>
      </c>
      <c r="N149" s="46">
        <v>8</v>
      </c>
      <c r="O149" s="46">
        <v>9</v>
      </c>
      <c r="P149" s="46">
        <v>7</v>
      </c>
      <c r="Q149" s="46">
        <v>2</v>
      </c>
      <c r="R149" s="64"/>
      <c r="S149" s="64"/>
      <c r="T149" s="65"/>
      <c r="U149" s="66">
        <f t="shared" si="30"/>
        <v>86</v>
      </c>
      <c r="W149" s="55" t="s">
        <v>9</v>
      </c>
      <c r="X149" s="48">
        <f>SUM(U168:U173)</f>
        <v>1222</v>
      </c>
      <c r="AG149" s="97" t="s">
        <v>16</v>
      </c>
      <c r="AH149" s="97">
        <f t="shared" si="31"/>
        <v>77</v>
      </c>
      <c r="AI149" s="97">
        <f t="shared" si="32"/>
        <v>0</v>
      </c>
      <c r="AJ149" s="97">
        <f t="shared" si="33"/>
        <v>188</v>
      </c>
      <c r="AK149" s="97">
        <f t="shared" si="34"/>
        <v>107</v>
      </c>
      <c r="AL149" s="97">
        <f t="shared" si="35"/>
        <v>115</v>
      </c>
      <c r="AM149" s="97">
        <f t="shared" si="36"/>
        <v>93</v>
      </c>
      <c r="AN149" s="97">
        <f t="shared" si="37"/>
        <v>98</v>
      </c>
    </row>
    <row r="150" spans="1:40" ht="15.75" customHeight="1">
      <c r="A150" s="193" t="s">
        <v>6</v>
      </c>
      <c r="B150" s="63" t="s">
        <v>13</v>
      </c>
      <c r="C150" s="57"/>
      <c r="D150" s="57"/>
      <c r="E150" s="57"/>
      <c r="F150" s="57"/>
      <c r="G150" s="57"/>
      <c r="H150" s="57"/>
      <c r="I150" s="57"/>
      <c r="J150" s="57"/>
      <c r="K150" s="194" t="s">
        <v>6</v>
      </c>
      <c r="L150" s="63" t="s">
        <v>13</v>
      </c>
      <c r="M150" s="57"/>
      <c r="N150" s="57"/>
      <c r="O150" s="57"/>
      <c r="P150" s="57"/>
      <c r="Q150" s="57"/>
      <c r="R150" s="57"/>
      <c r="S150" s="57"/>
      <c r="T150" s="58"/>
      <c r="U150" s="59">
        <f t="shared" si="30"/>
        <v>0</v>
      </c>
      <c r="W150" s="55" t="s">
        <v>10</v>
      </c>
      <c r="X150" s="48">
        <f>SUM(U174:U179)</f>
        <v>972</v>
      </c>
      <c r="AG150" s="79" t="s">
        <v>17</v>
      </c>
      <c r="AH150" s="79">
        <f t="shared" si="31"/>
        <v>63</v>
      </c>
      <c r="AI150" s="79">
        <f t="shared" si="32"/>
        <v>0</v>
      </c>
      <c r="AJ150" s="79">
        <f t="shared" si="33"/>
        <v>154</v>
      </c>
      <c r="AK150" s="79">
        <f t="shared" si="34"/>
        <v>96</v>
      </c>
      <c r="AL150" s="79">
        <f t="shared" si="35"/>
        <v>109</v>
      </c>
      <c r="AM150" s="79">
        <f t="shared" si="36"/>
        <v>62</v>
      </c>
      <c r="AN150" s="79">
        <f t="shared" si="37"/>
        <v>94</v>
      </c>
    </row>
    <row r="151" spans="1:40" ht="15.75" customHeight="1">
      <c r="A151" s="230"/>
      <c r="B151" s="6" t="s">
        <v>14</v>
      </c>
      <c r="C151" s="5"/>
      <c r="D151" s="5"/>
      <c r="E151" s="5"/>
      <c r="F151" s="5"/>
      <c r="G151" s="5"/>
      <c r="H151" s="5"/>
      <c r="I151" s="5"/>
      <c r="J151" s="5"/>
      <c r="K151" s="227"/>
      <c r="L151" s="6" t="s">
        <v>14</v>
      </c>
      <c r="M151" s="5"/>
      <c r="N151" s="5"/>
      <c r="O151" s="5"/>
      <c r="P151" s="5"/>
      <c r="Q151" s="5"/>
      <c r="R151" s="5"/>
      <c r="S151" s="5"/>
      <c r="T151" s="49"/>
      <c r="U151" s="60">
        <f t="shared" si="30"/>
        <v>0</v>
      </c>
      <c r="W151" s="81" t="s">
        <v>11</v>
      </c>
      <c r="X151" s="80">
        <f>SUM(U180:U185)</f>
        <v>1033</v>
      </c>
      <c r="AG151" s="97" t="s">
        <v>18</v>
      </c>
      <c r="AH151" s="97">
        <f t="shared" si="31"/>
        <v>86</v>
      </c>
      <c r="AI151" s="97">
        <f t="shared" si="32"/>
        <v>0</v>
      </c>
      <c r="AJ151" s="97">
        <f t="shared" si="33"/>
        <v>153</v>
      </c>
      <c r="AK151" s="97">
        <f t="shared" si="34"/>
        <v>111</v>
      </c>
      <c r="AL151" s="97">
        <f t="shared" si="35"/>
        <v>123</v>
      </c>
      <c r="AM151" s="97">
        <f t="shared" si="36"/>
        <v>130</v>
      </c>
      <c r="AN151" s="97">
        <f t="shared" si="37"/>
        <v>109</v>
      </c>
    </row>
    <row r="152" spans="1:40" ht="15.75" customHeight="1">
      <c r="A152" s="230"/>
      <c r="B152" s="6" t="s">
        <v>15</v>
      </c>
      <c r="C152" s="5"/>
      <c r="D152" s="5"/>
      <c r="E152" s="5"/>
      <c r="F152" s="5"/>
      <c r="G152" s="5"/>
      <c r="H152" s="5"/>
      <c r="I152" s="5"/>
      <c r="J152" s="5"/>
      <c r="K152" s="227"/>
      <c r="L152" s="6" t="s">
        <v>15</v>
      </c>
      <c r="M152" s="5"/>
      <c r="N152" s="5"/>
      <c r="O152" s="5"/>
      <c r="P152" s="5"/>
      <c r="Q152" s="5"/>
      <c r="R152" s="5"/>
      <c r="S152" s="5"/>
      <c r="T152" s="49"/>
      <c r="U152" s="60">
        <f t="shared" si="30"/>
        <v>0</v>
      </c>
      <c r="W152" s="79" t="s">
        <v>63</v>
      </c>
      <c r="X152" s="82">
        <f>SUM(X145:X151)</f>
        <v>6835</v>
      </c>
    </row>
    <row r="153" spans="1:40" ht="15.75" customHeight="1">
      <c r="A153" s="230"/>
      <c r="B153" s="6" t="s">
        <v>16</v>
      </c>
      <c r="C153" s="5"/>
      <c r="D153" s="5"/>
      <c r="E153" s="5"/>
      <c r="F153" s="5"/>
      <c r="G153" s="5"/>
      <c r="H153" s="5"/>
      <c r="I153" s="5"/>
      <c r="J153" s="5"/>
      <c r="K153" s="227"/>
      <c r="L153" s="6" t="s">
        <v>16</v>
      </c>
      <c r="M153" s="5"/>
      <c r="N153" s="5"/>
      <c r="O153" s="5"/>
      <c r="P153" s="5"/>
      <c r="Q153" s="5"/>
      <c r="R153" s="5"/>
      <c r="S153" s="5"/>
      <c r="T153" s="49"/>
      <c r="U153" s="60">
        <f t="shared" si="30"/>
        <v>0</v>
      </c>
    </row>
    <row r="154" spans="1:40" ht="15.75" customHeight="1">
      <c r="A154" s="230"/>
      <c r="B154" s="6" t="s">
        <v>17</v>
      </c>
      <c r="C154" s="5"/>
      <c r="D154" s="5"/>
      <c r="E154" s="5"/>
      <c r="F154" s="5"/>
      <c r="G154" s="5"/>
      <c r="H154" s="5"/>
      <c r="I154" s="5"/>
      <c r="J154" s="5"/>
      <c r="K154" s="227"/>
      <c r="L154" s="6" t="s">
        <v>17</v>
      </c>
      <c r="M154" s="5"/>
      <c r="N154" s="5"/>
      <c r="O154" s="5"/>
      <c r="P154" s="5"/>
      <c r="Q154" s="5"/>
      <c r="R154" s="5"/>
      <c r="S154" s="5"/>
      <c r="T154" s="49"/>
      <c r="U154" s="60">
        <f t="shared" si="30"/>
        <v>0</v>
      </c>
    </row>
    <row r="155" spans="1:40" ht="15.75" customHeight="1">
      <c r="A155" s="230"/>
      <c r="B155" s="47" t="s">
        <v>18</v>
      </c>
      <c r="C155" s="64"/>
      <c r="D155" s="64"/>
      <c r="E155" s="64"/>
      <c r="F155" s="64"/>
      <c r="G155" s="64"/>
      <c r="H155" s="64"/>
      <c r="I155" s="64"/>
      <c r="J155" s="64"/>
      <c r="K155" s="227"/>
      <c r="L155" s="47" t="s">
        <v>18</v>
      </c>
      <c r="M155" s="64"/>
      <c r="N155" s="64"/>
      <c r="O155" s="64"/>
      <c r="P155" s="64"/>
      <c r="Q155" s="64"/>
      <c r="R155" s="64"/>
      <c r="S155" s="64"/>
      <c r="T155" s="65"/>
      <c r="U155" s="66">
        <f t="shared" si="30"/>
        <v>0</v>
      </c>
    </row>
    <row r="156" spans="1:40" ht="15.75" customHeight="1">
      <c r="A156" s="195" t="s">
        <v>7</v>
      </c>
      <c r="B156" s="56" t="s">
        <v>13</v>
      </c>
      <c r="C156" s="56">
        <v>16</v>
      </c>
      <c r="D156" s="56">
        <v>26</v>
      </c>
      <c r="E156" s="56">
        <v>20</v>
      </c>
      <c r="F156" s="56">
        <v>26</v>
      </c>
      <c r="G156" s="56">
        <v>35</v>
      </c>
      <c r="H156" s="56">
        <v>34</v>
      </c>
      <c r="I156" s="56">
        <v>37</v>
      </c>
      <c r="J156" s="56">
        <v>35</v>
      </c>
      <c r="K156" s="196" t="s">
        <v>7</v>
      </c>
      <c r="L156" s="56" t="s">
        <v>13</v>
      </c>
      <c r="M156" s="56">
        <v>31</v>
      </c>
      <c r="N156" s="56">
        <v>34</v>
      </c>
      <c r="O156" s="56">
        <v>2</v>
      </c>
      <c r="P156" s="56">
        <v>31</v>
      </c>
      <c r="Q156" s="56">
        <v>50</v>
      </c>
      <c r="R156" s="56">
        <v>52</v>
      </c>
      <c r="S156" s="56">
        <v>29</v>
      </c>
      <c r="T156" s="67">
        <v>22</v>
      </c>
      <c r="U156" s="59">
        <f>SUM(Q156:T156: C156:J156)</f>
        <v>480</v>
      </c>
    </row>
    <row r="157" spans="1:40" ht="15.75" customHeight="1">
      <c r="A157" s="230"/>
      <c r="B157" s="4" t="s">
        <v>14</v>
      </c>
      <c r="C157" s="4">
        <v>8</v>
      </c>
      <c r="D157" s="4">
        <v>10</v>
      </c>
      <c r="E157" s="4">
        <v>10</v>
      </c>
      <c r="F157" s="4">
        <v>9</v>
      </c>
      <c r="G157" s="4">
        <v>13</v>
      </c>
      <c r="H157" s="4">
        <v>12</v>
      </c>
      <c r="I157" s="4">
        <v>12</v>
      </c>
      <c r="J157" s="4">
        <v>12</v>
      </c>
      <c r="K157" s="227"/>
      <c r="L157" s="4" t="s">
        <v>14</v>
      </c>
      <c r="M157" s="4">
        <v>20</v>
      </c>
      <c r="N157" s="4">
        <v>14</v>
      </c>
      <c r="O157" s="4">
        <v>20</v>
      </c>
      <c r="P157" s="4">
        <v>19</v>
      </c>
      <c r="Q157" s="4">
        <v>16</v>
      </c>
      <c r="R157" s="4">
        <v>12</v>
      </c>
      <c r="S157" s="4">
        <v>10</v>
      </c>
      <c r="T157" s="50">
        <v>7</v>
      </c>
      <c r="U157" s="60">
        <f t="shared" ref="U157:U185" si="38">SUM(M157:T157,C157:J157)</f>
        <v>204</v>
      </c>
    </row>
    <row r="158" spans="1:40" ht="15.75" customHeight="1">
      <c r="A158" s="230"/>
      <c r="B158" s="4" t="s">
        <v>15</v>
      </c>
      <c r="C158" s="4">
        <v>22</v>
      </c>
      <c r="D158" s="4">
        <v>17</v>
      </c>
      <c r="E158" s="4">
        <v>25</v>
      </c>
      <c r="F158" s="4">
        <v>22</v>
      </c>
      <c r="G158" s="4">
        <v>25</v>
      </c>
      <c r="H158" s="4">
        <v>23</v>
      </c>
      <c r="I158" s="4">
        <v>27</v>
      </c>
      <c r="J158" s="4">
        <v>24</v>
      </c>
      <c r="K158" s="227"/>
      <c r="L158" s="4" t="s">
        <v>15</v>
      </c>
      <c r="M158" s="4">
        <v>25</v>
      </c>
      <c r="N158" s="4">
        <v>19</v>
      </c>
      <c r="O158" s="4">
        <v>21</v>
      </c>
      <c r="P158" s="4">
        <v>37</v>
      </c>
      <c r="Q158" s="4">
        <v>48</v>
      </c>
      <c r="R158" s="4">
        <v>42</v>
      </c>
      <c r="S158" s="4">
        <v>39</v>
      </c>
      <c r="T158" s="50">
        <v>29</v>
      </c>
      <c r="U158" s="60">
        <f t="shared" si="38"/>
        <v>445</v>
      </c>
    </row>
    <row r="159" spans="1:40" ht="15.75" customHeight="1">
      <c r="A159" s="230"/>
      <c r="B159" s="4" t="s">
        <v>16</v>
      </c>
      <c r="C159" s="4">
        <v>7</v>
      </c>
      <c r="D159" s="4">
        <v>3</v>
      </c>
      <c r="E159" s="4">
        <v>8</v>
      </c>
      <c r="F159" s="4">
        <v>8</v>
      </c>
      <c r="G159" s="4">
        <v>23</v>
      </c>
      <c r="H159" s="4">
        <v>24</v>
      </c>
      <c r="I159" s="4">
        <v>18</v>
      </c>
      <c r="J159" s="4">
        <v>9</v>
      </c>
      <c r="K159" s="227"/>
      <c r="L159" s="4" t="s">
        <v>16</v>
      </c>
      <c r="M159" s="4">
        <v>15</v>
      </c>
      <c r="N159" s="4">
        <v>8</v>
      </c>
      <c r="O159" s="4">
        <v>15</v>
      </c>
      <c r="P159" s="4">
        <v>14</v>
      </c>
      <c r="Q159" s="4">
        <v>9</v>
      </c>
      <c r="R159" s="4">
        <v>9</v>
      </c>
      <c r="S159" s="4">
        <v>9</v>
      </c>
      <c r="T159" s="50">
        <v>9</v>
      </c>
      <c r="U159" s="60">
        <f t="shared" si="38"/>
        <v>188</v>
      </c>
    </row>
    <row r="160" spans="1:40" ht="15.75" customHeight="1">
      <c r="A160" s="230"/>
      <c r="B160" s="4" t="s">
        <v>17</v>
      </c>
      <c r="C160" s="4">
        <v>5</v>
      </c>
      <c r="D160" s="4">
        <v>5</v>
      </c>
      <c r="E160" s="4">
        <v>7</v>
      </c>
      <c r="F160" s="4">
        <v>9</v>
      </c>
      <c r="G160" s="4">
        <v>7</v>
      </c>
      <c r="H160" s="4">
        <v>8</v>
      </c>
      <c r="I160" s="4">
        <v>4</v>
      </c>
      <c r="J160" s="4">
        <v>23</v>
      </c>
      <c r="K160" s="227"/>
      <c r="L160" s="4" t="s">
        <v>17</v>
      </c>
      <c r="M160" s="4">
        <v>10</v>
      </c>
      <c r="N160" s="4">
        <v>8</v>
      </c>
      <c r="O160" s="4">
        <v>14</v>
      </c>
      <c r="P160" s="4">
        <v>8</v>
      </c>
      <c r="Q160" s="4">
        <v>16</v>
      </c>
      <c r="R160" s="4">
        <v>17</v>
      </c>
      <c r="S160" s="4">
        <v>8</v>
      </c>
      <c r="T160" s="50">
        <v>5</v>
      </c>
      <c r="U160" s="60">
        <f t="shared" si="38"/>
        <v>154</v>
      </c>
    </row>
    <row r="161" spans="1:21" ht="15.75" customHeight="1">
      <c r="A161" s="230"/>
      <c r="B161" s="46" t="s">
        <v>18</v>
      </c>
      <c r="C161" s="46">
        <v>28</v>
      </c>
      <c r="D161" s="46">
        <v>9</v>
      </c>
      <c r="E161" s="46">
        <v>13</v>
      </c>
      <c r="F161" s="46">
        <v>8</v>
      </c>
      <c r="G161" s="46">
        <v>10</v>
      </c>
      <c r="H161" s="46">
        <v>11</v>
      </c>
      <c r="I161" s="46">
        <v>10</v>
      </c>
      <c r="J161" s="46">
        <v>12</v>
      </c>
      <c r="K161" s="227"/>
      <c r="L161" s="46" t="s">
        <v>18</v>
      </c>
      <c r="M161" s="46">
        <v>0</v>
      </c>
      <c r="N161" s="46">
        <v>1</v>
      </c>
      <c r="O161" s="46">
        <v>7</v>
      </c>
      <c r="P161" s="46">
        <v>12</v>
      </c>
      <c r="Q161" s="46">
        <v>9</v>
      </c>
      <c r="R161" s="46">
        <v>6</v>
      </c>
      <c r="S161" s="46">
        <v>11</v>
      </c>
      <c r="T161" s="69">
        <v>6</v>
      </c>
      <c r="U161" s="66">
        <f t="shared" si="38"/>
        <v>153</v>
      </c>
    </row>
    <row r="162" spans="1:21" ht="15.75" customHeight="1">
      <c r="A162" s="193" t="s">
        <v>8</v>
      </c>
      <c r="B162" s="63" t="s">
        <v>13</v>
      </c>
      <c r="C162" s="63">
        <v>24</v>
      </c>
      <c r="D162" s="63">
        <v>17</v>
      </c>
      <c r="E162" s="63">
        <v>22</v>
      </c>
      <c r="F162" s="63">
        <v>30</v>
      </c>
      <c r="G162" s="63">
        <v>38</v>
      </c>
      <c r="H162" s="63">
        <v>30</v>
      </c>
      <c r="I162" s="63">
        <v>24</v>
      </c>
      <c r="J162" s="63">
        <v>20</v>
      </c>
      <c r="K162" s="194" t="s">
        <v>8</v>
      </c>
      <c r="L162" s="63" t="s">
        <v>13</v>
      </c>
      <c r="M162" s="63">
        <v>18</v>
      </c>
      <c r="N162" s="63">
        <v>12</v>
      </c>
      <c r="O162" s="63">
        <v>20</v>
      </c>
      <c r="P162" s="63">
        <v>30</v>
      </c>
      <c r="Q162" s="63">
        <v>34</v>
      </c>
      <c r="R162" s="63">
        <v>23</v>
      </c>
      <c r="S162" s="63">
        <v>23</v>
      </c>
      <c r="T162" s="68">
        <v>17</v>
      </c>
      <c r="U162" s="59">
        <f t="shared" si="38"/>
        <v>382</v>
      </c>
    </row>
    <row r="163" spans="1:21" ht="15.75" customHeight="1">
      <c r="A163" s="230"/>
      <c r="B163" s="6" t="s">
        <v>14</v>
      </c>
      <c r="C163" s="6">
        <v>5</v>
      </c>
      <c r="D163" s="6">
        <v>10</v>
      </c>
      <c r="E163" s="6">
        <v>11</v>
      </c>
      <c r="F163" s="6">
        <v>9</v>
      </c>
      <c r="G163" s="6">
        <v>11</v>
      </c>
      <c r="H163" s="6">
        <v>9</v>
      </c>
      <c r="I163" s="6">
        <v>14</v>
      </c>
      <c r="J163" s="6">
        <v>12</v>
      </c>
      <c r="K163" s="227"/>
      <c r="L163" s="6" t="s">
        <v>14</v>
      </c>
      <c r="M163" s="6">
        <v>15</v>
      </c>
      <c r="N163" s="6">
        <v>11</v>
      </c>
      <c r="O163" s="6">
        <v>3</v>
      </c>
      <c r="P163" s="6">
        <v>9</v>
      </c>
      <c r="Q163" s="6">
        <v>2</v>
      </c>
      <c r="R163" s="6">
        <v>6</v>
      </c>
      <c r="S163" s="6">
        <v>8</v>
      </c>
      <c r="T163" s="51">
        <v>4</v>
      </c>
      <c r="U163" s="60">
        <f t="shared" si="38"/>
        <v>139</v>
      </c>
    </row>
    <row r="164" spans="1:21" ht="15.75" customHeight="1">
      <c r="A164" s="230"/>
      <c r="B164" s="6" t="s">
        <v>15</v>
      </c>
      <c r="C164" s="6">
        <v>22</v>
      </c>
      <c r="D164" s="6">
        <v>26</v>
      </c>
      <c r="E164" s="6">
        <v>13</v>
      </c>
      <c r="F164" s="6">
        <v>22</v>
      </c>
      <c r="G164" s="6">
        <v>23</v>
      </c>
      <c r="H164" s="6">
        <v>17</v>
      </c>
      <c r="I164" s="6">
        <v>19</v>
      </c>
      <c r="J164" s="6">
        <v>17</v>
      </c>
      <c r="K164" s="227"/>
      <c r="L164" s="6" t="s">
        <v>15</v>
      </c>
      <c r="M164" s="6">
        <v>17</v>
      </c>
      <c r="N164" s="6">
        <v>17</v>
      </c>
      <c r="O164" s="6">
        <v>22</v>
      </c>
      <c r="P164" s="6">
        <v>24</v>
      </c>
      <c r="Q164" s="6">
        <v>20</v>
      </c>
      <c r="R164" s="6">
        <v>31</v>
      </c>
      <c r="S164" s="6">
        <v>27</v>
      </c>
      <c r="T164" s="51">
        <v>18</v>
      </c>
      <c r="U164" s="60">
        <f t="shared" si="38"/>
        <v>335</v>
      </c>
    </row>
    <row r="165" spans="1:21" ht="15.75" customHeight="1">
      <c r="A165" s="230"/>
      <c r="B165" s="6" t="s">
        <v>16</v>
      </c>
      <c r="C165" s="6">
        <v>3</v>
      </c>
      <c r="D165" s="6">
        <v>7</v>
      </c>
      <c r="E165" s="6">
        <v>9</v>
      </c>
      <c r="F165" s="6">
        <v>13</v>
      </c>
      <c r="G165" s="6">
        <v>7</v>
      </c>
      <c r="H165" s="6">
        <v>16</v>
      </c>
      <c r="I165" s="6">
        <v>9</v>
      </c>
      <c r="J165" s="6">
        <v>8</v>
      </c>
      <c r="K165" s="227"/>
      <c r="L165" s="6" t="s">
        <v>16</v>
      </c>
      <c r="M165" s="6">
        <v>2</v>
      </c>
      <c r="N165" s="6">
        <v>5</v>
      </c>
      <c r="O165" s="6">
        <v>6</v>
      </c>
      <c r="P165" s="6">
        <v>6</v>
      </c>
      <c r="Q165" s="6">
        <v>4</v>
      </c>
      <c r="R165" s="6">
        <v>3</v>
      </c>
      <c r="S165" s="6">
        <v>5</v>
      </c>
      <c r="T165" s="51">
        <v>4</v>
      </c>
      <c r="U165" s="60">
        <f t="shared" si="38"/>
        <v>107</v>
      </c>
    </row>
    <row r="166" spans="1:21" ht="15.75" customHeight="1">
      <c r="A166" s="230"/>
      <c r="B166" s="6" t="s">
        <v>17</v>
      </c>
      <c r="C166" s="6">
        <v>7</v>
      </c>
      <c r="D166" s="6">
        <v>9</v>
      </c>
      <c r="E166" s="6">
        <v>3</v>
      </c>
      <c r="F166" s="6">
        <v>7</v>
      </c>
      <c r="G166" s="6">
        <v>7</v>
      </c>
      <c r="H166" s="6">
        <v>5</v>
      </c>
      <c r="I166" s="6">
        <v>6</v>
      </c>
      <c r="J166" s="6">
        <v>7</v>
      </c>
      <c r="K166" s="227"/>
      <c r="L166" s="6" t="s">
        <v>17</v>
      </c>
      <c r="M166" s="6">
        <v>5</v>
      </c>
      <c r="N166" s="6">
        <v>2</v>
      </c>
      <c r="O166" s="6">
        <v>0</v>
      </c>
      <c r="P166" s="6">
        <v>7</v>
      </c>
      <c r="Q166" s="6">
        <v>10</v>
      </c>
      <c r="R166" s="6">
        <v>14</v>
      </c>
      <c r="S166" s="6">
        <v>6</v>
      </c>
      <c r="T166" s="51">
        <v>1</v>
      </c>
      <c r="U166" s="60">
        <f t="shared" si="38"/>
        <v>96</v>
      </c>
    </row>
    <row r="167" spans="1:21" ht="15.75" customHeight="1">
      <c r="A167" s="230"/>
      <c r="B167" s="47" t="s">
        <v>18</v>
      </c>
      <c r="C167" s="47">
        <v>12</v>
      </c>
      <c r="D167" s="47">
        <v>6</v>
      </c>
      <c r="E167" s="47">
        <v>4</v>
      </c>
      <c r="F167" s="47">
        <v>10</v>
      </c>
      <c r="G167" s="47">
        <v>5</v>
      </c>
      <c r="H167" s="47">
        <v>10</v>
      </c>
      <c r="I167" s="47">
        <v>7</v>
      </c>
      <c r="J167" s="47">
        <v>6</v>
      </c>
      <c r="K167" s="227"/>
      <c r="L167" s="47" t="s">
        <v>18</v>
      </c>
      <c r="M167" s="47">
        <v>4</v>
      </c>
      <c r="N167" s="47">
        <v>4</v>
      </c>
      <c r="O167" s="47">
        <v>2</v>
      </c>
      <c r="P167" s="47">
        <v>5</v>
      </c>
      <c r="Q167" s="47">
        <v>17</v>
      </c>
      <c r="R167" s="47">
        <v>11</v>
      </c>
      <c r="S167" s="47">
        <v>5</v>
      </c>
      <c r="T167" s="70">
        <v>3</v>
      </c>
      <c r="U167" s="66">
        <f t="shared" si="38"/>
        <v>111</v>
      </c>
    </row>
    <row r="168" spans="1:21" ht="15.75" customHeight="1">
      <c r="A168" s="195" t="s">
        <v>9</v>
      </c>
      <c r="B168" s="56" t="s">
        <v>13</v>
      </c>
      <c r="C168" s="56">
        <v>8</v>
      </c>
      <c r="D168" s="56">
        <v>28</v>
      </c>
      <c r="E168" s="56">
        <v>22</v>
      </c>
      <c r="F168" s="56">
        <v>30</v>
      </c>
      <c r="G168" s="56">
        <v>36</v>
      </c>
      <c r="H168" s="56">
        <v>49</v>
      </c>
      <c r="I168" s="56">
        <v>23</v>
      </c>
      <c r="J168" s="56">
        <v>15</v>
      </c>
      <c r="K168" s="196" t="s">
        <v>9</v>
      </c>
      <c r="L168" s="56" t="s">
        <v>13</v>
      </c>
      <c r="M168" s="56">
        <v>24</v>
      </c>
      <c r="N168" s="56">
        <v>16</v>
      </c>
      <c r="O168" s="56">
        <v>18</v>
      </c>
      <c r="P168" s="56">
        <v>21</v>
      </c>
      <c r="Q168" s="56">
        <v>32</v>
      </c>
      <c r="R168" s="56">
        <v>16</v>
      </c>
      <c r="S168" s="56">
        <v>16</v>
      </c>
      <c r="T168" s="67">
        <v>20</v>
      </c>
      <c r="U168" s="59">
        <f t="shared" si="38"/>
        <v>374</v>
      </c>
    </row>
    <row r="169" spans="1:21" ht="15.75" customHeight="1">
      <c r="A169" s="230"/>
      <c r="B169" s="4" t="s">
        <v>14</v>
      </c>
      <c r="C169" s="4">
        <v>7</v>
      </c>
      <c r="D169" s="4">
        <v>4</v>
      </c>
      <c r="E169" s="4">
        <v>12</v>
      </c>
      <c r="F169" s="4">
        <v>13</v>
      </c>
      <c r="G169" s="4">
        <v>16</v>
      </c>
      <c r="H169" s="4">
        <v>16</v>
      </c>
      <c r="I169" s="4">
        <v>19</v>
      </c>
      <c r="J169" s="4">
        <v>18</v>
      </c>
      <c r="K169" s="227"/>
      <c r="L169" s="4" t="s">
        <v>14</v>
      </c>
      <c r="M169" s="4">
        <v>11</v>
      </c>
      <c r="N169" s="4">
        <v>12</v>
      </c>
      <c r="O169" s="4">
        <v>12</v>
      </c>
      <c r="P169" s="4">
        <v>11</v>
      </c>
      <c r="Q169" s="4">
        <v>8</v>
      </c>
      <c r="R169" s="4">
        <v>8</v>
      </c>
      <c r="S169" s="4">
        <v>2</v>
      </c>
      <c r="T169" s="50">
        <v>2</v>
      </c>
      <c r="U169" s="60">
        <f t="shared" si="38"/>
        <v>171</v>
      </c>
    </row>
    <row r="170" spans="1:21" ht="15.75" customHeight="1">
      <c r="A170" s="230"/>
      <c r="B170" s="4" t="s">
        <v>15</v>
      </c>
      <c r="C170" s="4">
        <v>19</v>
      </c>
      <c r="D170" s="4">
        <v>24</v>
      </c>
      <c r="E170" s="4">
        <v>16</v>
      </c>
      <c r="F170" s="4">
        <v>25</v>
      </c>
      <c r="G170" s="4">
        <v>29</v>
      </c>
      <c r="H170" s="4">
        <v>27</v>
      </c>
      <c r="I170" s="4">
        <v>24</v>
      </c>
      <c r="J170" s="4">
        <v>15</v>
      </c>
      <c r="K170" s="227"/>
      <c r="L170" s="4" t="s">
        <v>15</v>
      </c>
      <c r="M170" s="4">
        <v>12</v>
      </c>
      <c r="N170" s="4">
        <v>11</v>
      </c>
      <c r="O170" s="4">
        <v>12</v>
      </c>
      <c r="P170" s="4">
        <v>12</v>
      </c>
      <c r="Q170" s="4">
        <v>30</v>
      </c>
      <c r="R170" s="4">
        <v>33</v>
      </c>
      <c r="S170" s="4">
        <v>21</v>
      </c>
      <c r="T170" s="50">
        <v>20</v>
      </c>
      <c r="U170" s="60">
        <f t="shared" si="38"/>
        <v>330</v>
      </c>
    </row>
    <row r="171" spans="1:21" ht="15.75" customHeight="1">
      <c r="A171" s="230"/>
      <c r="B171" s="4" t="s">
        <v>16</v>
      </c>
      <c r="C171" s="4">
        <v>5</v>
      </c>
      <c r="D171" s="4">
        <v>3</v>
      </c>
      <c r="E171" s="4">
        <v>9</v>
      </c>
      <c r="F171" s="4">
        <v>7</v>
      </c>
      <c r="G171" s="4">
        <v>13</v>
      </c>
      <c r="H171" s="4">
        <v>14</v>
      </c>
      <c r="I171" s="4">
        <v>15</v>
      </c>
      <c r="J171" s="4">
        <v>6</v>
      </c>
      <c r="K171" s="227"/>
      <c r="L171" s="4" t="s">
        <v>16</v>
      </c>
      <c r="M171" s="4">
        <v>7</v>
      </c>
      <c r="N171" s="4">
        <v>11</v>
      </c>
      <c r="O171" s="4">
        <v>3</v>
      </c>
      <c r="P171" s="4">
        <v>0</v>
      </c>
      <c r="Q171" s="4">
        <v>5</v>
      </c>
      <c r="R171" s="4">
        <v>4</v>
      </c>
      <c r="S171" s="4">
        <v>7</v>
      </c>
      <c r="T171" s="50">
        <v>6</v>
      </c>
      <c r="U171" s="60">
        <f t="shared" si="38"/>
        <v>115</v>
      </c>
    </row>
    <row r="172" spans="1:21" ht="15.75" customHeight="1">
      <c r="A172" s="230"/>
      <c r="B172" s="4" t="s">
        <v>17</v>
      </c>
      <c r="C172" s="4">
        <v>6</v>
      </c>
      <c r="D172" s="4">
        <v>8</v>
      </c>
      <c r="E172" s="4">
        <v>6</v>
      </c>
      <c r="F172" s="4">
        <v>8</v>
      </c>
      <c r="G172" s="4">
        <v>11</v>
      </c>
      <c r="H172" s="4">
        <v>13</v>
      </c>
      <c r="I172" s="4">
        <v>8</v>
      </c>
      <c r="J172" s="4">
        <v>5</v>
      </c>
      <c r="K172" s="227"/>
      <c r="L172" s="4" t="s">
        <v>17</v>
      </c>
      <c r="M172" s="4">
        <v>7</v>
      </c>
      <c r="N172" s="4">
        <v>8</v>
      </c>
      <c r="O172" s="4">
        <v>3</v>
      </c>
      <c r="P172" s="4">
        <v>6</v>
      </c>
      <c r="Q172" s="4">
        <v>6</v>
      </c>
      <c r="R172" s="4">
        <v>7</v>
      </c>
      <c r="S172" s="4">
        <v>5</v>
      </c>
      <c r="T172" s="50">
        <v>2</v>
      </c>
      <c r="U172" s="60">
        <f t="shared" si="38"/>
        <v>109</v>
      </c>
    </row>
    <row r="173" spans="1:21" ht="15.75" customHeight="1">
      <c r="A173" s="230"/>
      <c r="B173" s="46" t="s">
        <v>18</v>
      </c>
      <c r="C173" s="46">
        <v>19</v>
      </c>
      <c r="D173" s="46">
        <v>9</v>
      </c>
      <c r="E173" s="46">
        <v>3</v>
      </c>
      <c r="F173" s="46">
        <v>5</v>
      </c>
      <c r="G173" s="46">
        <v>17</v>
      </c>
      <c r="H173" s="46">
        <v>11</v>
      </c>
      <c r="I173" s="46">
        <v>14</v>
      </c>
      <c r="J173" s="46">
        <v>4</v>
      </c>
      <c r="K173" s="227"/>
      <c r="L173" s="46" t="s">
        <v>18</v>
      </c>
      <c r="M173" s="46">
        <v>2</v>
      </c>
      <c r="N173" s="46">
        <v>0</v>
      </c>
      <c r="O173" s="46">
        <v>5</v>
      </c>
      <c r="P173" s="46">
        <v>4</v>
      </c>
      <c r="Q173" s="46">
        <v>15</v>
      </c>
      <c r="R173" s="46">
        <v>7</v>
      </c>
      <c r="S173" s="46">
        <v>4</v>
      </c>
      <c r="T173" s="69">
        <v>4</v>
      </c>
      <c r="U173" s="66">
        <f t="shared" si="38"/>
        <v>123</v>
      </c>
    </row>
    <row r="174" spans="1:21" ht="15.75" customHeight="1">
      <c r="A174" s="193" t="s">
        <v>10</v>
      </c>
      <c r="B174" s="63" t="s">
        <v>13</v>
      </c>
      <c r="C174" s="99">
        <v>20</v>
      </c>
      <c r="D174" s="99">
        <v>15</v>
      </c>
      <c r="E174" s="99">
        <v>17</v>
      </c>
      <c r="F174" s="102">
        <v>28</v>
      </c>
      <c r="G174" s="108">
        <v>35</v>
      </c>
      <c r="H174" s="105">
        <v>30</v>
      </c>
      <c r="I174" s="99">
        <v>20</v>
      </c>
      <c r="J174" s="99">
        <v>18</v>
      </c>
      <c r="K174" s="194" t="s">
        <v>10</v>
      </c>
      <c r="L174" s="63" t="s">
        <v>13</v>
      </c>
      <c r="M174" s="99">
        <v>6</v>
      </c>
      <c r="N174" s="99">
        <v>9</v>
      </c>
      <c r="O174" s="99">
        <v>8</v>
      </c>
      <c r="P174" s="99">
        <v>12</v>
      </c>
      <c r="Q174" s="99">
        <v>19</v>
      </c>
      <c r="R174" s="99">
        <v>18</v>
      </c>
      <c r="S174" s="99">
        <v>12</v>
      </c>
      <c r="T174" s="102">
        <v>15</v>
      </c>
      <c r="U174" s="59">
        <f t="shared" si="38"/>
        <v>282</v>
      </c>
    </row>
    <row r="175" spans="1:21" ht="15.75" customHeight="1">
      <c r="A175" s="230"/>
      <c r="B175" s="6" t="s">
        <v>14</v>
      </c>
      <c r="C175" s="100">
        <v>3</v>
      </c>
      <c r="D175" s="100">
        <v>6</v>
      </c>
      <c r="E175" s="100">
        <v>8</v>
      </c>
      <c r="F175" s="103">
        <v>6</v>
      </c>
      <c r="G175" s="109">
        <v>20</v>
      </c>
      <c r="H175" s="106">
        <v>14</v>
      </c>
      <c r="I175" s="100">
        <v>15</v>
      </c>
      <c r="J175" s="100">
        <v>14</v>
      </c>
      <c r="K175" s="227"/>
      <c r="L175" s="6" t="s">
        <v>14</v>
      </c>
      <c r="M175" s="100">
        <v>4</v>
      </c>
      <c r="N175" s="100">
        <v>8</v>
      </c>
      <c r="O175" s="100">
        <v>7</v>
      </c>
      <c r="P175" s="100">
        <v>3</v>
      </c>
      <c r="Q175" s="100">
        <v>3</v>
      </c>
      <c r="R175" s="100">
        <v>6</v>
      </c>
      <c r="S175" s="100">
        <v>3</v>
      </c>
      <c r="T175" s="103">
        <v>3</v>
      </c>
      <c r="U175" s="60">
        <f t="shared" si="38"/>
        <v>123</v>
      </c>
    </row>
    <row r="176" spans="1:21" ht="15.75" customHeight="1">
      <c r="A176" s="230"/>
      <c r="B176" s="6" t="s">
        <v>15</v>
      </c>
      <c r="C176" s="100">
        <v>12</v>
      </c>
      <c r="D176" s="100">
        <v>18</v>
      </c>
      <c r="E176" s="100">
        <v>12</v>
      </c>
      <c r="F176" s="103">
        <v>17</v>
      </c>
      <c r="G176" s="109">
        <v>27</v>
      </c>
      <c r="H176" s="106">
        <v>25</v>
      </c>
      <c r="I176" s="100">
        <v>15</v>
      </c>
      <c r="J176" s="100">
        <v>15</v>
      </c>
      <c r="K176" s="227"/>
      <c r="L176" s="6" t="s">
        <v>15</v>
      </c>
      <c r="M176" s="100">
        <v>11</v>
      </c>
      <c r="N176" s="100">
        <v>14</v>
      </c>
      <c r="O176" s="100">
        <v>23</v>
      </c>
      <c r="P176" s="100">
        <v>18</v>
      </c>
      <c r="Q176" s="100">
        <v>19</v>
      </c>
      <c r="R176" s="100">
        <v>21</v>
      </c>
      <c r="S176" s="100">
        <v>19</v>
      </c>
      <c r="T176" s="103">
        <v>16</v>
      </c>
      <c r="U176" s="60">
        <f t="shared" si="38"/>
        <v>282</v>
      </c>
    </row>
    <row r="177" spans="1:40" ht="15.75" customHeight="1">
      <c r="A177" s="230"/>
      <c r="B177" s="6" t="s">
        <v>16</v>
      </c>
      <c r="C177" s="100">
        <v>10</v>
      </c>
      <c r="D177" s="100">
        <v>3</v>
      </c>
      <c r="E177" s="100">
        <v>8</v>
      </c>
      <c r="F177" s="103">
        <v>5</v>
      </c>
      <c r="G177" s="109">
        <v>15</v>
      </c>
      <c r="H177" s="106">
        <v>12</v>
      </c>
      <c r="I177" s="100">
        <v>10</v>
      </c>
      <c r="J177" s="100">
        <v>10</v>
      </c>
      <c r="K177" s="227"/>
      <c r="L177" s="6" t="s">
        <v>16</v>
      </c>
      <c r="M177" s="100">
        <v>2</v>
      </c>
      <c r="N177" s="100">
        <v>4</v>
      </c>
      <c r="O177" s="100">
        <v>3</v>
      </c>
      <c r="P177" s="100">
        <v>0</v>
      </c>
      <c r="Q177" s="100">
        <v>2</v>
      </c>
      <c r="R177" s="100">
        <v>1</v>
      </c>
      <c r="S177" s="100">
        <v>3</v>
      </c>
      <c r="T177" s="103">
        <v>5</v>
      </c>
      <c r="U177" s="60">
        <f t="shared" si="38"/>
        <v>93</v>
      </c>
    </row>
    <row r="178" spans="1:40" ht="15.75" customHeight="1">
      <c r="A178" s="230"/>
      <c r="B178" s="6" t="s">
        <v>17</v>
      </c>
      <c r="C178" s="100">
        <v>6</v>
      </c>
      <c r="D178" s="100">
        <v>3</v>
      </c>
      <c r="E178" s="100">
        <v>3</v>
      </c>
      <c r="F178" s="103">
        <v>7</v>
      </c>
      <c r="G178" s="109">
        <v>7</v>
      </c>
      <c r="H178" s="106">
        <v>8</v>
      </c>
      <c r="I178" s="100">
        <v>5</v>
      </c>
      <c r="J178" s="100">
        <v>5</v>
      </c>
      <c r="K178" s="227"/>
      <c r="L178" s="6" t="s">
        <v>17</v>
      </c>
      <c r="M178" s="100">
        <v>1</v>
      </c>
      <c r="N178" s="100">
        <v>0</v>
      </c>
      <c r="O178" s="100">
        <v>1</v>
      </c>
      <c r="P178" s="100">
        <v>5</v>
      </c>
      <c r="Q178" s="100">
        <v>5</v>
      </c>
      <c r="R178" s="100">
        <v>3</v>
      </c>
      <c r="S178" s="100">
        <v>1</v>
      </c>
      <c r="T178" s="103">
        <v>2</v>
      </c>
      <c r="U178" s="60">
        <f t="shared" si="38"/>
        <v>62</v>
      </c>
    </row>
    <row r="179" spans="1:40" ht="15.75" customHeight="1">
      <c r="A179" s="230"/>
      <c r="B179" s="47" t="s">
        <v>18</v>
      </c>
      <c r="C179" s="101">
        <v>11</v>
      </c>
      <c r="D179" s="101">
        <v>8</v>
      </c>
      <c r="E179" s="101">
        <v>4</v>
      </c>
      <c r="F179" s="104">
        <v>10</v>
      </c>
      <c r="G179" s="110">
        <v>12</v>
      </c>
      <c r="H179" s="107">
        <v>10</v>
      </c>
      <c r="I179" s="101">
        <v>8</v>
      </c>
      <c r="J179" s="101">
        <v>10</v>
      </c>
      <c r="K179" s="227"/>
      <c r="L179" s="47" t="s">
        <v>18</v>
      </c>
      <c r="M179" s="101">
        <v>7</v>
      </c>
      <c r="N179" s="101">
        <v>2</v>
      </c>
      <c r="O179" s="101">
        <v>6</v>
      </c>
      <c r="P179" s="101">
        <v>3</v>
      </c>
      <c r="Q179" s="101">
        <v>15</v>
      </c>
      <c r="R179" s="101">
        <v>6</v>
      </c>
      <c r="S179" s="101">
        <v>12</v>
      </c>
      <c r="T179" s="104">
        <v>6</v>
      </c>
      <c r="U179" s="66">
        <f t="shared" si="38"/>
        <v>130</v>
      </c>
    </row>
    <row r="180" spans="1:40" ht="15.75" customHeight="1">
      <c r="A180" s="195" t="s">
        <v>11</v>
      </c>
      <c r="B180" s="56" t="s">
        <v>13</v>
      </c>
      <c r="C180" s="111">
        <v>4</v>
      </c>
      <c r="D180" s="111">
        <v>15</v>
      </c>
      <c r="E180" s="111">
        <v>18</v>
      </c>
      <c r="F180" s="111">
        <v>29</v>
      </c>
      <c r="G180" s="112">
        <v>27</v>
      </c>
      <c r="H180" s="111">
        <v>24</v>
      </c>
      <c r="I180" s="73">
        <v>33</v>
      </c>
      <c r="J180" s="73">
        <v>22</v>
      </c>
      <c r="K180" s="196" t="s">
        <v>11</v>
      </c>
      <c r="L180" s="56" t="s">
        <v>13</v>
      </c>
      <c r="M180" s="115">
        <v>13</v>
      </c>
      <c r="N180" s="115">
        <v>14</v>
      </c>
      <c r="O180" s="115">
        <v>14</v>
      </c>
      <c r="P180" s="115">
        <v>13</v>
      </c>
      <c r="Q180" s="115">
        <v>19</v>
      </c>
      <c r="R180" s="115">
        <v>24</v>
      </c>
      <c r="S180" s="115">
        <v>15</v>
      </c>
      <c r="T180" s="118">
        <v>9</v>
      </c>
      <c r="U180" s="59">
        <f t="shared" si="38"/>
        <v>293</v>
      </c>
    </row>
    <row r="181" spans="1:40" ht="15.75" customHeight="1">
      <c r="A181" s="230"/>
      <c r="B181" s="4" t="s">
        <v>14</v>
      </c>
      <c r="C181" s="113">
        <v>5</v>
      </c>
      <c r="D181" s="113">
        <v>4</v>
      </c>
      <c r="E181" s="113">
        <v>6</v>
      </c>
      <c r="F181" s="113">
        <v>10</v>
      </c>
      <c r="G181" s="113">
        <v>36</v>
      </c>
      <c r="H181" s="113">
        <v>14</v>
      </c>
      <c r="I181" s="9">
        <v>16</v>
      </c>
      <c r="J181" s="9">
        <v>9</v>
      </c>
      <c r="K181" s="227"/>
      <c r="L181" s="4" t="s">
        <v>14</v>
      </c>
      <c r="M181" s="116">
        <v>9</v>
      </c>
      <c r="N181" s="116">
        <v>10</v>
      </c>
      <c r="O181" s="116">
        <v>13</v>
      </c>
      <c r="P181" s="116">
        <v>5</v>
      </c>
      <c r="Q181" s="116">
        <v>8</v>
      </c>
      <c r="R181" s="116">
        <v>6</v>
      </c>
      <c r="S181" s="116">
        <v>6</v>
      </c>
      <c r="T181" s="119">
        <v>3</v>
      </c>
      <c r="U181" s="60">
        <f t="shared" si="38"/>
        <v>160</v>
      </c>
    </row>
    <row r="182" spans="1:40" ht="15.75" customHeight="1">
      <c r="A182" s="230"/>
      <c r="B182" s="4" t="s">
        <v>15</v>
      </c>
      <c r="C182" s="113">
        <v>12</v>
      </c>
      <c r="D182" s="113">
        <v>8</v>
      </c>
      <c r="E182" s="113">
        <v>8</v>
      </c>
      <c r="F182" s="113">
        <v>15</v>
      </c>
      <c r="G182" s="113">
        <v>25</v>
      </c>
      <c r="H182" s="113">
        <v>23</v>
      </c>
      <c r="I182" s="9">
        <v>13</v>
      </c>
      <c r="J182" s="9">
        <v>20</v>
      </c>
      <c r="K182" s="227"/>
      <c r="L182" s="4" t="s">
        <v>15</v>
      </c>
      <c r="M182" s="116">
        <v>20</v>
      </c>
      <c r="N182" s="116">
        <v>19</v>
      </c>
      <c r="O182" s="116">
        <v>18</v>
      </c>
      <c r="P182" s="116">
        <v>27</v>
      </c>
      <c r="Q182" s="116">
        <v>24</v>
      </c>
      <c r="R182" s="116">
        <v>11</v>
      </c>
      <c r="S182" s="116">
        <v>19</v>
      </c>
      <c r="T182" s="119">
        <v>17</v>
      </c>
      <c r="U182" s="60">
        <f t="shared" si="38"/>
        <v>279</v>
      </c>
    </row>
    <row r="183" spans="1:40" ht="15.75" customHeight="1">
      <c r="A183" s="230"/>
      <c r="B183" s="4" t="s">
        <v>16</v>
      </c>
      <c r="C183" s="113">
        <v>4</v>
      </c>
      <c r="D183" s="113">
        <v>2</v>
      </c>
      <c r="E183" s="113">
        <v>5</v>
      </c>
      <c r="F183" s="113">
        <v>6</v>
      </c>
      <c r="G183" s="113">
        <v>10</v>
      </c>
      <c r="H183" s="113">
        <v>7</v>
      </c>
      <c r="I183" s="9">
        <v>15</v>
      </c>
      <c r="J183" s="9">
        <v>5</v>
      </c>
      <c r="K183" s="227"/>
      <c r="L183" s="4" t="s">
        <v>16</v>
      </c>
      <c r="M183" s="116">
        <v>10</v>
      </c>
      <c r="N183" s="116">
        <v>5</v>
      </c>
      <c r="O183" s="116">
        <v>9</v>
      </c>
      <c r="P183" s="116">
        <v>2</v>
      </c>
      <c r="Q183" s="116">
        <v>5</v>
      </c>
      <c r="R183" s="116">
        <v>6</v>
      </c>
      <c r="S183" s="116">
        <v>3</v>
      </c>
      <c r="T183" s="119">
        <v>4</v>
      </c>
      <c r="U183" s="60">
        <f t="shared" si="38"/>
        <v>98</v>
      </c>
    </row>
    <row r="184" spans="1:40" ht="15.75" customHeight="1">
      <c r="A184" s="230"/>
      <c r="B184" s="4" t="s">
        <v>17</v>
      </c>
      <c r="C184" s="113">
        <v>5</v>
      </c>
      <c r="D184" s="113">
        <v>4</v>
      </c>
      <c r="E184" s="113">
        <v>5</v>
      </c>
      <c r="F184" s="113">
        <v>7</v>
      </c>
      <c r="G184" s="113">
        <v>14</v>
      </c>
      <c r="H184" s="113">
        <v>9</v>
      </c>
      <c r="I184" s="9">
        <v>10</v>
      </c>
      <c r="J184" s="9">
        <v>8</v>
      </c>
      <c r="K184" s="227"/>
      <c r="L184" s="4" t="s">
        <v>17</v>
      </c>
      <c r="M184" s="116">
        <v>7</v>
      </c>
      <c r="N184" s="116">
        <v>6</v>
      </c>
      <c r="O184" s="116">
        <v>4</v>
      </c>
      <c r="P184" s="116">
        <v>3</v>
      </c>
      <c r="Q184" s="116">
        <v>4</v>
      </c>
      <c r="R184" s="116">
        <v>3</v>
      </c>
      <c r="S184" s="116">
        <v>2</v>
      </c>
      <c r="T184" s="119">
        <v>3</v>
      </c>
      <c r="U184" s="60">
        <f t="shared" si="38"/>
        <v>94</v>
      </c>
    </row>
    <row r="185" spans="1:40" ht="15.75" customHeight="1">
      <c r="A185" s="231"/>
      <c r="B185" s="61" t="s">
        <v>18</v>
      </c>
      <c r="C185" s="114">
        <v>18</v>
      </c>
      <c r="D185" s="114">
        <v>8</v>
      </c>
      <c r="E185" s="114">
        <v>2</v>
      </c>
      <c r="F185" s="114">
        <v>4</v>
      </c>
      <c r="G185" s="114">
        <v>6</v>
      </c>
      <c r="H185" s="114">
        <v>11</v>
      </c>
      <c r="I185" s="75">
        <v>13</v>
      </c>
      <c r="J185" s="75">
        <v>4</v>
      </c>
      <c r="K185" s="232"/>
      <c r="L185" s="61" t="s">
        <v>18</v>
      </c>
      <c r="M185" s="117">
        <v>7</v>
      </c>
      <c r="N185" s="117">
        <v>11</v>
      </c>
      <c r="O185" s="117">
        <v>1</v>
      </c>
      <c r="P185" s="117">
        <v>6</v>
      </c>
      <c r="Q185" s="117">
        <v>4</v>
      </c>
      <c r="R185" s="117">
        <v>6</v>
      </c>
      <c r="S185" s="117">
        <v>5</v>
      </c>
      <c r="T185" s="120">
        <v>3</v>
      </c>
      <c r="U185" s="62">
        <f t="shared" si="38"/>
        <v>109</v>
      </c>
    </row>
    <row r="187" spans="1:40" ht="15.75" customHeight="1">
      <c r="A187" s="1"/>
      <c r="B187" s="1"/>
      <c r="C187" s="183" t="s">
        <v>0</v>
      </c>
      <c r="D187" s="225"/>
      <c r="E187" s="225"/>
      <c r="F187" s="225"/>
      <c r="G187" s="226"/>
      <c r="H187" s="2"/>
      <c r="I187" s="1"/>
    </row>
    <row r="188" spans="1:40" ht="15.75" customHeight="1">
      <c r="A188" s="1"/>
      <c r="B188" s="183" t="s">
        <v>1</v>
      </c>
      <c r="C188" s="225"/>
      <c r="D188" s="226"/>
      <c r="E188" s="1"/>
      <c r="F188" s="184" t="s">
        <v>70</v>
      </c>
      <c r="G188" s="225"/>
      <c r="H188" s="226"/>
      <c r="I188" s="1"/>
      <c r="K188" s="1"/>
      <c r="L188" s="183" t="s">
        <v>26</v>
      </c>
      <c r="M188" s="225"/>
      <c r="N188" s="226"/>
      <c r="O188" s="1"/>
      <c r="P188" s="184" t="s">
        <v>71</v>
      </c>
      <c r="Q188" s="225"/>
      <c r="R188" s="226"/>
      <c r="S188" s="1"/>
    </row>
    <row r="189" spans="1:40" ht="15.75" customHeight="1">
      <c r="A189" s="54" t="s">
        <v>35</v>
      </c>
      <c r="B189" s="54" t="s">
        <v>4</v>
      </c>
      <c r="C189" s="54" t="s">
        <v>12</v>
      </c>
      <c r="D189" s="54" t="s">
        <v>19</v>
      </c>
      <c r="E189" s="54" t="s">
        <v>20</v>
      </c>
      <c r="F189" s="54" t="s">
        <v>21</v>
      </c>
      <c r="G189" s="54" t="s">
        <v>22</v>
      </c>
      <c r="H189" s="54" t="s">
        <v>23</v>
      </c>
      <c r="I189" s="54" t="s">
        <v>24</v>
      </c>
      <c r="J189" s="54" t="s">
        <v>25</v>
      </c>
      <c r="K189" s="54" t="s">
        <v>35</v>
      </c>
      <c r="L189" s="54" t="s">
        <v>4</v>
      </c>
      <c r="M189" s="54" t="s">
        <v>27</v>
      </c>
      <c r="N189" s="54" t="s">
        <v>28</v>
      </c>
      <c r="O189" s="54" t="s">
        <v>29</v>
      </c>
      <c r="P189" s="54" t="s">
        <v>30</v>
      </c>
      <c r="Q189" s="54" t="s">
        <v>31</v>
      </c>
      <c r="R189" s="54" t="s">
        <v>32</v>
      </c>
      <c r="S189" s="54" t="s">
        <v>33</v>
      </c>
      <c r="T189" s="54" t="s">
        <v>34</v>
      </c>
      <c r="U189" s="54" t="s">
        <v>55</v>
      </c>
    </row>
    <row r="190" spans="1:40" ht="15.75" customHeight="1">
      <c r="A190" s="195" t="s">
        <v>5</v>
      </c>
      <c r="B190" s="56" t="s">
        <v>13</v>
      </c>
      <c r="C190" s="57"/>
      <c r="D190" s="57"/>
      <c r="E190" s="56">
        <v>6</v>
      </c>
      <c r="F190" s="56">
        <v>25</v>
      </c>
      <c r="G190" s="56">
        <v>35</v>
      </c>
      <c r="H190" s="56">
        <v>35</v>
      </c>
      <c r="I190" s="56">
        <v>42</v>
      </c>
      <c r="J190" s="56">
        <v>41</v>
      </c>
      <c r="K190" s="196" t="s">
        <v>5</v>
      </c>
      <c r="L190" s="56" t="s">
        <v>13</v>
      </c>
      <c r="M190" s="56">
        <v>39</v>
      </c>
      <c r="N190" s="56">
        <v>18</v>
      </c>
      <c r="O190" s="56">
        <v>22</v>
      </c>
      <c r="P190" s="56">
        <v>13</v>
      </c>
      <c r="Q190" s="56">
        <v>13</v>
      </c>
      <c r="R190" s="57"/>
      <c r="S190" s="57"/>
      <c r="T190" s="58"/>
      <c r="U190" s="62">
        <f t="shared" ref="U190:U201" si="39">SUM(M190:T190,C190:J190)</f>
        <v>289</v>
      </c>
      <c r="W190" s="197" t="s">
        <v>2</v>
      </c>
      <c r="X190" s="198"/>
      <c r="AG190" s="190" t="s">
        <v>58</v>
      </c>
      <c r="AH190" s="191"/>
      <c r="AI190" s="191"/>
      <c r="AJ190" s="191"/>
      <c r="AK190" s="191"/>
      <c r="AL190" s="191"/>
      <c r="AM190" s="191"/>
      <c r="AN190" s="192"/>
    </row>
    <row r="191" spans="1:40" ht="15.75" customHeight="1">
      <c r="A191" s="230"/>
      <c r="B191" s="4" t="s">
        <v>14</v>
      </c>
      <c r="C191" s="5"/>
      <c r="D191" s="5"/>
      <c r="E191" s="4">
        <v>3</v>
      </c>
      <c r="F191" s="4">
        <v>7</v>
      </c>
      <c r="G191" s="4">
        <v>5</v>
      </c>
      <c r="H191" s="4">
        <v>10</v>
      </c>
      <c r="I191" s="56">
        <v>5</v>
      </c>
      <c r="J191" s="56">
        <v>6</v>
      </c>
      <c r="K191" s="227"/>
      <c r="L191" s="4" t="s">
        <v>14</v>
      </c>
      <c r="M191" s="4">
        <v>12</v>
      </c>
      <c r="N191" s="4">
        <v>10</v>
      </c>
      <c r="O191" s="4">
        <v>11</v>
      </c>
      <c r="P191" s="4">
        <v>9</v>
      </c>
      <c r="Q191" s="4">
        <v>5</v>
      </c>
      <c r="R191" s="5"/>
      <c r="S191" s="5"/>
      <c r="T191" s="49"/>
      <c r="U191" s="62">
        <f t="shared" si="39"/>
        <v>83</v>
      </c>
      <c r="W191" s="55" t="s">
        <v>5</v>
      </c>
      <c r="X191" s="48">
        <f>SUM(U190:U195)</f>
        <v>843</v>
      </c>
      <c r="AG191" s="98" t="s">
        <v>4</v>
      </c>
      <c r="AH191" s="98" t="s">
        <v>5</v>
      </c>
      <c r="AI191" s="98" t="s">
        <v>6</v>
      </c>
      <c r="AJ191" s="98" t="s">
        <v>7</v>
      </c>
      <c r="AK191" s="98" t="s">
        <v>8</v>
      </c>
      <c r="AL191" s="98" t="s">
        <v>9</v>
      </c>
      <c r="AM191" s="98" t="s">
        <v>10</v>
      </c>
      <c r="AN191" s="98" t="s">
        <v>11</v>
      </c>
    </row>
    <row r="192" spans="1:40" ht="15.75" customHeight="1">
      <c r="A192" s="230"/>
      <c r="B192" s="4" t="s">
        <v>15</v>
      </c>
      <c r="C192" s="5"/>
      <c r="D192" s="5"/>
      <c r="E192" s="4">
        <v>4</v>
      </c>
      <c r="F192" s="4">
        <v>12</v>
      </c>
      <c r="G192" s="4">
        <v>15</v>
      </c>
      <c r="H192" s="4">
        <v>23</v>
      </c>
      <c r="I192" s="56">
        <v>35</v>
      </c>
      <c r="J192" s="56">
        <v>43</v>
      </c>
      <c r="K192" s="227"/>
      <c r="L192" s="4" t="s">
        <v>15</v>
      </c>
      <c r="M192" s="4">
        <v>23</v>
      </c>
      <c r="N192" s="4">
        <v>24</v>
      </c>
      <c r="O192" s="4">
        <v>13</v>
      </c>
      <c r="P192" s="4">
        <v>14</v>
      </c>
      <c r="Q192" s="4">
        <v>12</v>
      </c>
      <c r="R192" s="5"/>
      <c r="S192" s="5"/>
      <c r="T192" s="49"/>
      <c r="U192" s="62">
        <f t="shared" si="39"/>
        <v>218</v>
      </c>
      <c r="W192" s="55" t="s">
        <v>6</v>
      </c>
      <c r="X192" s="48">
        <f>SUM(U196:U201)</f>
        <v>600</v>
      </c>
      <c r="AG192" s="79" t="s">
        <v>13</v>
      </c>
      <c r="AH192" s="79">
        <f t="shared" ref="AH192:AH197" si="40">U190</f>
        <v>289</v>
      </c>
      <c r="AI192" s="79">
        <f t="shared" ref="AI192:AI197" si="41">U196</f>
        <v>195</v>
      </c>
      <c r="AJ192" s="79">
        <f t="shared" ref="AJ192:AJ197" si="42">U202</f>
        <v>442</v>
      </c>
      <c r="AK192" s="79">
        <f t="shared" ref="AK192:AK197" si="43">U208</f>
        <v>408</v>
      </c>
      <c r="AL192" s="79">
        <f t="shared" ref="AL192:AL197" si="44">U214</f>
        <v>353</v>
      </c>
      <c r="AM192" s="79">
        <f t="shared" ref="AM192:AM197" si="45">U220</f>
        <v>304</v>
      </c>
      <c r="AN192" s="79">
        <f t="shared" ref="AN192:AN197" si="46">U226</f>
        <v>255</v>
      </c>
    </row>
    <row r="193" spans="1:40" ht="15.75" customHeight="1">
      <c r="A193" s="230"/>
      <c r="B193" s="4" t="s">
        <v>16</v>
      </c>
      <c r="C193" s="5"/>
      <c r="D193" s="5"/>
      <c r="E193" s="4">
        <v>3</v>
      </c>
      <c r="F193" s="4">
        <v>18</v>
      </c>
      <c r="G193" s="4">
        <v>4</v>
      </c>
      <c r="H193" s="4">
        <v>8</v>
      </c>
      <c r="I193" s="56">
        <v>9</v>
      </c>
      <c r="J193" s="56">
        <v>8</v>
      </c>
      <c r="K193" s="227"/>
      <c r="L193" s="4" t="s">
        <v>16</v>
      </c>
      <c r="M193" s="4">
        <v>5</v>
      </c>
      <c r="N193" s="4">
        <v>14</v>
      </c>
      <c r="O193" s="4">
        <v>9</v>
      </c>
      <c r="P193" s="4">
        <v>6</v>
      </c>
      <c r="Q193" s="4">
        <v>3</v>
      </c>
      <c r="R193" s="5"/>
      <c r="S193" s="5"/>
      <c r="T193" s="49"/>
      <c r="U193" s="62">
        <f t="shared" si="39"/>
        <v>87</v>
      </c>
      <c r="W193" s="55" t="s">
        <v>7</v>
      </c>
      <c r="X193" s="48">
        <f>SUM(U202:U207)</f>
        <v>1496</v>
      </c>
      <c r="AG193" s="97" t="s">
        <v>14</v>
      </c>
      <c r="AH193" s="97">
        <f t="shared" si="40"/>
        <v>83</v>
      </c>
      <c r="AI193" s="97">
        <f t="shared" si="41"/>
        <v>74</v>
      </c>
      <c r="AJ193" s="97">
        <f t="shared" si="42"/>
        <v>192</v>
      </c>
      <c r="AK193" s="97">
        <f t="shared" si="43"/>
        <v>191</v>
      </c>
      <c r="AL193" s="97">
        <f t="shared" si="44"/>
        <v>167</v>
      </c>
      <c r="AM193" s="97">
        <f t="shared" si="45"/>
        <v>152</v>
      </c>
      <c r="AN193" s="97">
        <f t="shared" si="46"/>
        <v>151</v>
      </c>
    </row>
    <row r="194" spans="1:40" ht="15.75" customHeight="1">
      <c r="A194" s="230"/>
      <c r="B194" s="4" t="s">
        <v>17</v>
      </c>
      <c r="C194" s="5"/>
      <c r="D194" s="5"/>
      <c r="E194" s="4">
        <v>6</v>
      </c>
      <c r="F194" s="4">
        <v>7</v>
      </c>
      <c r="G194" s="4">
        <v>10</v>
      </c>
      <c r="H194" s="4">
        <v>13</v>
      </c>
      <c r="I194" s="56">
        <v>8</v>
      </c>
      <c r="J194" s="56">
        <v>6</v>
      </c>
      <c r="K194" s="227"/>
      <c r="L194" s="4" t="s">
        <v>17</v>
      </c>
      <c r="M194" s="4">
        <v>13</v>
      </c>
      <c r="N194" s="4">
        <v>9</v>
      </c>
      <c r="O194" s="4">
        <v>5</v>
      </c>
      <c r="P194" s="4">
        <v>5</v>
      </c>
      <c r="Q194" s="4">
        <v>2</v>
      </c>
      <c r="R194" s="5"/>
      <c r="S194" s="5"/>
      <c r="T194" s="49"/>
      <c r="U194" s="62">
        <f t="shared" si="39"/>
        <v>84</v>
      </c>
      <c r="W194" s="55" t="s">
        <v>61</v>
      </c>
      <c r="X194" s="48">
        <f>SUM(U208:U213)</f>
        <v>1315</v>
      </c>
      <c r="AG194" s="79" t="s">
        <v>15</v>
      </c>
      <c r="AH194" s="79">
        <f t="shared" si="40"/>
        <v>218</v>
      </c>
      <c r="AI194" s="79">
        <f t="shared" si="41"/>
        <v>167</v>
      </c>
      <c r="AJ194" s="79">
        <f t="shared" si="42"/>
        <v>407</v>
      </c>
      <c r="AK194" s="79">
        <f t="shared" si="43"/>
        <v>364</v>
      </c>
      <c r="AL194" s="79">
        <f t="shared" si="44"/>
        <v>289</v>
      </c>
      <c r="AM194" s="79">
        <f t="shared" si="45"/>
        <v>335</v>
      </c>
      <c r="AN194" s="79">
        <f t="shared" si="46"/>
        <v>274</v>
      </c>
    </row>
    <row r="195" spans="1:40" ht="15.75" customHeight="1">
      <c r="A195" s="230"/>
      <c r="B195" s="46" t="s">
        <v>18</v>
      </c>
      <c r="C195" s="64"/>
      <c r="D195" s="64"/>
      <c r="E195" s="46">
        <v>6</v>
      </c>
      <c r="F195" s="46">
        <v>5</v>
      </c>
      <c r="G195" s="46">
        <v>8</v>
      </c>
      <c r="H195" s="46">
        <v>10</v>
      </c>
      <c r="I195" s="56">
        <v>7</v>
      </c>
      <c r="J195" s="56">
        <v>12</v>
      </c>
      <c r="K195" s="227"/>
      <c r="L195" s="46" t="s">
        <v>18</v>
      </c>
      <c r="M195" s="46">
        <v>11</v>
      </c>
      <c r="N195" s="46">
        <v>8</v>
      </c>
      <c r="O195" s="46">
        <v>7</v>
      </c>
      <c r="P195" s="46">
        <v>4</v>
      </c>
      <c r="Q195" s="46">
        <v>4</v>
      </c>
      <c r="R195" s="64"/>
      <c r="S195" s="64"/>
      <c r="T195" s="65"/>
      <c r="U195" s="62">
        <f t="shared" si="39"/>
        <v>82</v>
      </c>
      <c r="W195" s="55" t="s">
        <v>9</v>
      </c>
      <c r="X195" s="48">
        <f>SUM(U214:U219)</f>
        <v>1125</v>
      </c>
      <c r="AG195" s="97" t="s">
        <v>16</v>
      </c>
      <c r="AH195" s="97">
        <f t="shared" si="40"/>
        <v>87</v>
      </c>
      <c r="AI195" s="97">
        <f t="shared" si="41"/>
        <v>52</v>
      </c>
      <c r="AJ195" s="97">
        <f t="shared" si="42"/>
        <v>142</v>
      </c>
      <c r="AK195" s="97">
        <f t="shared" si="43"/>
        <v>132</v>
      </c>
      <c r="AL195" s="97">
        <f t="shared" si="44"/>
        <v>88</v>
      </c>
      <c r="AM195" s="97">
        <f t="shared" si="45"/>
        <v>104</v>
      </c>
      <c r="AN195" s="97">
        <f t="shared" si="46"/>
        <v>93</v>
      </c>
    </row>
    <row r="196" spans="1:40" ht="15.75" customHeight="1">
      <c r="A196" s="193" t="s">
        <v>6</v>
      </c>
      <c r="B196" s="63" t="s">
        <v>13</v>
      </c>
      <c r="C196" s="57"/>
      <c r="D196" s="57"/>
      <c r="E196" s="57"/>
      <c r="F196" s="63">
        <v>10</v>
      </c>
      <c r="G196" s="63">
        <v>46</v>
      </c>
      <c r="H196" s="63">
        <v>31</v>
      </c>
      <c r="I196" s="63">
        <v>17</v>
      </c>
      <c r="J196" s="63">
        <v>33</v>
      </c>
      <c r="K196" s="194" t="s">
        <v>6</v>
      </c>
      <c r="L196" s="63" t="s">
        <v>13</v>
      </c>
      <c r="M196" s="63">
        <v>21</v>
      </c>
      <c r="N196" s="63">
        <v>9</v>
      </c>
      <c r="O196" s="63">
        <v>13</v>
      </c>
      <c r="P196" s="63">
        <v>15</v>
      </c>
      <c r="Q196" s="57"/>
      <c r="R196" s="57"/>
      <c r="S196" s="57"/>
      <c r="T196" s="58"/>
      <c r="U196" s="62">
        <f t="shared" si="39"/>
        <v>195</v>
      </c>
      <c r="W196" s="55" t="s">
        <v>10</v>
      </c>
      <c r="X196" s="48">
        <f>SUM(U220:U225)</f>
        <v>1094</v>
      </c>
      <c r="AG196" s="79" t="s">
        <v>17</v>
      </c>
      <c r="AH196" s="79">
        <f t="shared" si="40"/>
        <v>84</v>
      </c>
      <c r="AI196" s="79">
        <f t="shared" si="41"/>
        <v>62</v>
      </c>
      <c r="AJ196" s="79">
        <f t="shared" si="42"/>
        <v>126</v>
      </c>
      <c r="AK196" s="79">
        <f t="shared" si="43"/>
        <v>119</v>
      </c>
      <c r="AL196" s="79">
        <f t="shared" si="44"/>
        <v>102</v>
      </c>
      <c r="AM196" s="79">
        <f t="shared" si="45"/>
        <v>93</v>
      </c>
      <c r="AN196" s="79">
        <f t="shared" si="46"/>
        <v>75</v>
      </c>
    </row>
    <row r="197" spans="1:40" ht="15.75" customHeight="1">
      <c r="A197" s="230"/>
      <c r="B197" s="6" t="s">
        <v>14</v>
      </c>
      <c r="C197" s="5"/>
      <c r="D197" s="5"/>
      <c r="E197" s="5"/>
      <c r="F197" s="6">
        <v>5</v>
      </c>
      <c r="G197" s="6">
        <v>7</v>
      </c>
      <c r="H197" s="6">
        <v>11</v>
      </c>
      <c r="I197" s="6">
        <v>12</v>
      </c>
      <c r="J197" s="6">
        <v>12</v>
      </c>
      <c r="K197" s="227"/>
      <c r="L197" s="6" t="s">
        <v>14</v>
      </c>
      <c r="M197" s="6">
        <v>7</v>
      </c>
      <c r="N197" s="6">
        <v>6</v>
      </c>
      <c r="O197" s="6">
        <v>9</v>
      </c>
      <c r="P197" s="6">
        <v>5</v>
      </c>
      <c r="Q197" s="5"/>
      <c r="R197" s="5"/>
      <c r="S197" s="5"/>
      <c r="T197" s="49"/>
      <c r="U197" s="62">
        <f t="shared" si="39"/>
        <v>74</v>
      </c>
      <c r="W197" s="81" t="s">
        <v>11</v>
      </c>
      <c r="X197" s="80">
        <f>SUM(U226:U231)</f>
        <v>944</v>
      </c>
      <c r="AG197" s="97" t="s">
        <v>18</v>
      </c>
      <c r="AH197" s="97">
        <f t="shared" si="40"/>
        <v>82</v>
      </c>
      <c r="AI197" s="97">
        <f t="shared" si="41"/>
        <v>50</v>
      </c>
      <c r="AJ197" s="97">
        <f t="shared" si="42"/>
        <v>187</v>
      </c>
      <c r="AK197" s="97">
        <f t="shared" si="43"/>
        <v>101</v>
      </c>
      <c r="AL197" s="97">
        <f t="shared" si="44"/>
        <v>126</v>
      </c>
      <c r="AM197" s="97">
        <f t="shared" si="45"/>
        <v>106</v>
      </c>
      <c r="AN197" s="97">
        <f t="shared" si="46"/>
        <v>96</v>
      </c>
    </row>
    <row r="198" spans="1:40" ht="15.75" customHeight="1">
      <c r="A198" s="230"/>
      <c r="B198" s="6" t="s">
        <v>15</v>
      </c>
      <c r="C198" s="5"/>
      <c r="D198" s="5"/>
      <c r="E198" s="5"/>
      <c r="F198" s="6">
        <v>15</v>
      </c>
      <c r="G198" s="6">
        <v>26</v>
      </c>
      <c r="H198" s="6">
        <v>14</v>
      </c>
      <c r="I198" s="6">
        <v>37</v>
      </c>
      <c r="J198" s="6">
        <v>18</v>
      </c>
      <c r="K198" s="227"/>
      <c r="L198" s="6" t="s">
        <v>15</v>
      </c>
      <c r="M198" s="6">
        <v>22</v>
      </c>
      <c r="N198" s="6">
        <v>10</v>
      </c>
      <c r="O198" s="6">
        <v>10</v>
      </c>
      <c r="P198" s="6">
        <v>15</v>
      </c>
      <c r="Q198" s="5"/>
      <c r="R198" s="5"/>
      <c r="S198" s="5"/>
      <c r="T198" s="49"/>
      <c r="U198" s="62">
        <f t="shared" si="39"/>
        <v>167</v>
      </c>
      <c r="W198" s="79" t="s">
        <v>63</v>
      </c>
      <c r="X198" s="82">
        <f>SUM(X191:X197)</f>
        <v>7417</v>
      </c>
    </row>
    <row r="199" spans="1:40" ht="15.75" customHeight="1">
      <c r="A199" s="230"/>
      <c r="B199" s="6" t="s">
        <v>16</v>
      </c>
      <c r="C199" s="5"/>
      <c r="D199" s="5"/>
      <c r="E199" s="5"/>
      <c r="F199" s="6">
        <v>3</v>
      </c>
      <c r="G199" s="6">
        <v>6</v>
      </c>
      <c r="H199" s="6">
        <v>6</v>
      </c>
      <c r="I199" s="6">
        <v>5</v>
      </c>
      <c r="J199" s="6">
        <v>8</v>
      </c>
      <c r="K199" s="227"/>
      <c r="L199" s="6" t="s">
        <v>16</v>
      </c>
      <c r="M199" s="6">
        <v>7</v>
      </c>
      <c r="N199" s="6">
        <v>6</v>
      </c>
      <c r="O199" s="6">
        <v>8</v>
      </c>
      <c r="P199" s="6">
        <v>3</v>
      </c>
      <c r="Q199" s="5"/>
      <c r="R199" s="5"/>
      <c r="S199" s="5"/>
      <c r="T199" s="49"/>
      <c r="U199" s="62">
        <f t="shared" si="39"/>
        <v>52</v>
      </c>
    </row>
    <row r="200" spans="1:40" ht="15.75" customHeight="1">
      <c r="A200" s="230"/>
      <c r="B200" s="6" t="s">
        <v>17</v>
      </c>
      <c r="C200" s="5"/>
      <c r="D200" s="5"/>
      <c r="E200" s="5"/>
      <c r="F200" s="6">
        <v>2</v>
      </c>
      <c r="G200" s="6">
        <v>3</v>
      </c>
      <c r="H200" s="6">
        <v>9</v>
      </c>
      <c r="I200" s="6">
        <v>7</v>
      </c>
      <c r="J200" s="6">
        <v>21</v>
      </c>
      <c r="K200" s="227"/>
      <c r="L200" s="6" t="s">
        <v>17</v>
      </c>
      <c r="M200" s="6">
        <v>8</v>
      </c>
      <c r="N200" s="6">
        <v>6</v>
      </c>
      <c r="O200" s="6">
        <v>4</v>
      </c>
      <c r="P200" s="6">
        <v>2</v>
      </c>
      <c r="Q200" s="5"/>
      <c r="R200" s="5"/>
      <c r="S200" s="5"/>
      <c r="T200" s="49"/>
      <c r="U200" s="62">
        <f t="shared" si="39"/>
        <v>62</v>
      </c>
    </row>
    <row r="201" spans="1:40" ht="15.75" customHeight="1">
      <c r="A201" s="230"/>
      <c r="B201" s="47" t="s">
        <v>18</v>
      </c>
      <c r="C201" s="64"/>
      <c r="D201" s="64"/>
      <c r="E201" s="64"/>
      <c r="F201" s="47">
        <v>4</v>
      </c>
      <c r="G201" s="47">
        <v>6</v>
      </c>
      <c r="H201" s="47">
        <v>4</v>
      </c>
      <c r="I201" s="47">
        <v>10</v>
      </c>
      <c r="J201" s="47">
        <v>10</v>
      </c>
      <c r="K201" s="227"/>
      <c r="L201" s="47" t="s">
        <v>18</v>
      </c>
      <c r="M201" s="47">
        <v>5</v>
      </c>
      <c r="N201" s="47">
        <v>4</v>
      </c>
      <c r="O201" s="47">
        <v>5</v>
      </c>
      <c r="P201" s="47">
        <v>2</v>
      </c>
      <c r="Q201" s="64"/>
      <c r="R201" s="64"/>
      <c r="S201" s="64"/>
      <c r="T201" s="65"/>
      <c r="U201" s="62">
        <f t="shared" si="39"/>
        <v>50</v>
      </c>
    </row>
    <row r="202" spans="1:40" ht="15.75" customHeight="1">
      <c r="A202" s="195" t="s">
        <v>7</v>
      </c>
      <c r="B202" s="56" t="s">
        <v>13</v>
      </c>
      <c r="C202" s="56">
        <v>19</v>
      </c>
      <c r="D202" s="56">
        <v>23</v>
      </c>
      <c r="E202" s="56">
        <v>17</v>
      </c>
      <c r="F202" s="56">
        <v>27</v>
      </c>
      <c r="G202" s="56">
        <v>28</v>
      </c>
      <c r="H202" s="56">
        <v>29</v>
      </c>
      <c r="I202" s="56">
        <v>17</v>
      </c>
      <c r="J202" s="56">
        <v>20</v>
      </c>
      <c r="K202" s="196" t="s">
        <v>7</v>
      </c>
      <c r="L202" s="56" t="s">
        <v>13</v>
      </c>
      <c r="M202" s="56">
        <v>25</v>
      </c>
      <c r="N202" s="56">
        <v>20</v>
      </c>
      <c r="O202" s="56">
        <v>33</v>
      </c>
      <c r="P202" s="56">
        <v>31</v>
      </c>
      <c r="Q202" s="56">
        <v>50</v>
      </c>
      <c r="R202" s="56">
        <v>52</v>
      </c>
      <c r="S202" s="56">
        <v>29</v>
      </c>
      <c r="T202" s="56">
        <v>22</v>
      </c>
      <c r="U202" s="62">
        <f t="shared" ref="U202:U213" si="47">SUM(M202:T202,C202:J202)</f>
        <v>442</v>
      </c>
    </row>
    <row r="203" spans="1:40" ht="15.75" customHeight="1">
      <c r="A203" s="230"/>
      <c r="B203" s="4" t="s">
        <v>14</v>
      </c>
      <c r="C203" s="4">
        <v>6</v>
      </c>
      <c r="D203" s="4">
        <v>4</v>
      </c>
      <c r="E203" s="4">
        <v>12</v>
      </c>
      <c r="F203" s="4">
        <v>10</v>
      </c>
      <c r="G203" s="4">
        <v>13</v>
      </c>
      <c r="H203" s="4">
        <v>14</v>
      </c>
      <c r="I203" s="4">
        <v>12</v>
      </c>
      <c r="J203" s="4">
        <v>12</v>
      </c>
      <c r="K203" s="227"/>
      <c r="L203" s="4" t="s">
        <v>14</v>
      </c>
      <c r="M203" s="4">
        <v>18</v>
      </c>
      <c r="N203" s="4">
        <v>12</v>
      </c>
      <c r="O203" s="4">
        <v>15</v>
      </c>
      <c r="P203" s="56">
        <v>19</v>
      </c>
      <c r="Q203" s="56">
        <v>16</v>
      </c>
      <c r="R203" s="56">
        <v>12</v>
      </c>
      <c r="S203" s="56">
        <v>10</v>
      </c>
      <c r="T203" s="56">
        <v>7</v>
      </c>
      <c r="U203" s="62">
        <f t="shared" si="47"/>
        <v>192</v>
      </c>
    </row>
    <row r="204" spans="1:40" ht="15.75" customHeight="1">
      <c r="A204" s="230"/>
      <c r="B204" s="4" t="s">
        <v>15</v>
      </c>
      <c r="C204" s="4">
        <v>22</v>
      </c>
      <c r="D204" s="4">
        <v>19</v>
      </c>
      <c r="E204" s="4">
        <v>15</v>
      </c>
      <c r="F204" s="4">
        <v>24</v>
      </c>
      <c r="G204" s="4">
        <v>25</v>
      </c>
      <c r="H204" s="4">
        <v>21</v>
      </c>
      <c r="I204" s="4">
        <v>17</v>
      </c>
      <c r="J204" s="4">
        <v>20</v>
      </c>
      <c r="K204" s="227"/>
      <c r="L204" s="4" t="s">
        <v>15</v>
      </c>
      <c r="M204" s="4">
        <v>19</v>
      </c>
      <c r="N204" s="4">
        <v>20</v>
      </c>
      <c r="O204" s="4">
        <v>21</v>
      </c>
      <c r="P204" s="56">
        <v>48</v>
      </c>
      <c r="Q204" s="56">
        <v>42</v>
      </c>
      <c r="R204" s="56">
        <v>39</v>
      </c>
      <c r="S204" s="56">
        <v>29</v>
      </c>
      <c r="T204" s="56">
        <v>26</v>
      </c>
      <c r="U204" s="62">
        <f t="shared" si="47"/>
        <v>407</v>
      </c>
    </row>
    <row r="205" spans="1:40" ht="15.75" customHeight="1">
      <c r="A205" s="230"/>
      <c r="B205" s="4" t="s">
        <v>16</v>
      </c>
      <c r="C205" s="4">
        <v>5</v>
      </c>
      <c r="D205" s="4">
        <v>6</v>
      </c>
      <c r="E205" s="4">
        <v>7</v>
      </c>
      <c r="F205" s="4">
        <v>11</v>
      </c>
      <c r="G205" s="4">
        <v>20</v>
      </c>
      <c r="H205" s="4">
        <v>11</v>
      </c>
      <c r="I205" s="4">
        <v>8</v>
      </c>
      <c r="J205" s="4">
        <v>4</v>
      </c>
      <c r="K205" s="227"/>
      <c r="L205" s="4" t="s">
        <v>16</v>
      </c>
      <c r="M205" s="4">
        <v>7</v>
      </c>
      <c r="N205" s="4">
        <v>4</v>
      </c>
      <c r="O205" s="4">
        <v>9</v>
      </c>
      <c r="P205" s="56">
        <v>14</v>
      </c>
      <c r="Q205" s="56">
        <v>9</v>
      </c>
      <c r="R205" s="56">
        <v>9</v>
      </c>
      <c r="S205" s="56">
        <v>9</v>
      </c>
      <c r="T205" s="56">
        <v>9</v>
      </c>
      <c r="U205" s="62">
        <f t="shared" si="47"/>
        <v>142</v>
      </c>
    </row>
    <row r="206" spans="1:40" ht="15.75" customHeight="1">
      <c r="A206" s="230"/>
      <c r="B206" s="4" t="s">
        <v>17</v>
      </c>
      <c r="C206" s="4">
        <v>8</v>
      </c>
      <c r="D206" s="4">
        <v>7</v>
      </c>
      <c r="E206" s="4">
        <v>3</v>
      </c>
      <c r="F206" s="4">
        <v>15</v>
      </c>
      <c r="G206" s="4">
        <v>8</v>
      </c>
      <c r="H206" s="4">
        <v>6</v>
      </c>
      <c r="I206" s="4">
        <v>5</v>
      </c>
      <c r="J206" s="4">
        <v>3</v>
      </c>
      <c r="K206" s="227"/>
      <c r="L206" s="4" t="s">
        <v>17</v>
      </c>
      <c r="M206" s="4">
        <v>5</v>
      </c>
      <c r="N206" s="4">
        <v>7</v>
      </c>
      <c r="O206" s="4">
        <v>5</v>
      </c>
      <c r="P206" s="56">
        <v>8</v>
      </c>
      <c r="Q206" s="56">
        <v>16</v>
      </c>
      <c r="R206" s="56">
        <v>17</v>
      </c>
      <c r="S206" s="56">
        <v>8</v>
      </c>
      <c r="T206" s="56">
        <v>5</v>
      </c>
      <c r="U206" s="62">
        <f t="shared" si="47"/>
        <v>126</v>
      </c>
    </row>
    <row r="207" spans="1:40" ht="15.75" customHeight="1">
      <c r="A207" s="230"/>
      <c r="B207" s="46" t="s">
        <v>18</v>
      </c>
      <c r="C207" s="46">
        <v>30</v>
      </c>
      <c r="D207" s="46">
        <v>7</v>
      </c>
      <c r="E207" s="46">
        <v>17</v>
      </c>
      <c r="F207" s="46">
        <v>13</v>
      </c>
      <c r="G207" s="46">
        <v>22</v>
      </c>
      <c r="H207" s="46">
        <v>15</v>
      </c>
      <c r="I207" s="46">
        <v>15</v>
      </c>
      <c r="J207" s="46">
        <v>12</v>
      </c>
      <c r="K207" s="227"/>
      <c r="L207" s="46" t="s">
        <v>18</v>
      </c>
      <c r="M207" s="46">
        <v>7</v>
      </c>
      <c r="N207" s="46">
        <v>5</v>
      </c>
      <c r="O207" s="46">
        <v>7</v>
      </c>
      <c r="P207" s="56">
        <v>9</v>
      </c>
      <c r="Q207" s="56">
        <v>6</v>
      </c>
      <c r="R207" s="56">
        <v>11</v>
      </c>
      <c r="S207" s="56">
        <v>6</v>
      </c>
      <c r="T207" s="56">
        <v>5</v>
      </c>
      <c r="U207" s="62">
        <f t="shared" si="47"/>
        <v>187</v>
      </c>
    </row>
    <row r="208" spans="1:40" ht="15.75" customHeight="1">
      <c r="A208" s="193" t="s">
        <v>8</v>
      </c>
      <c r="B208" s="63" t="s">
        <v>13</v>
      </c>
      <c r="C208" s="63">
        <v>22</v>
      </c>
      <c r="D208" s="63">
        <v>19</v>
      </c>
      <c r="E208" s="63">
        <v>23</v>
      </c>
      <c r="F208" s="63">
        <v>21</v>
      </c>
      <c r="G208" s="63">
        <v>23</v>
      </c>
      <c r="H208" s="63">
        <v>41</v>
      </c>
      <c r="I208" s="63">
        <v>21</v>
      </c>
      <c r="J208" s="63">
        <v>16</v>
      </c>
      <c r="K208" s="194" t="s">
        <v>8</v>
      </c>
      <c r="L208" s="63" t="s">
        <v>13</v>
      </c>
      <c r="M208" s="63">
        <v>9</v>
      </c>
      <c r="N208" s="63">
        <v>15</v>
      </c>
      <c r="O208" s="63">
        <v>14</v>
      </c>
      <c r="P208" s="56">
        <v>31</v>
      </c>
      <c r="Q208" s="56">
        <v>50</v>
      </c>
      <c r="R208" s="56">
        <v>52</v>
      </c>
      <c r="S208" s="56">
        <v>29</v>
      </c>
      <c r="T208" s="56">
        <v>22</v>
      </c>
      <c r="U208" s="62">
        <f t="shared" si="47"/>
        <v>408</v>
      </c>
    </row>
    <row r="209" spans="1:21" ht="15.75" customHeight="1">
      <c r="A209" s="230"/>
      <c r="B209" s="6" t="s">
        <v>14</v>
      </c>
      <c r="C209" s="6">
        <v>7</v>
      </c>
      <c r="D209" s="6">
        <v>5</v>
      </c>
      <c r="E209" s="6">
        <v>11</v>
      </c>
      <c r="F209" s="6">
        <v>8</v>
      </c>
      <c r="G209" s="6">
        <v>12</v>
      </c>
      <c r="H209" s="6">
        <v>18</v>
      </c>
      <c r="I209" s="6">
        <v>21</v>
      </c>
      <c r="J209" s="6">
        <v>19</v>
      </c>
      <c r="K209" s="227"/>
      <c r="L209" s="6" t="s">
        <v>14</v>
      </c>
      <c r="M209" s="6">
        <v>10</v>
      </c>
      <c r="N209" s="6">
        <v>6</v>
      </c>
      <c r="O209" s="6">
        <v>10</v>
      </c>
      <c r="P209" s="56">
        <v>19</v>
      </c>
      <c r="Q209" s="56">
        <v>16</v>
      </c>
      <c r="R209" s="56">
        <v>12</v>
      </c>
      <c r="S209" s="56">
        <v>10</v>
      </c>
      <c r="T209" s="56">
        <v>7</v>
      </c>
      <c r="U209" s="62">
        <f t="shared" si="47"/>
        <v>191</v>
      </c>
    </row>
    <row r="210" spans="1:21" ht="15.75" customHeight="1">
      <c r="A210" s="230"/>
      <c r="B210" s="6" t="s">
        <v>15</v>
      </c>
      <c r="C210" s="6">
        <v>16</v>
      </c>
      <c r="D210" s="6">
        <v>15</v>
      </c>
      <c r="E210" s="6">
        <v>17</v>
      </c>
      <c r="F210" s="6">
        <v>18</v>
      </c>
      <c r="G210" s="6">
        <v>22</v>
      </c>
      <c r="H210" s="6">
        <v>24</v>
      </c>
      <c r="I210" s="6">
        <v>15</v>
      </c>
      <c r="J210" s="6">
        <v>10</v>
      </c>
      <c r="K210" s="227"/>
      <c r="L210" s="6" t="s">
        <v>15</v>
      </c>
      <c r="M210" s="6">
        <v>10</v>
      </c>
      <c r="N210" s="6">
        <v>14</v>
      </c>
      <c r="O210" s="6">
        <v>19</v>
      </c>
      <c r="P210" s="56">
        <v>48</v>
      </c>
      <c r="Q210" s="56">
        <v>42</v>
      </c>
      <c r="R210" s="56">
        <v>39</v>
      </c>
      <c r="S210" s="56">
        <v>29</v>
      </c>
      <c r="T210" s="56">
        <v>26</v>
      </c>
      <c r="U210" s="62">
        <f t="shared" si="47"/>
        <v>364</v>
      </c>
    </row>
    <row r="211" spans="1:21" ht="15.75" customHeight="1">
      <c r="A211" s="230"/>
      <c r="B211" s="6" t="s">
        <v>16</v>
      </c>
      <c r="C211" s="6">
        <v>10</v>
      </c>
      <c r="D211" s="6">
        <v>4</v>
      </c>
      <c r="E211" s="6">
        <v>5</v>
      </c>
      <c r="F211" s="6">
        <v>8</v>
      </c>
      <c r="G211" s="6">
        <v>11</v>
      </c>
      <c r="H211" s="6">
        <v>21</v>
      </c>
      <c r="I211" s="6">
        <v>8</v>
      </c>
      <c r="J211" s="6">
        <v>8</v>
      </c>
      <c r="K211" s="227"/>
      <c r="L211" s="6" t="s">
        <v>16</v>
      </c>
      <c r="M211" s="6">
        <v>2</v>
      </c>
      <c r="N211" s="6">
        <v>0</v>
      </c>
      <c r="O211" s="6">
        <v>5</v>
      </c>
      <c r="P211" s="56">
        <v>14</v>
      </c>
      <c r="Q211" s="56">
        <v>9</v>
      </c>
      <c r="R211" s="56">
        <v>9</v>
      </c>
      <c r="S211" s="56">
        <v>9</v>
      </c>
      <c r="T211" s="56">
        <v>9</v>
      </c>
      <c r="U211" s="62">
        <f t="shared" si="47"/>
        <v>132</v>
      </c>
    </row>
    <row r="212" spans="1:21" ht="15.75" customHeight="1">
      <c r="A212" s="230"/>
      <c r="B212" s="6" t="s">
        <v>17</v>
      </c>
      <c r="C212" s="6">
        <v>6</v>
      </c>
      <c r="D212" s="6">
        <v>7</v>
      </c>
      <c r="E212" s="6">
        <v>6</v>
      </c>
      <c r="F212" s="6">
        <v>4</v>
      </c>
      <c r="G212" s="6">
        <v>8</v>
      </c>
      <c r="H212" s="6">
        <v>12</v>
      </c>
      <c r="I212" s="6">
        <v>4</v>
      </c>
      <c r="J212" s="6">
        <v>8</v>
      </c>
      <c r="K212" s="227"/>
      <c r="L212" s="6" t="s">
        <v>17</v>
      </c>
      <c r="M212" s="6">
        <v>0</v>
      </c>
      <c r="N212" s="6">
        <v>6</v>
      </c>
      <c r="O212" s="6">
        <v>4</v>
      </c>
      <c r="P212" s="56">
        <v>8</v>
      </c>
      <c r="Q212" s="56">
        <v>16</v>
      </c>
      <c r="R212" s="56">
        <v>17</v>
      </c>
      <c r="S212" s="56">
        <v>8</v>
      </c>
      <c r="T212" s="56">
        <v>5</v>
      </c>
      <c r="U212" s="62">
        <f t="shared" si="47"/>
        <v>119</v>
      </c>
    </row>
    <row r="213" spans="1:21" ht="15.75" customHeight="1">
      <c r="A213" s="230"/>
      <c r="B213" s="47" t="s">
        <v>18</v>
      </c>
      <c r="C213" s="47">
        <v>11</v>
      </c>
      <c r="D213" s="47">
        <v>4</v>
      </c>
      <c r="E213" s="47">
        <v>7</v>
      </c>
      <c r="F213" s="47">
        <v>6</v>
      </c>
      <c r="G213" s="47">
        <v>4</v>
      </c>
      <c r="H213" s="47">
        <v>8</v>
      </c>
      <c r="I213" s="47">
        <v>8</v>
      </c>
      <c r="J213" s="47">
        <v>5</v>
      </c>
      <c r="K213" s="227"/>
      <c r="L213" s="47" t="s">
        <v>18</v>
      </c>
      <c r="M213" s="47">
        <v>2</v>
      </c>
      <c r="N213" s="47">
        <v>5</v>
      </c>
      <c r="O213" s="47">
        <v>4</v>
      </c>
      <c r="P213" s="56">
        <v>9</v>
      </c>
      <c r="Q213" s="56">
        <v>6</v>
      </c>
      <c r="R213" s="56">
        <v>11</v>
      </c>
      <c r="S213" s="56">
        <v>6</v>
      </c>
      <c r="T213" s="56">
        <v>5</v>
      </c>
      <c r="U213" s="62">
        <f t="shared" si="47"/>
        <v>101</v>
      </c>
    </row>
    <row r="214" spans="1:21" ht="15.75" customHeight="1">
      <c r="A214" s="195" t="s">
        <v>9</v>
      </c>
      <c r="B214" s="56" t="s">
        <v>13</v>
      </c>
      <c r="C214" s="56">
        <v>12</v>
      </c>
      <c r="D214" s="56">
        <v>17</v>
      </c>
      <c r="E214" s="56">
        <v>12</v>
      </c>
      <c r="F214" s="56">
        <v>29</v>
      </c>
      <c r="G214" s="56">
        <v>39</v>
      </c>
      <c r="H214" s="56">
        <v>30</v>
      </c>
      <c r="I214" s="56">
        <v>30</v>
      </c>
      <c r="J214" s="56">
        <v>25</v>
      </c>
      <c r="K214" s="196" t="s">
        <v>9</v>
      </c>
      <c r="L214" s="56" t="s">
        <v>13</v>
      </c>
      <c r="M214" s="56">
        <v>12</v>
      </c>
      <c r="N214" s="56">
        <v>21</v>
      </c>
      <c r="O214" s="56">
        <v>17</v>
      </c>
      <c r="P214" s="56">
        <v>20</v>
      </c>
      <c r="Q214" s="56">
        <v>38</v>
      </c>
      <c r="R214" s="56">
        <v>17</v>
      </c>
      <c r="S214" s="56">
        <v>19</v>
      </c>
      <c r="T214" s="67">
        <v>15</v>
      </c>
      <c r="U214" s="62">
        <f t="shared" ref="U214:U230" si="48">SUM(M214:T214,C214:J214)</f>
        <v>353</v>
      </c>
    </row>
    <row r="215" spans="1:21" ht="15.75" customHeight="1">
      <c r="A215" s="230"/>
      <c r="B215" s="4" t="s">
        <v>14</v>
      </c>
      <c r="C215" s="4">
        <v>6</v>
      </c>
      <c r="D215" s="4">
        <v>6</v>
      </c>
      <c r="E215" s="4">
        <v>7</v>
      </c>
      <c r="F215" s="4">
        <v>12</v>
      </c>
      <c r="G215" s="4">
        <v>13</v>
      </c>
      <c r="H215" s="4">
        <v>14</v>
      </c>
      <c r="I215" s="4">
        <v>17</v>
      </c>
      <c r="J215" s="4">
        <v>18</v>
      </c>
      <c r="K215" s="227"/>
      <c r="L215" s="4" t="s">
        <v>14</v>
      </c>
      <c r="M215" s="4">
        <v>10</v>
      </c>
      <c r="N215" s="4">
        <v>14</v>
      </c>
      <c r="O215" s="4">
        <v>11</v>
      </c>
      <c r="P215" s="4">
        <v>14</v>
      </c>
      <c r="Q215" s="4">
        <v>12</v>
      </c>
      <c r="R215" s="4">
        <v>3</v>
      </c>
      <c r="S215" s="4">
        <v>5</v>
      </c>
      <c r="T215" s="50">
        <v>5</v>
      </c>
      <c r="U215" s="62">
        <f t="shared" si="48"/>
        <v>167</v>
      </c>
    </row>
    <row r="216" spans="1:21" ht="15.75" customHeight="1">
      <c r="A216" s="230"/>
      <c r="B216" s="4" t="s">
        <v>15</v>
      </c>
      <c r="C216" s="4">
        <v>17</v>
      </c>
      <c r="D216" s="4">
        <v>20</v>
      </c>
      <c r="E216" s="4">
        <v>18</v>
      </c>
      <c r="F216" s="4">
        <v>13</v>
      </c>
      <c r="G216" s="4">
        <v>16</v>
      </c>
      <c r="H216" s="4">
        <v>22</v>
      </c>
      <c r="I216" s="4">
        <v>17</v>
      </c>
      <c r="J216" s="4">
        <v>11</v>
      </c>
      <c r="K216" s="227"/>
      <c r="L216" s="4" t="s">
        <v>15</v>
      </c>
      <c r="M216" s="4">
        <v>15</v>
      </c>
      <c r="N216" s="4">
        <v>15</v>
      </c>
      <c r="O216" s="4">
        <v>17</v>
      </c>
      <c r="P216" s="4">
        <v>26</v>
      </c>
      <c r="Q216" s="4">
        <v>15</v>
      </c>
      <c r="R216" s="4">
        <v>26</v>
      </c>
      <c r="S216" s="4">
        <v>31</v>
      </c>
      <c r="T216" s="50">
        <v>10</v>
      </c>
      <c r="U216" s="62">
        <f t="shared" si="48"/>
        <v>289</v>
      </c>
    </row>
    <row r="217" spans="1:21" ht="15.75" customHeight="1">
      <c r="A217" s="230"/>
      <c r="B217" s="4" t="s">
        <v>16</v>
      </c>
      <c r="C217" s="4">
        <v>3</v>
      </c>
      <c r="D217" s="4">
        <v>4</v>
      </c>
      <c r="E217" s="4">
        <v>1</v>
      </c>
      <c r="F217" s="4">
        <v>7</v>
      </c>
      <c r="G217" s="4">
        <v>13</v>
      </c>
      <c r="H217" s="4">
        <v>11</v>
      </c>
      <c r="I217" s="4">
        <v>8</v>
      </c>
      <c r="J217" s="4">
        <v>5</v>
      </c>
      <c r="K217" s="227"/>
      <c r="L217" s="4" t="s">
        <v>16</v>
      </c>
      <c r="M217" s="4">
        <v>7</v>
      </c>
      <c r="N217" s="4">
        <v>8</v>
      </c>
      <c r="O217" s="4">
        <v>4</v>
      </c>
      <c r="P217" s="4">
        <v>7</v>
      </c>
      <c r="Q217" s="4">
        <v>4</v>
      </c>
      <c r="R217" s="4">
        <v>3</v>
      </c>
      <c r="S217" s="4">
        <v>3</v>
      </c>
      <c r="T217" s="50">
        <v>0</v>
      </c>
      <c r="U217" s="62">
        <f t="shared" si="48"/>
        <v>88</v>
      </c>
    </row>
    <row r="218" spans="1:21" ht="15.75" customHeight="1">
      <c r="A218" s="230"/>
      <c r="B218" s="4" t="s">
        <v>17</v>
      </c>
      <c r="C218" s="4">
        <v>2</v>
      </c>
      <c r="D218" s="4">
        <v>6</v>
      </c>
      <c r="E218" s="4">
        <v>10</v>
      </c>
      <c r="F218" s="4">
        <v>7</v>
      </c>
      <c r="G218" s="4">
        <v>6</v>
      </c>
      <c r="H218" s="4">
        <v>10</v>
      </c>
      <c r="I218" s="4">
        <v>4</v>
      </c>
      <c r="J218" s="4">
        <v>4</v>
      </c>
      <c r="K218" s="227"/>
      <c r="L218" s="4" t="s">
        <v>17</v>
      </c>
      <c r="M218" s="4">
        <v>4</v>
      </c>
      <c r="N218" s="4">
        <v>7</v>
      </c>
      <c r="O218" s="4">
        <v>3</v>
      </c>
      <c r="P218" s="4">
        <v>8</v>
      </c>
      <c r="Q218" s="4">
        <v>11</v>
      </c>
      <c r="R218" s="4">
        <v>8</v>
      </c>
      <c r="S218" s="4">
        <v>10</v>
      </c>
      <c r="T218" s="50">
        <v>2</v>
      </c>
      <c r="U218" s="62">
        <f t="shared" si="48"/>
        <v>102</v>
      </c>
    </row>
    <row r="219" spans="1:21" ht="15.75" customHeight="1">
      <c r="A219" s="230"/>
      <c r="B219" s="46" t="s">
        <v>18</v>
      </c>
      <c r="C219" s="46">
        <v>20</v>
      </c>
      <c r="D219" s="46">
        <v>6</v>
      </c>
      <c r="E219" s="46">
        <v>5</v>
      </c>
      <c r="F219" s="46">
        <v>6</v>
      </c>
      <c r="G219" s="46">
        <v>12</v>
      </c>
      <c r="H219" s="46">
        <v>10</v>
      </c>
      <c r="I219" s="46">
        <v>7</v>
      </c>
      <c r="J219" s="46">
        <v>7</v>
      </c>
      <c r="K219" s="227"/>
      <c r="L219" s="46" t="s">
        <v>18</v>
      </c>
      <c r="M219" s="46">
        <v>4</v>
      </c>
      <c r="N219" s="46">
        <v>3</v>
      </c>
      <c r="O219" s="46">
        <v>3</v>
      </c>
      <c r="P219" s="46">
        <v>15</v>
      </c>
      <c r="Q219" s="46">
        <v>11</v>
      </c>
      <c r="R219" s="46">
        <v>7</v>
      </c>
      <c r="S219" s="46">
        <v>6</v>
      </c>
      <c r="T219" s="69">
        <v>4</v>
      </c>
      <c r="U219" s="62">
        <f t="shared" si="48"/>
        <v>126</v>
      </c>
    </row>
    <row r="220" spans="1:21" ht="15.75" customHeight="1">
      <c r="A220" s="193" t="s">
        <v>10</v>
      </c>
      <c r="B220" s="63" t="s">
        <v>13</v>
      </c>
      <c r="C220" s="121">
        <v>16</v>
      </c>
      <c r="D220" s="121">
        <v>20</v>
      </c>
      <c r="E220" s="121">
        <v>17</v>
      </c>
      <c r="F220" s="121">
        <v>27</v>
      </c>
      <c r="G220" s="121">
        <v>32</v>
      </c>
      <c r="H220" s="121">
        <v>30</v>
      </c>
      <c r="I220" s="121">
        <v>25</v>
      </c>
      <c r="J220" s="121">
        <v>10</v>
      </c>
      <c r="K220" s="194" t="s">
        <v>10</v>
      </c>
      <c r="L220" s="63" t="s">
        <v>13</v>
      </c>
      <c r="M220" s="121">
        <v>10</v>
      </c>
      <c r="N220" s="121">
        <v>15</v>
      </c>
      <c r="O220" s="121">
        <v>13</v>
      </c>
      <c r="P220" s="121">
        <v>17</v>
      </c>
      <c r="Q220" s="121">
        <v>16</v>
      </c>
      <c r="R220" s="121">
        <v>22</v>
      </c>
      <c r="S220" s="121">
        <v>17</v>
      </c>
      <c r="T220" s="124">
        <v>17</v>
      </c>
      <c r="U220" s="62">
        <f t="shared" si="48"/>
        <v>304</v>
      </c>
    </row>
    <row r="221" spans="1:21" ht="15.75" customHeight="1">
      <c r="A221" s="230"/>
      <c r="B221" s="6" t="s">
        <v>14</v>
      </c>
      <c r="C221" s="122">
        <v>6</v>
      </c>
      <c r="D221" s="122">
        <v>5</v>
      </c>
      <c r="E221" s="122">
        <v>9</v>
      </c>
      <c r="F221" s="122">
        <v>15</v>
      </c>
      <c r="G221" s="122">
        <v>17</v>
      </c>
      <c r="H221" s="122">
        <v>15</v>
      </c>
      <c r="I221" s="122">
        <v>15</v>
      </c>
      <c r="J221" s="122">
        <v>12</v>
      </c>
      <c r="K221" s="227"/>
      <c r="L221" s="6" t="s">
        <v>14</v>
      </c>
      <c r="M221" s="122">
        <v>11</v>
      </c>
      <c r="N221" s="122">
        <v>10</v>
      </c>
      <c r="O221" s="122">
        <v>13</v>
      </c>
      <c r="P221" s="122">
        <v>5</v>
      </c>
      <c r="Q221" s="122">
        <v>1</v>
      </c>
      <c r="R221" s="122">
        <v>9</v>
      </c>
      <c r="S221" s="122">
        <v>5</v>
      </c>
      <c r="T221" s="125">
        <v>4</v>
      </c>
      <c r="U221" s="62">
        <f t="shared" si="48"/>
        <v>152</v>
      </c>
    </row>
    <row r="222" spans="1:21" ht="15.75" customHeight="1">
      <c r="A222" s="230"/>
      <c r="B222" s="6" t="s">
        <v>15</v>
      </c>
      <c r="C222" s="122">
        <v>15</v>
      </c>
      <c r="D222" s="122">
        <v>21</v>
      </c>
      <c r="E222" s="122">
        <v>18</v>
      </c>
      <c r="F222" s="122">
        <v>16</v>
      </c>
      <c r="G222" s="122">
        <v>25</v>
      </c>
      <c r="H222" s="122">
        <v>27</v>
      </c>
      <c r="I222" s="122">
        <v>20</v>
      </c>
      <c r="J222" s="122">
        <v>22</v>
      </c>
      <c r="K222" s="227"/>
      <c r="L222" s="6" t="s">
        <v>15</v>
      </c>
      <c r="M222" s="122">
        <v>16</v>
      </c>
      <c r="N222" s="122">
        <v>13</v>
      </c>
      <c r="O222" s="122">
        <v>16</v>
      </c>
      <c r="P222" s="122">
        <v>32</v>
      </c>
      <c r="Q222" s="122">
        <v>27</v>
      </c>
      <c r="R222" s="122">
        <v>23</v>
      </c>
      <c r="S222" s="122">
        <v>20</v>
      </c>
      <c r="T222" s="125">
        <v>24</v>
      </c>
      <c r="U222" s="62">
        <f t="shared" si="48"/>
        <v>335</v>
      </c>
    </row>
    <row r="223" spans="1:21" ht="15.75" customHeight="1">
      <c r="A223" s="230"/>
      <c r="B223" s="6" t="s">
        <v>16</v>
      </c>
      <c r="C223" s="122">
        <v>4</v>
      </c>
      <c r="D223" s="122">
        <v>3</v>
      </c>
      <c r="E223" s="122">
        <v>6</v>
      </c>
      <c r="F223" s="122">
        <v>9</v>
      </c>
      <c r="G223" s="122">
        <v>11</v>
      </c>
      <c r="H223" s="122">
        <v>15</v>
      </c>
      <c r="I223" s="122">
        <v>9</v>
      </c>
      <c r="J223" s="122">
        <v>5</v>
      </c>
      <c r="K223" s="227"/>
      <c r="L223" s="6" t="s">
        <v>16</v>
      </c>
      <c r="M223" s="122">
        <v>5</v>
      </c>
      <c r="N223" s="122">
        <v>5</v>
      </c>
      <c r="O223" s="122">
        <v>7</v>
      </c>
      <c r="P223" s="122">
        <v>8</v>
      </c>
      <c r="Q223" s="122">
        <v>5</v>
      </c>
      <c r="R223" s="122">
        <v>3</v>
      </c>
      <c r="S223" s="122">
        <v>5</v>
      </c>
      <c r="T223" s="125">
        <v>4</v>
      </c>
      <c r="U223" s="62">
        <f t="shared" si="48"/>
        <v>104</v>
      </c>
    </row>
    <row r="224" spans="1:21" ht="15.75" customHeight="1">
      <c r="A224" s="230"/>
      <c r="B224" s="6" t="s">
        <v>17</v>
      </c>
      <c r="C224" s="122">
        <v>5</v>
      </c>
      <c r="D224" s="122">
        <v>3</v>
      </c>
      <c r="E224" s="122">
        <v>4</v>
      </c>
      <c r="F224" s="122">
        <v>10</v>
      </c>
      <c r="G224" s="122">
        <v>11</v>
      </c>
      <c r="H224" s="122">
        <v>14</v>
      </c>
      <c r="I224" s="122">
        <v>10</v>
      </c>
      <c r="J224" s="122">
        <v>5</v>
      </c>
      <c r="K224" s="227"/>
      <c r="L224" s="6" t="s">
        <v>17</v>
      </c>
      <c r="M224" s="122">
        <v>1</v>
      </c>
      <c r="N224" s="122">
        <v>2</v>
      </c>
      <c r="O224" s="122">
        <v>3</v>
      </c>
      <c r="P224" s="122">
        <v>3</v>
      </c>
      <c r="Q224" s="122">
        <v>8</v>
      </c>
      <c r="R224" s="122">
        <v>6</v>
      </c>
      <c r="S224" s="122">
        <v>3</v>
      </c>
      <c r="T224" s="125">
        <v>5</v>
      </c>
      <c r="U224" s="62">
        <f t="shared" si="48"/>
        <v>93</v>
      </c>
    </row>
    <row r="225" spans="1:21" ht="15.75" customHeight="1">
      <c r="A225" s="230"/>
      <c r="B225" s="47" t="s">
        <v>18</v>
      </c>
      <c r="C225" s="123">
        <v>12</v>
      </c>
      <c r="D225" s="123">
        <v>4</v>
      </c>
      <c r="E225" s="123">
        <v>5</v>
      </c>
      <c r="F225" s="123">
        <v>6</v>
      </c>
      <c r="G225" s="123">
        <v>5</v>
      </c>
      <c r="H225" s="123">
        <v>5</v>
      </c>
      <c r="I225" s="123">
        <v>7</v>
      </c>
      <c r="J225" s="123">
        <v>8</v>
      </c>
      <c r="K225" s="227"/>
      <c r="L225" s="47" t="s">
        <v>18</v>
      </c>
      <c r="M225" s="123">
        <v>5</v>
      </c>
      <c r="N225" s="123">
        <v>6</v>
      </c>
      <c r="O225" s="123">
        <v>4</v>
      </c>
      <c r="P225" s="123">
        <v>5</v>
      </c>
      <c r="Q225" s="123">
        <v>6</v>
      </c>
      <c r="R225" s="123">
        <v>15</v>
      </c>
      <c r="S225" s="123">
        <v>8</v>
      </c>
      <c r="T225" s="126">
        <v>5</v>
      </c>
      <c r="U225" s="62">
        <f t="shared" si="48"/>
        <v>106</v>
      </c>
    </row>
    <row r="226" spans="1:21" ht="15.75" customHeight="1">
      <c r="A226" s="195" t="s">
        <v>11</v>
      </c>
      <c r="B226" s="56" t="s">
        <v>13</v>
      </c>
      <c r="C226" s="127">
        <v>8</v>
      </c>
      <c r="D226" s="127">
        <v>16</v>
      </c>
      <c r="E226" s="127">
        <v>13</v>
      </c>
      <c r="F226" s="127">
        <v>18</v>
      </c>
      <c r="G226" s="127">
        <v>27</v>
      </c>
      <c r="H226" s="127">
        <v>28</v>
      </c>
      <c r="I226" s="127">
        <v>23</v>
      </c>
      <c r="J226" s="127">
        <v>18</v>
      </c>
      <c r="K226" s="196" t="s">
        <v>11</v>
      </c>
      <c r="L226" s="56" t="s">
        <v>13</v>
      </c>
      <c r="M226" s="127">
        <v>15</v>
      </c>
      <c r="N226" s="127">
        <v>12</v>
      </c>
      <c r="O226" s="127">
        <v>12</v>
      </c>
      <c r="P226" s="127">
        <v>12</v>
      </c>
      <c r="Q226" s="127">
        <v>19</v>
      </c>
      <c r="R226" s="127">
        <v>15</v>
      </c>
      <c r="S226" s="127">
        <v>10</v>
      </c>
      <c r="T226" s="130">
        <v>9</v>
      </c>
      <c r="U226" s="62">
        <f t="shared" si="48"/>
        <v>255</v>
      </c>
    </row>
    <row r="227" spans="1:21" ht="15.75" customHeight="1">
      <c r="A227" s="230"/>
      <c r="B227" s="4" t="s">
        <v>14</v>
      </c>
      <c r="C227" s="128">
        <v>7</v>
      </c>
      <c r="D227" s="128">
        <v>5</v>
      </c>
      <c r="E227" s="128">
        <v>8</v>
      </c>
      <c r="F227" s="128">
        <v>10</v>
      </c>
      <c r="G227" s="128">
        <v>15</v>
      </c>
      <c r="H227" s="128">
        <v>25</v>
      </c>
      <c r="I227" s="128">
        <v>14</v>
      </c>
      <c r="J227" s="128">
        <v>13</v>
      </c>
      <c r="K227" s="227"/>
      <c r="L227" s="4" t="s">
        <v>14</v>
      </c>
      <c r="M227" s="128">
        <v>15</v>
      </c>
      <c r="N227" s="128">
        <v>3</v>
      </c>
      <c r="O227" s="128">
        <v>11</v>
      </c>
      <c r="P227" s="128">
        <v>9</v>
      </c>
      <c r="Q227" s="128">
        <v>8</v>
      </c>
      <c r="R227" s="128">
        <v>1</v>
      </c>
      <c r="S227" s="128">
        <v>3</v>
      </c>
      <c r="T227" s="131">
        <v>4</v>
      </c>
      <c r="U227" s="62">
        <f t="shared" si="48"/>
        <v>151</v>
      </c>
    </row>
    <row r="228" spans="1:21" ht="15.75" customHeight="1">
      <c r="A228" s="230"/>
      <c r="B228" s="4" t="s">
        <v>15</v>
      </c>
      <c r="C228" s="128">
        <v>16</v>
      </c>
      <c r="D228" s="128">
        <v>21</v>
      </c>
      <c r="E228" s="128">
        <v>10</v>
      </c>
      <c r="F228" s="128">
        <v>23</v>
      </c>
      <c r="G228" s="128">
        <v>18</v>
      </c>
      <c r="H228" s="128">
        <v>15</v>
      </c>
      <c r="I228" s="128">
        <v>24</v>
      </c>
      <c r="J228" s="128">
        <v>8</v>
      </c>
      <c r="K228" s="227"/>
      <c r="L228" s="4" t="s">
        <v>15</v>
      </c>
      <c r="M228" s="128">
        <v>10</v>
      </c>
      <c r="N228" s="128">
        <v>14</v>
      </c>
      <c r="O228" s="128">
        <v>23</v>
      </c>
      <c r="P228" s="128">
        <v>12</v>
      </c>
      <c r="Q228" s="128">
        <v>18</v>
      </c>
      <c r="R228" s="128">
        <v>29</v>
      </c>
      <c r="S228" s="128">
        <v>21</v>
      </c>
      <c r="T228" s="131">
        <v>12</v>
      </c>
      <c r="U228" s="62">
        <f t="shared" si="48"/>
        <v>274</v>
      </c>
    </row>
    <row r="229" spans="1:21" ht="15.75" customHeight="1">
      <c r="A229" s="230"/>
      <c r="B229" s="4" t="s">
        <v>16</v>
      </c>
      <c r="C229" s="128">
        <v>3</v>
      </c>
      <c r="D229" s="128">
        <v>1</v>
      </c>
      <c r="E229" s="128">
        <v>4</v>
      </c>
      <c r="F229" s="128">
        <v>6</v>
      </c>
      <c r="G229" s="128">
        <v>12</v>
      </c>
      <c r="H229" s="128">
        <v>17</v>
      </c>
      <c r="I229" s="128">
        <v>14</v>
      </c>
      <c r="J229" s="128">
        <v>7</v>
      </c>
      <c r="K229" s="227"/>
      <c r="L229" s="4" t="s">
        <v>16</v>
      </c>
      <c r="M229" s="128">
        <v>4</v>
      </c>
      <c r="N229" s="128">
        <v>5</v>
      </c>
      <c r="O229" s="128">
        <v>5</v>
      </c>
      <c r="P229" s="128">
        <v>2</v>
      </c>
      <c r="Q229" s="128">
        <v>4</v>
      </c>
      <c r="R229" s="128">
        <v>5</v>
      </c>
      <c r="S229" s="128">
        <v>2</v>
      </c>
      <c r="T229" s="131">
        <v>2</v>
      </c>
      <c r="U229" s="62">
        <f t="shared" si="48"/>
        <v>93</v>
      </c>
    </row>
    <row r="230" spans="1:21" ht="15.75" customHeight="1">
      <c r="A230" s="230"/>
      <c r="B230" s="4" t="s">
        <v>17</v>
      </c>
      <c r="C230" s="128">
        <v>4</v>
      </c>
      <c r="D230" s="128">
        <v>8</v>
      </c>
      <c r="E230" s="128">
        <v>4</v>
      </c>
      <c r="F230" s="128">
        <v>7</v>
      </c>
      <c r="G230" s="128">
        <v>5</v>
      </c>
      <c r="H230" s="128">
        <v>7</v>
      </c>
      <c r="I230" s="128">
        <v>6</v>
      </c>
      <c r="J230" s="128">
        <v>1</v>
      </c>
      <c r="K230" s="227"/>
      <c r="L230" s="4" t="s">
        <v>17</v>
      </c>
      <c r="M230" s="128">
        <v>1</v>
      </c>
      <c r="N230" s="128">
        <v>5</v>
      </c>
      <c r="O230" s="128">
        <v>5</v>
      </c>
      <c r="P230" s="128">
        <v>6</v>
      </c>
      <c r="Q230" s="128">
        <v>4</v>
      </c>
      <c r="R230" s="128">
        <v>5</v>
      </c>
      <c r="S230" s="128">
        <v>2</v>
      </c>
      <c r="T230" s="131">
        <v>5</v>
      </c>
      <c r="U230" s="62">
        <f t="shared" si="48"/>
        <v>75</v>
      </c>
    </row>
    <row r="231" spans="1:21" ht="15.75" customHeight="1">
      <c r="A231" s="231"/>
      <c r="B231" s="61" t="s">
        <v>18</v>
      </c>
      <c r="C231" s="129">
        <v>6</v>
      </c>
      <c r="D231" s="129">
        <v>13</v>
      </c>
      <c r="E231" s="129">
        <v>1</v>
      </c>
      <c r="F231" s="129">
        <v>4</v>
      </c>
      <c r="G231" s="129">
        <v>11</v>
      </c>
      <c r="H231" s="129">
        <v>12</v>
      </c>
      <c r="I231" s="129">
        <v>16</v>
      </c>
      <c r="J231" s="129">
        <v>2</v>
      </c>
      <c r="K231" s="232"/>
      <c r="L231" s="61" t="s">
        <v>18</v>
      </c>
      <c r="M231" s="129">
        <v>3</v>
      </c>
      <c r="N231" s="129">
        <v>3</v>
      </c>
      <c r="O231" s="129">
        <v>5</v>
      </c>
      <c r="P231" s="129">
        <v>5</v>
      </c>
      <c r="Q231" s="129">
        <v>4</v>
      </c>
      <c r="R231" s="129">
        <v>5</v>
      </c>
      <c r="S231" s="129">
        <v>4</v>
      </c>
      <c r="T231" s="132">
        <v>2</v>
      </c>
      <c r="U231" s="62">
        <f>SUM(M231:T231,C231:J231)</f>
        <v>96</v>
      </c>
    </row>
  </sheetData>
  <mergeCells count="110">
    <mergeCell ref="AD6:AE6"/>
    <mergeCell ref="C3:G3"/>
    <mergeCell ref="B4:D4"/>
    <mergeCell ref="F4:H4"/>
    <mergeCell ref="L4:N4"/>
    <mergeCell ref="P4:R4"/>
    <mergeCell ref="A6:A11"/>
    <mergeCell ref="K6:K11"/>
    <mergeCell ref="A18:A23"/>
    <mergeCell ref="K18:K23"/>
    <mergeCell ref="A24:A29"/>
    <mergeCell ref="K24:K29"/>
    <mergeCell ref="A30:A35"/>
    <mergeCell ref="K30:K35"/>
    <mergeCell ref="W6:X6"/>
    <mergeCell ref="Z6:AA6"/>
    <mergeCell ref="Z8:AA8"/>
    <mergeCell ref="Z10:AA10"/>
    <mergeCell ref="A12:A17"/>
    <mergeCell ref="K12:K17"/>
    <mergeCell ref="W52:X52"/>
    <mergeCell ref="A58:A63"/>
    <mergeCell ref="K58:K63"/>
    <mergeCell ref="A36:A41"/>
    <mergeCell ref="K36:K41"/>
    <mergeCell ref="A42:A47"/>
    <mergeCell ref="K42:K47"/>
    <mergeCell ref="C49:G49"/>
    <mergeCell ref="B50:D50"/>
    <mergeCell ref="F50:H50"/>
    <mergeCell ref="A64:A69"/>
    <mergeCell ref="K64:K69"/>
    <mergeCell ref="A70:A75"/>
    <mergeCell ref="K70:K75"/>
    <mergeCell ref="A76:A81"/>
    <mergeCell ref="K76:K81"/>
    <mergeCell ref="L50:N50"/>
    <mergeCell ref="P50:R50"/>
    <mergeCell ref="A52:A57"/>
    <mergeCell ref="K52:K57"/>
    <mergeCell ref="W98:X98"/>
    <mergeCell ref="A104:A109"/>
    <mergeCell ref="K104:K109"/>
    <mergeCell ref="A82:A87"/>
    <mergeCell ref="K82:K87"/>
    <mergeCell ref="A88:A93"/>
    <mergeCell ref="K88:K93"/>
    <mergeCell ref="C95:G95"/>
    <mergeCell ref="B96:D96"/>
    <mergeCell ref="F96:H96"/>
    <mergeCell ref="A110:A115"/>
    <mergeCell ref="K110:K115"/>
    <mergeCell ref="A116:A121"/>
    <mergeCell ref="K116:K121"/>
    <mergeCell ref="A122:A127"/>
    <mergeCell ref="K122:K127"/>
    <mergeCell ref="L96:N96"/>
    <mergeCell ref="P96:R96"/>
    <mergeCell ref="A98:A103"/>
    <mergeCell ref="K98:K103"/>
    <mergeCell ref="L142:N142"/>
    <mergeCell ref="P142:R142"/>
    <mergeCell ref="A144:A149"/>
    <mergeCell ref="K144:K149"/>
    <mergeCell ref="W144:X144"/>
    <mergeCell ref="A150:A155"/>
    <mergeCell ref="K150:K155"/>
    <mergeCell ref="A128:A133"/>
    <mergeCell ref="K128:K133"/>
    <mergeCell ref="A134:A139"/>
    <mergeCell ref="K134:K139"/>
    <mergeCell ref="C141:G141"/>
    <mergeCell ref="B142:D142"/>
    <mergeCell ref="F142:H142"/>
    <mergeCell ref="K174:K179"/>
    <mergeCell ref="A180:A185"/>
    <mergeCell ref="K180:K185"/>
    <mergeCell ref="C187:G187"/>
    <mergeCell ref="B188:D188"/>
    <mergeCell ref="F188:H188"/>
    <mergeCell ref="A156:A161"/>
    <mergeCell ref="K156:K161"/>
    <mergeCell ref="A162:A167"/>
    <mergeCell ref="K162:K167"/>
    <mergeCell ref="A168:A173"/>
    <mergeCell ref="K168:K173"/>
    <mergeCell ref="AG6:AN6"/>
    <mergeCell ref="AG52:AN52"/>
    <mergeCell ref="AG98:AN98"/>
    <mergeCell ref="AG144:AN144"/>
    <mergeCell ref="AG190:AN190"/>
    <mergeCell ref="AP6:AW6"/>
    <mergeCell ref="A220:A225"/>
    <mergeCell ref="K220:K225"/>
    <mergeCell ref="A226:A231"/>
    <mergeCell ref="K226:K231"/>
    <mergeCell ref="A202:A207"/>
    <mergeCell ref="K202:K207"/>
    <mergeCell ref="A208:A213"/>
    <mergeCell ref="K208:K213"/>
    <mergeCell ref="A214:A219"/>
    <mergeCell ref="K214:K219"/>
    <mergeCell ref="L188:N188"/>
    <mergeCell ref="P188:R188"/>
    <mergeCell ref="A190:A195"/>
    <mergeCell ref="K190:K195"/>
    <mergeCell ref="W190:X190"/>
    <mergeCell ref="A196:A201"/>
    <mergeCell ref="K196:K201"/>
    <mergeCell ref="A174:A179"/>
  </mergeCells>
  <printOptions horizontalCentered="1" verticalCentered="1"/>
  <pageMargins left="0.25" right="0.25" top="0.25" bottom="0.25" header="0" footer="0"/>
  <pageSetup pageOrder="overThenDown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EDDB5-01D7-4A01-9BDE-38C9E1418B0C}">
  <dimension ref="A1:AW229"/>
  <sheetViews>
    <sheetView topLeftCell="A162" workbookViewId="0">
      <selection activeCell="N188" sqref="N188:P193"/>
    </sheetView>
  </sheetViews>
  <sheetFormatPr defaultRowHeight="12.75"/>
  <cols>
    <col min="1" max="1" width="13.42578125" style="133" bestFit="1" customWidth="1"/>
    <col min="2" max="2" width="16.42578125" style="133" bestFit="1" customWidth="1"/>
    <col min="3" max="6" width="8" style="133" bestFit="1" customWidth="1"/>
    <col min="7" max="7" width="9.28515625" style="133" bestFit="1" customWidth="1"/>
    <col min="8" max="8" width="10.5703125" style="133" bestFit="1" customWidth="1"/>
    <col min="9" max="9" width="10.7109375" style="133" bestFit="1" customWidth="1"/>
    <col min="10" max="10" width="9.42578125" style="133" bestFit="1" customWidth="1"/>
    <col min="11" max="11" width="13.42578125" style="133" bestFit="1" customWidth="1"/>
    <col min="12" max="12" width="16.42578125" style="133" bestFit="1" customWidth="1"/>
    <col min="13" max="20" width="8.140625" style="133" bestFit="1" customWidth="1"/>
    <col min="21" max="21" width="6.85546875" style="133" bestFit="1" customWidth="1"/>
    <col min="22" max="22" width="9.140625" style="133"/>
    <col min="23" max="23" width="14.140625" style="133" bestFit="1" customWidth="1"/>
    <col min="24" max="24" width="7.85546875" style="133" bestFit="1" customWidth="1"/>
    <col min="25" max="27" width="9.140625" style="133"/>
    <col min="28" max="28" width="7.85546875" style="133" bestFit="1" customWidth="1"/>
    <col min="29" max="29" width="9.140625" style="133"/>
    <col min="30" max="31" width="12.140625" style="133" bestFit="1" customWidth="1"/>
    <col min="32" max="32" width="9.140625" style="133"/>
    <col min="33" max="33" width="14.28515625" style="133" bestFit="1" customWidth="1"/>
    <col min="34" max="34" width="9.140625" style="133"/>
    <col min="35" max="35" width="7.85546875" style="133" bestFit="1" customWidth="1"/>
    <col min="36" max="36" width="8.140625" style="133" bestFit="1" customWidth="1"/>
    <col min="37" max="37" width="8.7109375" style="133" bestFit="1" customWidth="1"/>
    <col min="38" max="38" width="11.42578125" style="133" bestFit="1" customWidth="1"/>
    <col min="39" max="39" width="9.5703125" style="133" bestFit="1" customWidth="1"/>
    <col min="40" max="40" width="6.7109375" style="133" bestFit="1" customWidth="1"/>
    <col min="41" max="41" width="9.140625" style="133"/>
    <col min="42" max="42" width="14.28515625" style="133" bestFit="1" customWidth="1"/>
    <col min="43" max="43" width="9.140625" style="133"/>
    <col min="44" max="44" width="7.85546875" style="133" bestFit="1" customWidth="1"/>
    <col min="45" max="45" width="8.140625" style="133" bestFit="1" customWidth="1"/>
    <col min="46" max="46" width="8.7109375" style="133" bestFit="1" customWidth="1"/>
    <col min="47" max="47" width="11.42578125" style="133" bestFit="1" customWidth="1"/>
    <col min="48" max="48" width="9.5703125" style="133" bestFit="1" customWidth="1"/>
    <col min="49" max="49" width="6.7109375" style="133" bestFit="1" customWidth="1"/>
    <col min="50" max="16384" width="9.140625" style="133"/>
  </cols>
  <sheetData>
    <row r="1" spans="1:49" ht="15.75">
      <c r="A1" s="1"/>
      <c r="B1" s="1"/>
      <c r="C1" s="183" t="s">
        <v>0</v>
      </c>
      <c r="D1" s="208"/>
      <c r="E1" s="208"/>
      <c r="F1" s="208"/>
      <c r="G1" s="209"/>
      <c r="H1" s="1"/>
      <c r="I1" s="1"/>
    </row>
    <row r="2" spans="1:49" ht="15.75">
      <c r="A2" s="1"/>
      <c r="B2" s="183" t="s">
        <v>1</v>
      </c>
      <c r="C2" s="208"/>
      <c r="D2" s="209"/>
      <c r="E2" s="1"/>
      <c r="F2" s="183" t="s">
        <v>72</v>
      </c>
      <c r="G2" s="208"/>
      <c r="H2" s="209"/>
      <c r="I2" s="1"/>
      <c r="K2" s="1"/>
      <c r="L2" s="183" t="s">
        <v>26</v>
      </c>
      <c r="M2" s="208"/>
      <c r="N2" s="209"/>
      <c r="O2" s="1"/>
      <c r="P2" s="183" t="s">
        <v>72</v>
      </c>
      <c r="Q2" s="208"/>
      <c r="R2" s="209"/>
      <c r="S2" s="1"/>
    </row>
    <row r="3" spans="1:49" ht="15.75">
      <c r="A3" s="54" t="s">
        <v>35</v>
      </c>
      <c r="B3" s="54" t="s">
        <v>4</v>
      </c>
      <c r="C3" s="54" t="s">
        <v>12</v>
      </c>
      <c r="D3" s="54" t="s">
        <v>19</v>
      </c>
      <c r="E3" s="54" t="s">
        <v>20</v>
      </c>
      <c r="F3" s="54" t="s">
        <v>21</v>
      </c>
      <c r="G3" s="54" t="s">
        <v>22</v>
      </c>
      <c r="H3" s="54" t="s">
        <v>23</v>
      </c>
      <c r="I3" s="54" t="s">
        <v>24</v>
      </c>
      <c r="J3" s="54" t="s">
        <v>25</v>
      </c>
      <c r="K3" s="54" t="s">
        <v>35</v>
      </c>
      <c r="L3" s="54" t="s">
        <v>4</v>
      </c>
      <c r="M3" s="54" t="s">
        <v>27</v>
      </c>
      <c r="N3" s="54" t="s">
        <v>28</v>
      </c>
      <c r="O3" s="54" t="s">
        <v>29</v>
      </c>
      <c r="P3" s="54" t="s">
        <v>30</v>
      </c>
      <c r="Q3" s="54" t="s">
        <v>31</v>
      </c>
      <c r="R3" s="54" t="s">
        <v>32</v>
      </c>
      <c r="S3" s="54" t="s">
        <v>33</v>
      </c>
      <c r="T3" s="54" t="s">
        <v>34</v>
      </c>
      <c r="U3" s="149">
        <f t="shared" ref="U3:U49" si="0">SUM(M3:T3,E3:J3)</f>
        <v>0</v>
      </c>
    </row>
    <row r="4" spans="1:49" ht="15.75">
      <c r="A4" s="195" t="s">
        <v>5</v>
      </c>
      <c r="B4" s="56" t="s">
        <v>13</v>
      </c>
      <c r="C4" s="57"/>
      <c r="D4" s="57"/>
      <c r="E4" s="56">
        <v>7</v>
      </c>
      <c r="F4" s="56">
        <v>21</v>
      </c>
      <c r="G4" s="56">
        <v>32</v>
      </c>
      <c r="H4" s="56">
        <v>36</v>
      </c>
      <c r="I4" s="56">
        <v>32</v>
      </c>
      <c r="J4" s="56">
        <v>19</v>
      </c>
      <c r="K4" s="196" t="s">
        <v>5</v>
      </c>
      <c r="L4" s="56" t="s">
        <v>13</v>
      </c>
      <c r="M4" s="56">
        <v>26</v>
      </c>
      <c r="N4" s="56">
        <v>21</v>
      </c>
      <c r="O4" s="56">
        <v>31</v>
      </c>
      <c r="P4" s="56">
        <v>19</v>
      </c>
      <c r="Q4" s="56">
        <v>13</v>
      </c>
      <c r="R4" s="57"/>
      <c r="S4" s="57"/>
      <c r="T4" s="58"/>
      <c r="U4" s="149">
        <f t="shared" si="0"/>
        <v>257</v>
      </c>
      <c r="W4" s="210" t="s">
        <v>2</v>
      </c>
      <c r="X4" s="211"/>
      <c r="Z4" s="210" t="s">
        <v>56</v>
      </c>
      <c r="AA4" s="214"/>
      <c r="AB4" s="135">
        <f>SUM(X12,X58,X104,X150,X196)</f>
        <v>26447</v>
      </c>
      <c r="AD4" s="210" t="s">
        <v>57</v>
      </c>
      <c r="AE4" s="211"/>
      <c r="AG4" s="190" t="s">
        <v>58</v>
      </c>
      <c r="AH4" s="191"/>
      <c r="AI4" s="191"/>
      <c r="AJ4" s="191"/>
      <c r="AK4" s="191"/>
      <c r="AL4" s="191"/>
      <c r="AM4" s="191"/>
      <c r="AN4" s="192"/>
      <c r="AP4" s="190" t="s">
        <v>59</v>
      </c>
      <c r="AQ4" s="191"/>
      <c r="AR4" s="191"/>
      <c r="AS4" s="191"/>
      <c r="AT4" s="191"/>
      <c r="AU4" s="191"/>
      <c r="AV4" s="191"/>
      <c r="AW4" s="192"/>
    </row>
    <row r="5" spans="1:49" ht="15">
      <c r="A5" s="204"/>
      <c r="B5" s="4" t="s">
        <v>14</v>
      </c>
      <c r="C5" s="5"/>
      <c r="D5" s="5"/>
      <c r="E5" s="4">
        <v>5</v>
      </c>
      <c r="F5" s="4">
        <v>9</v>
      </c>
      <c r="G5" s="4">
        <v>9</v>
      </c>
      <c r="H5" s="4">
        <v>16</v>
      </c>
      <c r="I5" s="4">
        <v>14</v>
      </c>
      <c r="J5" s="4">
        <v>10</v>
      </c>
      <c r="K5" s="205"/>
      <c r="L5" s="4" t="s">
        <v>14</v>
      </c>
      <c r="M5" s="4">
        <v>8</v>
      </c>
      <c r="N5" s="4">
        <v>8</v>
      </c>
      <c r="O5" s="4">
        <v>8</v>
      </c>
      <c r="P5" s="4">
        <v>10</v>
      </c>
      <c r="Q5" s="4">
        <v>2</v>
      </c>
      <c r="R5" s="5"/>
      <c r="S5" s="5"/>
      <c r="T5" s="49"/>
      <c r="U5" s="149">
        <f t="shared" si="0"/>
        <v>99</v>
      </c>
      <c r="W5" s="137" t="s">
        <v>5</v>
      </c>
      <c r="X5" s="109">
        <f>SUM(U4:U9)</f>
        <v>919</v>
      </c>
      <c r="AD5" s="137" t="s">
        <v>5</v>
      </c>
      <c r="AE5" s="109">
        <f t="shared" ref="AE5:AE11" si="1">AVERAGE(X5,X51,X97,X143,X189)</f>
        <v>601.6</v>
      </c>
      <c r="AG5" s="138" t="s">
        <v>4</v>
      </c>
      <c r="AH5" s="138" t="s">
        <v>5</v>
      </c>
      <c r="AI5" s="138" t="s">
        <v>6</v>
      </c>
      <c r="AJ5" s="138" t="s">
        <v>7</v>
      </c>
      <c r="AK5" s="138" t="s">
        <v>8</v>
      </c>
      <c r="AL5" s="138" t="s">
        <v>9</v>
      </c>
      <c r="AM5" s="138" t="s">
        <v>10</v>
      </c>
      <c r="AN5" s="138" t="s">
        <v>11</v>
      </c>
      <c r="AP5" s="138" t="s">
        <v>4</v>
      </c>
      <c r="AQ5" s="138" t="s">
        <v>5</v>
      </c>
      <c r="AR5" s="138" t="s">
        <v>6</v>
      </c>
      <c r="AS5" s="138" t="s">
        <v>7</v>
      </c>
      <c r="AT5" s="138" t="s">
        <v>8</v>
      </c>
      <c r="AU5" s="138" t="s">
        <v>9</v>
      </c>
      <c r="AV5" s="138" t="s">
        <v>10</v>
      </c>
      <c r="AW5" s="138" t="s">
        <v>11</v>
      </c>
    </row>
    <row r="6" spans="1:49" ht="15.75">
      <c r="A6" s="204"/>
      <c r="B6" s="4" t="s">
        <v>15</v>
      </c>
      <c r="C6" s="5"/>
      <c r="D6" s="5"/>
      <c r="E6" s="4">
        <v>9</v>
      </c>
      <c r="F6" s="4">
        <v>20</v>
      </c>
      <c r="G6" s="4">
        <v>20</v>
      </c>
      <c r="H6" s="4">
        <v>24</v>
      </c>
      <c r="I6" s="4">
        <v>25</v>
      </c>
      <c r="J6" s="4">
        <v>39</v>
      </c>
      <c r="K6" s="205"/>
      <c r="L6" s="4" t="s">
        <v>15</v>
      </c>
      <c r="M6" s="4">
        <v>29</v>
      </c>
      <c r="N6" s="4">
        <v>24</v>
      </c>
      <c r="O6" s="4">
        <v>26</v>
      </c>
      <c r="P6" s="4">
        <v>27</v>
      </c>
      <c r="Q6" s="4">
        <v>18</v>
      </c>
      <c r="R6" s="5"/>
      <c r="S6" s="5"/>
      <c r="T6" s="49"/>
      <c r="U6" s="149">
        <f t="shared" si="0"/>
        <v>261</v>
      </c>
      <c r="W6" s="137" t="s">
        <v>6</v>
      </c>
      <c r="X6" s="109">
        <f>SUM(U10:U15)</f>
        <v>826</v>
      </c>
      <c r="Z6" s="210" t="s">
        <v>60</v>
      </c>
      <c r="AA6" s="214"/>
      <c r="AB6" s="139" t="s">
        <v>73</v>
      </c>
      <c r="AD6" s="137" t="s">
        <v>6</v>
      </c>
      <c r="AE6" s="109">
        <f t="shared" si="1"/>
        <v>486.8</v>
      </c>
      <c r="AG6" s="140" t="s">
        <v>13</v>
      </c>
      <c r="AH6" s="140">
        <f t="shared" ref="AH6:AH11" si="2">U4</f>
        <v>257</v>
      </c>
      <c r="AI6" s="140">
        <f t="shared" ref="AI6:AI11" si="3">U10</f>
        <v>277</v>
      </c>
      <c r="AJ6" s="140">
        <f t="shared" ref="AJ6:AJ11" si="4">U16</f>
        <v>409</v>
      </c>
      <c r="AK6" s="140">
        <f t="shared" ref="AK6:AK11" si="5">U22</f>
        <v>345</v>
      </c>
      <c r="AL6" s="140">
        <f t="shared" ref="AL6:AL11" si="6">U28</f>
        <v>320</v>
      </c>
      <c r="AM6" s="140">
        <f t="shared" ref="AM6:AM11" si="7">U34</f>
        <v>306</v>
      </c>
      <c r="AN6" s="140">
        <f t="shared" ref="AN6:AN11" si="8">U40</f>
        <v>265</v>
      </c>
      <c r="AP6" s="140" t="s">
        <v>13</v>
      </c>
      <c r="AQ6" s="140">
        <f t="shared" ref="AQ6:AW11" si="9">SUM(AH6,AH52,AH98,AH144,AH190)</f>
        <v>883</v>
      </c>
      <c r="AR6" s="140">
        <f t="shared" si="9"/>
        <v>807</v>
      </c>
      <c r="AS6" s="140">
        <f t="shared" si="9"/>
        <v>1187</v>
      </c>
      <c r="AT6" s="140">
        <f t="shared" si="9"/>
        <v>1336</v>
      </c>
      <c r="AU6" s="140">
        <f t="shared" si="9"/>
        <v>1359</v>
      </c>
      <c r="AV6" s="140">
        <f t="shared" si="9"/>
        <v>1324</v>
      </c>
      <c r="AW6" s="140">
        <f t="shared" si="9"/>
        <v>1122</v>
      </c>
    </row>
    <row r="7" spans="1:49" ht="15">
      <c r="A7" s="204"/>
      <c r="B7" s="4" t="s">
        <v>16</v>
      </c>
      <c r="C7" s="5"/>
      <c r="D7" s="5"/>
      <c r="E7" s="4">
        <v>4</v>
      </c>
      <c r="F7" s="4">
        <v>9</v>
      </c>
      <c r="G7" s="4">
        <v>9</v>
      </c>
      <c r="H7" s="4">
        <v>21</v>
      </c>
      <c r="I7" s="4">
        <v>19</v>
      </c>
      <c r="J7" s="4">
        <v>12</v>
      </c>
      <c r="K7" s="205"/>
      <c r="L7" s="4" t="s">
        <v>16</v>
      </c>
      <c r="M7" s="4">
        <v>6</v>
      </c>
      <c r="N7" s="4">
        <v>10</v>
      </c>
      <c r="O7" s="4">
        <v>7</v>
      </c>
      <c r="P7" s="4">
        <v>8</v>
      </c>
      <c r="Q7" s="4">
        <v>7</v>
      </c>
      <c r="R7" s="5"/>
      <c r="S7" s="5"/>
      <c r="T7" s="49"/>
      <c r="U7" s="149">
        <f t="shared" si="0"/>
        <v>112</v>
      </c>
      <c r="W7" s="137" t="s">
        <v>7</v>
      </c>
      <c r="X7" s="141">
        <f>SUM(U16:U21)</f>
        <v>1316</v>
      </c>
      <c r="AD7" s="137" t="s">
        <v>7</v>
      </c>
      <c r="AE7" s="109">
        <f t="shared" si="1"/>
        <v>781.4</v>
      </c>
      <c r="AG7" s="142" t="s">
        <v>14</v>
      </c>
      <c r="AH7" s="142">
        <f t="shared" si="2"/>
        <v>99</v>
      </c>
      <c r="AI7" s="142">
        <f t="shared" si="3"/>
        <v>83</v>
      </c>
      <c r="AJ7" s="142">
        <f t="shared" si="4"/>
        <v>161</v>
      </c>
      <c r="AK7" s="142">
        <f t="shared" si="5"/>
        <v>129</v>
      </c>
      <c r="AL7" s="142">
        <f t="shared" si="6"/>
        <v>149</v>
      </c>
      <c r="AM7" s="142">
        <f t="shared" si="7"/>
        <v>146</v>
      </c>
      <c r="AN7" s="142">
        <f t="shared" si="8"/>
        <v>137</v>
      </c>
      <c r="AP7" s="142" t="s">
        <v>14</v>
      </c>
      <c r="AQ7" s="142">
        <f t="shared" si="9"/>
        <v>320</v>
      </c>
      <c r="AR7" s="142">
        <f t="shared" si="9"/>
        <v>250</v>
      </c>
      <c r="AS7" s="142">
        <f t="shared" si="9"/>
        <v>494</v>
      </c>
      <c r="AT7" s="142">
        <f t="shared" si="9"/>
        <v>521</v>
      </c>
      <c r="AU7" s="142">
        <f t="shared" si="9"/>
        <v>688</v>
      </c>
      <c r="AV7" s="142">
        <f t="shared" si="9"/>
        <v>563</v>
      </c>
      <c r="AW7" s="142">
        <f t="shared" si="9"/>
        <v>599</v>
      </c>
    </row>
    <row r="8" spans="1:49" ht="15.75">
      <c r="A8" s="204"/>
      <c r="B8" s="4" t="s">
        <v>17</v>
      </c>
      <c r="C8" s="5"/>
      <c r="D8" s="5"/>
      <c r="E8" s="4">
        <v>4</v>
      </c>
      <c r="F8" s="4">
        <v>8</v>
      </c>
      <c r="G8" s="4">
        <v>8</v>
      </c>
      <c r="H8" s="4">
        <v>17</v>
      </c>
      <c r="I8" s="4">
        <v>7</v>
      </c>
      <c r="J8" s="4">
        <v>16</v>
      </c>
      <c r="K8" s="205"/>
      <c r="L8" s="4" t="s">
        <v>17</v>
      </c>
      <c r="M8" s="4">
        <v>6</v>
      </c>
      <c r="N8" s="4">
        <v>5</v>
      </c>
      <c r="O8" s="4">
        <v>12</v>
      </c>
      <c r="P8" s="4">
        <v>11</v>
      </c>
      <c r="Q8" s="4">
        <v>5</v>
      </c>
      <c r="R8" s="5"/>
      <c r="S8" s="5"/>
      <c r="T8" s="49"/>
      <c r="U8" s="149">
        <f t="shared" si="0"/>
        <v>99</v>
      </c>
      <c r="W8" s="137" t="s">
        <v>61</v>
      </c>
      <c r="X8" s="109">
        <f>SUM(U22:U27)</f>
        <v>1089</v>
      </c>
      <c r="Z8" s="210" t="s">
        <v>62</v>
      </c>
      <c r="AA8" s="214"/>
      <c r="AB8" s="139"/>
      <c r="AD8" s="137" t="s">
        <v>61</v>
      </c>
      <c r="AE8" s="109">
        <f t="shared" si="1"/>
        <v>877.4</v>
      </c>
      <c r="AG8" s="140" t="s">
        <v>15</v>
      </c>
      <c r="AH8" s="140">
        <f t="shared" si="2"/>
        <v>261</v>
      </c>
      <c r="AI8" s="140">
        <f t="shared" si="3"/>
        <v>227</v>
      </c>
      <c r="AJ8" s="140">
        <f t="shared" si="4"/>
        <v>374</v>
      </c>
      <c r="AK8" s="140">
        <f t="shared" si="5"/>
        <v>323</v>
      </c>
      <c r="AL8" s="140">
        <f t="shared" si="6"/>
        <v>311</v>
      </c>
      <c r="AM8" s="140">
        <f t="shared" si="7"/>
        <v>277</v>
      </c>
      <c r="AN8" s="140">
        <f t="shared" si="8"/>
        <v>217</v>
      </c>
      <c r="AP8" s="140" t="s">
        <v>15</v>
      </c>
      <c r="AQ8" s="140">
        <f t="shared" si="9"/>
        <v>909</v>
      </c>
      <c r="AR8" s="140">
        <f t="shared" si="9"/>
        <v>689</v>
      </c>
      <c r="AS8" s="140">
        <f t="shared" si="9"/>
        <v>1101</v>
      </c>
      <c r="AT8" s="140">
        <f t="shared" si="9"/>
        <v>1331</v>
      </c>
      <c r="AU8" s="140">
        <f t="shared" si="9"/>
        <v>1208</v>
      </c>
      <c r="AV8" s="140">
        <f t="shared" si="9"/>
        <v>1221</v>
      </c>
      <c r="AW8" s="140">
        <f t="shared" si="9"/>
        <v>971</v>
      </c>
    </row>
    <row r="9" spans="1:49" ht="15">
      <c r="A9" s="204"/>
      <c r="B9" s="46" t="s">
        <v>18</v>
      </c>
      <c r="C9" s="64"/>
      <c r="D9" s="64"/>
      <c r="E9" s="46">
        <v>19</v>
      </c>
      <c r="F9" s="46">
        <v>3</v>
      </c>
      <c r="G9" s="46">
        <v>3</v>
      </c>
      <c r="H9" s="46">
        <v>11</v>
      </c>
      <c r="I9" s="46">
        <v>5</v>
      </c>
      <c r="J9" s="46">
        <v>5</v>
      </c>
      <c r="K9" s="205"/>
      <c r="L9" s="46" t="s">
        <v>18</v>
      </c>
      <c r="M9" s="46">
        <v>11</v>
      </c>
      <c r="N9" s="46">
        <v>12</v>
      </c>
      <c r="O9" s="46">
        <v>8</v>
      </c>
      <c r="P9" s="46">
        <v>10</v>
      </c>
      <c r="Q9" s="46">
        <v>4</v>
      </c>
      <c r="R9" s="64"/>
      <c r="S9" s="64"/>
      <c r="T9" s="65"/>
      <c r="U9" s="149">
        <f t="shared" si="0"/>
        <v>91</v>
      </c>
      <c r="W9" s="137" t="s">
        <v>9</v>
      </c>
      <c r="X9" s="109">
        <f>SUM(U28:U33)</f>
        <v>1107</v>
      </c>
      <c r="AD9" s="137" t="s">
        <v>9</v>
      </c>
      <c r="AE9" s="109">
        <f t="shared" si="1"/>
        <v>912.8</v>
      </c>
      <c r="AG9" s="142" t="s">
        <v>16</v>
      </c>
      <c r="AH9" s="142">
        <f t="shared" si="2"/>
        <v>112</v>
      </c>
      <c r="AI9" s="142">
        <f t="shared" si="3"/>
        <v>79</v>
      </c>
      <c r="AJ9" s="142">
        <f t="shared" si="4"/>
        <v>135</v>
      </c>
      <c r="AK9" s="142">
        <f t="shared" si="5"/>
        <v>113</v>
      </c>
      <c r="AL9" s="142">
        <f t="shared" si="6"/>
        <v>134</v>
      </c>
      <c r="AM9" s="142">
        <f t="shared" si="7"/>
        <v>125</v>
      </c>
      <c r="AN9" s="142">
        <f t="shared" si="8"/>
        <v>83</v>
      </c>
      <c r="AP9" s="142" t="s">
        <v>16</v>
      </c>
      <c r="AQ9" s="142">
        <f t="shared" si="9"/>
        <v>287</v>
      </c>
      <c r="AR9" s="142">
        <f t="shared" si="9"/>
        <v>230</v>
      </c>
      <c r="AS9" s="142">
        <f t="shared" si="9"/>
        <v>360</v>
      </c>
      <c r="AT9" s="142">
        <f t="shared" si="9"/>
        <v>395</v>
      </c>
      <c r="AU9" s="142">
        <f t="shared" si="9"/>
        <v>445</v>
      </c>
      <c r="AV9" s="142">
        <f t="shared" si="9"/>
        <v>447</v>
      </c>
      <c r="AW9" s="142">
        <f t="shared" si="9"/>
        <v>327</v>
      </c>
    </row>
    <row r="10" spans="1:49" ht="15.75">
      <c r="A10" s="193" t="s">
        <v>6</v>
      </c>
      <c r="B10" s="63" t="s">
        <v>13</v>
      </c>
      <c r="C10" s="57"/>
      <c r="D10" s="57"/>
      <c r="E10" s="57"/>
      <c r="F10" s="63">
        <v>13</v>
      </c>
      <c r="G10" s="63">
        <v>50</v>
      </c>
      <c r="H10" s="63">
        <v>47</v>
      </c>
      <c r="I10" s="63">
        <v>42</v>
      </c>
      <c r="J10" s="63">
        <v>37</v>
      </c>
      <c r="K10" s="194" t="s">
        <v>6</v>
      </c>
      <c r="L10" s="63" t="s">
        <v>13</v>
      </c>
      <c r="M10" s="63">
        <v>22</v>
      </c>
      <c r="N10" s="63">
        <v>18</v>
      </c>
      <c r="O10" s="63">
        <v>26</v>
      </c>
      <c r="P10" s="63">
        <v>22</v>
      </c>
      <c r="Q10" s="57"/>
      <c r="R10" s="57"/>
      <c r="S10" s="57"/>
      <c r="T10" s="58"/>
      <c r="U10" s="149">
        <f t="shared" si="0"/>
        <v>277</v>
      </c>
      <c r="W10" s="137" t="s">
        <v>10</v>
      </c>
      <c r="X10" s="109">
        <f>SUM(U34:U39)</f>
        <v>1044</v>
      </c>
      <c r="Z10" s="210" t="s">
        <v>74</v>
      </c>
      <c r="AA10" s="214"/>
      <c r="AB10" s="139" t="s">
        <v>13</v>
      </c>
      <c r="AD10" s="137" t="s">
        <v>10</v>
      </c>
      <c r="AE10" s="109">
        <f t="shared" si="1"/>
        <v>890.4</v>
      </c>
      <c r="AG10" s="140" t="s">
        <v>17</v>
      </c>
      <c r="AH10" s="140">
        <f t="shared" si="2"/>
        <v>99</v>
      </c>
      <c r="AI10" s="140">
        <f t="shared" si="3"/>
        <v>87</v>
      </c>
      <c r="AJ10" s="140">
        <f t="shared" si="4"/>
        <v>113</v>
      </c>
      <c r="AK10" s="140">
        <f t="shared" si="5"/>
        <v>79</v>
      </c>
      <c r="AL10" s="140">
        <f t="shared" si="6"/>
        <v>93</v>
      </c>
      <c r="AM10" s="140">
        <f t="shared" si="7"/>
        <v>97</v>
      </c>
      <c r="AN10" s="140">
        <f t="shared" si="8"/>
        <v>86</v>
      </c>
      <c r="AP10" s="140" t="s">
        <v>17</v>
      </c>
      <c r="AQ10" s="140">
        <f t="shared" si="9"/>
        <v>300</v>
      </c>
      <c r="AR10" s="140">
        <f t="shared" si="9"/>
        <v>238</v>
      </c>
      <c r="AS10" s="140">
        <f t="shared" si="9"/>
        <v>336</v>
      </c>
      <c r="AT10" s="140">
        <f t="shared" si="9"/>
        <v>366</v>
      </c>
      <c r="AU10" s="140">
        <f t="shared" si="9"/>
        <v>382</v>
      </c>
      <c r="AV10" s="140">
        <f t="shared" si="9"/>
        <v>412</v>
      </c>
      <c r="AW10" s="140">
        <f t="shared" si="9"/>
        <v>332</v>
      </c>
    </row>
    <row r="11" spans="1:49" ht="15">
      <c r="A11" s="204"/>
      <c r="B11" s="6" t="s">
        <v>14</v>
      </c>
      <c r="C11" s="5"/>
      <c r="D11" s="5"/>
      <c r="E11" s="5"/>
      <c r="F11" s="6">
        <v>7</v>
      </c>
      <c r="G11" s="6">
        <v>14</v>
      </c>
      <c r="H11" s="6">
        <v>12</v>
      </c>
      <c r="I11" s="6">
        <v>10</v>
      </c>
      <c r="J11" s="6">
        <v>13</v>
      </c>
      <c r="K11" s="205"/>
      <c r="L11" s="6" t="s">
        <v>14</v>
      </c>
      <c r="M11" s="6">
        <v>7</v>
      </c>
      <c r="N11" s="6">
        <v>5</v>
      </c>
      <c r="O11" s="6">
        <v>7</v>
      </c>
      <c r="P11" s="6">
        <v>8</v>
      </c>
      <c r="Q11" s="5"/>
      <c r="R11" s="5"/>
      <c r="S11" s="5"/>
      <c r="T11" s="49"/>
      <c r="U11" s="149">
        <f t="shared" si="0"/>
        <v>83</v>
      </c>
      <c r="W11" s="144" t="s">
        <v>11</v>
      </c>
      <c r="X11" s="145">
        <f>SUM(U40:U45)</f>
        <v>855</v>
      </c>
      <c r="AD11" s="144" t="s">
        <v>11</v>
      </c>
      <c r="AE11" s="109">
        <f t="shared" si="1"/>
        <v>739</v>
      </c>
      <c r="AG11" s="142" t="s">
        <v>18</v>
      </c>
      <c r="AH11" s="142">
        <f t="shared" si="2"/>
        <v>91</v>
      </c>
      <c r="AI11" s="142">
        <f t="shared" si="3"/>
        <v>73</v>
      </c>
      <c r="AJ11" s="142">
        <f t="shared" si="4"/>
        <v>124</v>
      </c>
      <c r="AK11" s="142">
        <f t="shared" si="5"/>
        <v>100</v>
      </c>
      <c r="AL11" s="142">
        <f t="shared" si="6"/>
        <v>100</v>
      </c>
      <c r="AM11" s="142">
        <f t="shared" si="7"/>
        <v>93</v>
      </c>
      <c r="AN11" s="142">
        <f t="shared" si="8"/>
        <v>67</v>
      </c>
      <c r="AP11" s="142" t="s">
        <v>18</v>
      </c>
      <c r="AQ11" s="142">
        <f t="shared" si="9"/>
        <v>309</v>
      </c>
      <c r="AR11" s="142">
        <f t="shared" si="9"/>
        <v>220</v>
      </c>
      <c r="AS11" s="142">
        <f t="shared" si="9"/>
        <v>429</v>
      </c>
      <c r="AT11" s="142">
        <f t="shared" si="9"/>
        <v>438</v>
      </c>
      <c r="AU11" s="142">
        <f t="shared" si="9"/>
        <v>482</v>
      </c>
      <c r="AV11" s="142">
        <f t="shared" si="9"/>
        <v>485</v>
      </c>
      <c r="AW11" s="142">
        <f t="shared" si="9"/>
        <v>344</v>
      </c>
    </row>
    <row r="12" spans="1:49" ht="15">
      <c r="A12" s="204"/>
      <c r="B12" s="6" t="s">
        <v>15</v>
      </c>
      <c r="C12" s="5"/>
      <c r="D12" s="5"/>
      <c r="E12" s="5"/>
      <c r="F12" s="6">
        <v>17</v>
      </c>
      <c r="G12" s="6">
        <v>27</v>
      </c>
      <c r="H12" s="6">
        <v>35</v>
      </c>
      <c r="I12" s="6">
        <v>26</v>
      </c>
      <c r="J12" s="6">
        <v>34</v>
      </c>
      <c r="K12" s="205"/>
      <c r="L12" s="6" t="s">
        <v>15</v>
      </c>
      <c r="M12" s="6">
        <v>26</v>
      </c>
      <c r="N12" s="6">
        <v>20</v>
      </c>
      <c r="O12" s="6">
        <v>26</v>
      </c>
      <c r="P12" s="6">
        <v>16</v>
      </c>
      <c r="Q12" s="5"/>
      <c r="R12" s="5"/>
      <c r="S12" s="5"/>
      <c r="T12" s="49"/>
      <c r="U12" s="149">
        <f t="shared" si="0"/>
        <v>227</v>
      </c>
      <c r="W12" s="140" t="s">
        <v>63</v>
      </c>
      <c r="X12" s="146">
        <f>SUM(X5:X11)</f>
        <v>7156</v>
      </c>
      <c r="AD12" s="140" t="s">
        <v>40</v>
      </c>
      <c r="AE12" s="146">
        <f>AVERAGE(AE5:AE11)</f>
        <v>755.62857142857138</v>
      </c>
    </row>
    <row r="13" spans="1:49" ht="15">
      <c r="A13" s="204"/>
      <c r="B13" s="6" t="s">
        <v>16</v>
      </c>
      <c r="C13" s="5"/>
      <c r="D13" s="5"/>
      <c r="E13" s="5"/>
      <c r="F13" s="6">
        <v>4</v>
      </c>
      <c r="G13" s="6">
        <v>7</v>
      </c>
      <c r="H13" s="6">
        <v>12</v>
      </c>
      <c r="I13" s="6">
        <v>17</v>
      </c>
      <c r="J13" s="6">
        <v>12</v>
      </c>
      <c r="K13" s="205"/>
      <c r="L13" s="6" t="s">
        <v>16</v>
      </c>
      <c r="M13" s="6">
        <v>6</v>
      </c>
      <c r="N13" s="6">
        <v>13</v>
      </c>
      <c r="O13" s="6">
        <v>1</v>
      </c>
      <c r="P13" s="6">
        <v>7</v>
      </c>
      <c r="Q13" s="5"/>
      <c r="R13" s="5"/>
      <c r="S13" s="5"/>
      <c r="T13" s="49"/>
      <c r="U13" s="149">
        <f t="shared" si="0"/>
        <v>79</v>
      </c>
    </row>
    <row r="14" spans="1:49" ht="15">
      <c r="A14" s="204"/>
      <c r="B14" s="6" t="s">
        <v>17</v>
      </c>
      <c r="C14" s="5"/>
      <c r="D14" s="5"/>
      <c r="E14" s="5"/>
      <c r="F14" s="6">
        <v>7</v>
      </c>
      <c r="G14" s="6">
        <v>15</v>
      </c>
      <c r="H14" s="6">
        <v>16</v>
      </c>
      <c r="I14" s="6">
        <v>9</v>
      </c>
      <c r="J14" s="6">
        <v>12</v>
      </c>
      <c r="K14" s="205"/>
      <c r="L14" s="6" t="s">
        <v>17</v>
      </c>
      <c r="M14" s="6">
        <v>11</v>
      </c>
      <c r="N14" s="6">
        <v>10</v>
      </c>
      <c r="O14" s="6">
        <v>5</v>
      </c>
      <c r="P14" s="6">
        <v>2</v>
      </c>
      <c r="Q14" s="5"/>
      <c r="R14" s="5"/>
      <c r="S14" s="5"/>
      <c r="T14" s="49"/>
      <c r="U14" s="149">
        <f t="shared" si="0"/>
        <v>87</v>
      </c>
    </row>
    <row r="15" spans="1:49" ht="15">
      <c r="A15" s="204"/>
      <c r="B15" s="47" t="s">
        <v>18</v>
      </c>
      <c r="C15" s="64"/>
      <c r="D15" s="64"/>
      <c r="E15" s="64"/>
      <c r="F15" s="47">
        <v>4</v>
      </c>
      <c r="G15" s="47">
        <v>11</v>
      </c>
      <c r="H15" s="47">
        <v>9</v>
      </c>
      <c r="I15" s="47">
        <v>12</v>
      </c>
      <c r="J15" s="47">
        <v>11</v>
      </c>
      <c r="K15" s="205"/>
      <c r="L15" s="47" t="s">
        <v>18</v>
      </c>
      <c r="M15" s="47">
        <v>5</v>
      </c>
      <c r="N15" s="47">
        <v>6</v>
      </c>
      <c r="O15" s="47">
        <v>7</v>
      </c>
      <c r="P15" s="47">
        <v>8</v>
      </c>
      <c r="Q15" s="64"/>
      <c r="R15" s="64"/>
      <c r="S15" s="64"/>
      <c r="T15" s="65"/>
      <c r="U15" s="149">
        <f t="shared" si="0"/>
        <v>73</v>
      </c>
    </row>
    <row r="16" spans="1:49" ht="15">
      <c r="A16" s="195" t="s">
        <v>7</v>
      </c>
      <c r="B16" s="56" t="s">
        <v>13</v>
      </c>
      <c r="C16" s="56">
        <v>27</v>
      </c>
      <c r="D16" s="56">
        <v>16</v>
      </c>
      <c r="E16" s="56">
        <v>19</v>
      </c>
      <c r="F16" s="56">
        <v>30</v>
      </c>
      <c r="G16" s="56">
        <v>35</v>
      </c>
      <c r="H16" s="56">
        <v>27</v>
      </c>
      <c r="I16" s="56">
        <v>26</v>
      </c>
      <c r="J16" s="56">
        <v>28</v>
      </c>
      <c r="K16" s="196" t="s">
        <v>7</v>
      </c>
      <c r="L16" s="56" t="s">
        <v>13</v>
      </c>
      <c r="M16" s="56">
        <v>25</v>
      </c>
      <c r="N16" s="56">
        <v>24</v>
      </c>
      <c r="O16" s="56">
        <v>30</v>
      </c>
      <c r="P16" s="56">
        <v>45</v>
      </c>
      <c r="Q16" s="56">
        <v>40</v>
      </c>
      <c r="R16" s="56">
        <v>44</v>
      </c>
      <c r="S16" s="56">
        <v>24</v>
      </c>
      <c r="T16" s="67">
        <v>12</v>
      </c>
      <c r="U16" s="149">
        <f t="shared" si="0"/>
        <v>409</v>
      </c>
    </row>
    <row r="17" spans="1:33" ht="15">
      <c r="A17" s="204"/>
      <c r="B17" s="4" t="s">
        <v>14</v>
      </c>
      <c r="C17" s="4">
        <v>7</v>
      </c>
      <c r="D17" s="4">
        <v>9</v>
      </c>
      <c r="E17" s="4">
        <v>9</v>
      </c>
      <c r="F17" s="4">
        <v>12</v>
      </c>
      <c r="G17" s="4">
        <v>12</v>
      </c>
      <c r="H17" s="4">
        <v>12</v>
      </c>
      <c r="I17" s="4">
        <v>12</v>
      </c>
      <c r="J17" s="4">
        <v>12</v>
      </c>
      <c r="K17" s="205"/>
      <c r="L17" s="4" t="s">
        <v>14</v>
      </c>
      <c r="M17" s="4">
        <v>12</v>
      </c>
      <c r="N17" s="4">
        <v>14</v>
      </c>
      <c r="O17" s="4">
        <v>10</v>
      </c>
      <c r="P17" s="4">
        <v>18</v>
      </c>
      <c r="Q17" s="4">
        <v>12</v>
      </c>
      <c r="R17" s="4">
        <v>8</v>
      </c>
      <c r="S17" s="4">
        <v>12</v>
      </c>
      <c r="T17" s="50">
        <v>6</v>
      </c>
      <c r="U17" s="149">
        <f t="shared" si="0"/>
        <v>161</v>
      </c>
    </row>
    <row r="18" spans="1:33" ht="15">
      <c r="A18" s="204"/>
      <c r="B18" s="4" t="s">
        <v>15</v>
      </c>
      <c r="C18" s="4">
        <v>23</v>
      </c>
      <c r="D18" s="4">
        <v>14</v>
      </c>
      <c r="E18" s="4">
        <v>35</v>
      </c>
      <c r="F18" s="4">
        <v>27</v>
      </c>
      <c r="G18" s="4">
        <v>25</v>
      </c>
      <c r="H18" s="4">
        <v>26</v>
      </c>
      <c r="I18" s="4">
        <v>22</v>
      </c>
      <c r="J18" s="4">
        <v>26</v>
      </c>
      <c r="K18" s="205"/>
      <c r="L18" s="4" t="s">
        <v>15</v>
      </c>
      <c r="M18" s="4">
        <v>19</v>
      </c>
      <c r="N18" s="4">
        <v>14</v>
      </c>
      <c r="O18" s="4">
        <v>20</v>
      </c>
      <c r="P18" s="4">
        <v>28</v>
      </c>
      <c r="Q18" s="4">
        <v>41</v>
      </c>
      <c r="R18" s="4">
        <v>41</v>
      </c>
      <c r="S18" s="4">
        <v>31</v>
      </c>
      <c r="T18" s="50">
        <v>19</v>
      </c>
      <c r="U18" s="149">
        <f t="shared" si="0"/>
        <v>374</v>
      </c>
    </row>
    <row r="19" spans="1:33" ht="15">
      <c r="A19" s="204"/>
      <c r="B19" s="4" t="s">
        <v>16</v>
      </c>
      <c r="C19" s="4">
        <v>4</v>
      </c>
      <c r="D19" s="4">
        <v>2</v>
      </c>
      <c r="E19" s="4">
        <v>11</v>
      </c>
      <c r="F19" s="4">
        <v>10</v>
      </c>
      <c r="G19" s="4">
        <v>13</v>
      </c>
      <c r="H19" s="4">
        <v>13</v>
      </c>
      <c r="I19" s="4">
        <v>13</v>
      </c>
      <c r="J19" s="4">
        <v>9</v>
      </c>
      <c r="K19" s="205"/>
      <c r="L19" s="4" t="s">
        <v>16</v>
      </c>
      <c r="M19" s="4">
        <v>10</v>
      </c>
      <c r="N19" s="4">
        <v>12</v>
      </c>
      <c r="O19" s="4">
        <v>5</v>
      </c>
      <c r="P19" s="4">
        <v>7</v>
      </c>
      <c r="Q19" s="4">
        <v>13</v>
      </c>
      <c r="R19" s="4">
        <v>10</v>
      </c>
      <c r="S19" s="4">
        <v>7</v>
      </c>
      <c r="T19" s="50">
        <v>2</v>
      </c>
      <c r="U19" s="149">
        <f t="shared" si="0"/>
        <v>135</v>
      </c>
    </row>
    <row r="20" spans="1:33" ht="15">
      <c r="A20" s="204"/>
      <c r="B20" s="4" t="s">
        <v>17</v>
      </c>
      <c r="C20" s="4">
        <v>5</v>
      </c>
      <c r="D20" s="4">
        <v>7</v>
      </c>
      <c r="E20" s="4">
        <v>6</v>
      </c>
      <c r="F20" s="4">
        <v>10</v>
      </c>
      <c r="G20" s="4">
        <v>8</v>
      </c>
      <c r="H20" s="4">
        <v>8</v>
      </c>
      <c r="I20" s="4">
        <v>7</v>
      </c>
      <c r="J20" s="4">
        <v>2</v>
      </c>
      <c r="K20" s="205"/>
      <c r="L20" s="4" t="s">
        <v>17</v>
      </c>
      <c r="M20" s="4">
        <v>5</v>
      </c>
      <c r="N20" s="4">
        <v>7</v>
      </c>
      <c r="O20" s="4">
        <v>8</v>
      </c>
      <c r="P20" s="4">
        <v>8</v>
      </c>
      <c r="Q20" s="4">
        <v>11</v>
      </c>
      <c r="R20" s="4">
        <v>14</v>
      </c>
      <c r="S20" s="4">
        <v>11</v>
      </c>
      <c r="T20" s="50">
        <v>8</v>
      </c>
      <c r="U20" s="149">
        <f t="shared" si="0"/>
        <v>113</v>
      </c>
    </row>
    <row r="21" spans="1:33" ht="15">
      <c r="A21" s="204"/>
      <c r="B21" s="46" t="s">
        <v>18</v>
      </c>
      <c r="C21" s="46">
        <v>34</v>
      </c>
      <c r="D21" s="46">
        <v>7</v>
      </c>
      <c r="E21" s="46">
        <v>10</v>
      </c>
      <c r="F21" s="46">
        <v>10</v>
      </c>
      <c r="G21" s="46">
        <v>16</v>
      </c>
      <c r="H21" s="46">
        <v>19</v>
      </c>
      <c r="I21" s="46">
        <v>8</v>
      </c>
      <c r="J21" s="46">
        <v>11</v>
      </c>
      <c r="K21" s="205"/>
      <c r="L21" s="46" t="s">
        <v>18</v>
      </c>
      <c r="M21" s="46">
        <v>1</v>
      </c>
      <c r="N21" s="46">
        <v>3</v>
      </c>
      <c r="O21" s="46">
        <v>5</v>
      </c>
      <c r="P21" s="46">
        <v>7</v>
      </c>
      <c r="Q21" s="46">
        <v>12</v>
      </c>
      <c r="R21" s="46">
        <v>13</v>
      </c>
      <c r="S21" s="46">
        <v>7</v>
      </c>
      <c r="T21" s="69">
        <v>2</v>
      </c>
      <c r="U21" s="149">
        <f t="shared" si="0"/>
        <v>124</v>
      </c>
    </row>
    <row r="22" spans="1:33" ht="15">
      <c r="A22" s="193" t="s">
        <v>8</v>
      </c>
      <c r="B22" s="63" t="s">
        <v>13</v>
      </c>
      <c r="C22" s="63">
        <v>22</v>
      </c>
      <c r="D22" s="63">
        <v>24</v>
      </c>
      <c r="E22" s="63">
        <v>28</v>
      </c>
      <c r="F22" s="63">
        <v>34</v>
      </c>
      <c r="G22" s="63">
        <v>29</v>
      </c>
      <c r="H22" s="63">
        <v>31</v>
      </c>
      <c r="I22" s="63">
        <v>20</v>
      </c>
      <c r="J22" s="63">
        <v>17</v>
      </c>
      <c r="K22" s="194" t="s">
        <v>8</v>
      </c>
      <c r="L22" s="63" t="s">
        <v>13</v>
      </c>
      <c r="M22" s="63">
        <v>12</v>
      </c>
      <c r="N22" s="63">
        <v>13</v>
      </c>
      <c r="O22" s="63">
        <v>24</v>
      </c>
      <c r="P22" s="63">
        <v>24</v>
      </c>
      <c r="Q22" s="63">
        <v>40</v>
      </c>
      <c r="R22" s="63">
        <v>33</v>
      </c>
      <c r="S22" s="63">
        <v>22</v>
      </c>
      <c r="T22" s="68">
        <v>18</v>
      </c>
      <c r="U22" s="149">
        <f t="shared" si="0"/>
        <v>345</v>
      </c>
    </row>
    <row r="23" spans="1:33" ht="15">
      <c r="A23" s="204"/>
      <c r="B23" s="6" t="s">
        <v>14</v>
      </c>
      <c r="C23" s="6">
        <v>4</v>
      </c>
      <c r="D23" s="6">
        <v>9</v>
      </c>
      <c r="E23" s="6">
        <v>9</v>
      </c>
      <c r="F23" s="6">
        <v>13</v>
      </c>
      <c r="G23" s="6">
        <v>14</v>
      </c>
      <c r="H23" s="6">
        <v>10</v>
      </c>
      <c r="I23" s="6">
        <v>5</v>
      </c>
      <c r="J23" s="6">
        <v>10</v>
      </c>
      <c r="K23" s="205"/>
      <c r="L23" s="6" t="s">
        <v>14</v>
      </c>
      <c r="M23" s="6">
        <v>9</v>
      </c>
      <c r="N23" s="6">
        <v>14</v>
      </c>
      <c r="O23" s="6">
        <v>8</v>
      </c>
      <c r="P23" s="6">
        <v>10</v>
      </c>
      <c r="Q23" s="6">
        <v>9</v>
      </c>
      <c r="R23" s="6">
        <v>8</v>
      </c>
      <c r="S23" s="6">
        <v>4</v>
      </c>
      <c r="T23" s="51">
        <v>6</v>
      </c>
      <c r="U23" s="149">
        <f t="shared" si="0"/>
        <v>129</v>
      </c>
    </row>
    <row r="24" spans="1:33" ht="15">
      <c r="A24" s="204"/>
      <c r="B24" s="6" t="s">
        <v>15</v>
      </c>
      <c r="C24" s="6">
        <v>20</v>
      </c>
      <c r="D24" s="6">
        <v>30</v>
      </c>
      <c r="E24" s="6">
        <v>22</v>
      </c>
      <c r="F24" s="6">
        <v>14</v>
      </c>
      <c r="G24" s="6">
        <v>24</v>
      </c>
      <c r="H24" s="6">
        <v>24</v>
      </c>
      <c r="I24" s="6">
        <v>19</v>
      </c>
      <c r="J24" s="6">
        <v>16</v>
      </c>
      <c r="K24" s="205"/>
      <c r="L24" s="6" t="s">
        <v>15</v>
      </c>
      <c r="M24" s="6">
        <v>23</v>
      </c>
      <c r="N24" s="6">
        <v>20</v>
      </c>
      <c r="O24" s="6">
        <v>13</v>
      </c>
      <c r="P24" s="6">
        <v>33</v>
      </c>
      <c r="Q24" s="6">
        <v>25</v>
      </c>
      <c r="R24" s="6">
        <v>35</v>
      </c>
      <c r="S24" s="6">
        <v>31</v>
      </c>
      <c r="T24" s="51">
        <v>24</v>
      </c>
      <c r="U24" s="149">
        <f t="shared" si="0"/>
        <v>323</v>
      </c>
    </row>
    <row r="25" spans="1:33" ht="15">
      <c r="A25" s="204"/>
      <c r="B25" s="6" t="s">
        <v>16</v>
      </c>
      <c r="C25" s="6">
        <v>5</v>
      </c>
      <c r="D25" s="6">
        <v>7</v>
      </c>
      <c r="E25" s="6">
        <v>6</v>
      </c>
      <c r="F25" s="6">
        <v>9</v>
      </c>
      <c r="G25" s="6">
        <v>24</v>
      </c>
      <c r="H25" s="6">
        <v>17</v>
      </c>
      <c r="I25" s="6">
        <v>6</v>
      </c>
      <c r="J25" s="6">
        <v>6</v>
      </c>
      <c r="K25" s="205"/>
      <c r="L25" s="6" t="s">
        <v>16</v>
      </c>
      <c r="M25" s="6">
        <v>6</v>
      </c>
      <c r="N25" s="6">
        <v>4</v>
      </c>
      <c r="O25" s="6">
        <v>6</v>
      </c>
      <c r="P25" s="6">
        <v>5</v>
      </c>
      <c r="Q25" s="6">
        <v>10</v>
      </c>
      <c r="R25" s="6">
        <v>8</v>
      </c>
      <c r="S25" s="6">
        <v>2</v>
      </c>
      <c r="T25" s="51">
        <v>4</v>
      </c>
      <c r="U25" s="149">
        <f t="shared" si="0"/>
        <v>113</v>
      </c>
    </row>
    <row r="26" spans="1:33" ht="15">
      <c r="A26" s="204"/>
      <c r="B26" s="6" t="s">
        <v>17</v>
      </c>
      <c r="C26" s="6">
        <v>10</v>
      </c>
      <c r="D26" s="6">
        <v>8</v>
      </c>
      <c r="E26" s="6">
        <v>5</v>
      </c>
      <c r="F26" s="6">
        <v>9</v>
      </c>
      <c r="G26" s="6">
        <v>10</v>
      </c>
      <c r="H26" s="6">
        <v>6</v>
      </c>
      <c r="I26" s="6">
        <v>4</v>
      </c>
      <c r="J26" s="6">
        <v>9</v>
      </c>
      <c r="K26" s="205"/>
      <c r="L26" s="6" t="s">
        <v>17</v>
      </c>
      <c r="M26" s="6">
        <v>1</v>
      </c>
      <c r="N26" s="6">
        <v>4</v>
      </c>
      <c r="O26" s="6">
        <v>2</v>
      </c>
      <c r="P26" s="6">
        <v>4</v>
      </c>
      <c r="Q26" s="6">
        <v>11</v>
      </c>
      <c r="R26" s="6">
        <v>7</v>
      </c>
      <c r="S26" s="6">
        <v>4</v>
      </c>
      <c r="T26" s="51">
        <v>3</v>
      </c>
      <c r="U26" s="149">
        <f t="shared" si="0"/>
        <v>79</v>
      </c>
      <c r="AG26" s="147"/>
    </row>
    <row r="27" spans="1:33" ht="15">
      <c r="A27" s="204"/>
      <c r="B27" s="47" t="s">
        <v>18</v>
      </c>
      <c r="C27" s="47">
        <v>7</v>
      </c>
      <c r="D27" s="47">
        <v>6</v>
      </c>
      <c r="E27" s="47">
        <v>6</v>
      </c>
      <c r="F27" s="47">
        <v>4</v>
      </c>
      <c r="G27" s="47">
        <v>8</v>
      </c>
      <c r="H27" s="47">
        <v>10</v>
      </c>
      <c r="I27" s="47">
        <v>9</v>
      </c>
      <c r="J27" s="47">
        <v>9</v>
      </c>
      <c r="K27" s="205"/>
      <c r="L27" s="47" t="s">
        <v>18</v>
      </c>
      <c r="M27" s="47">
        <v>3</v>
      </c>
      <c r="N27" s="47">
        <v>4</v>
      </c>
      <c r="O27" s="47">
        <v>4</v>
      </c>
      <c r="P27" s="47">
        <v>7</v>
      </c>
      <c r="Q27" s="47">
        <v>10</v>
      </c>
      <c r="R27" s="47">
        <v>11</v>
      </c>
      <c r="S27" s="47">
        <v>7</v>
      </c>
      <c r="T27" s="70">
        <v>8</v>
      </c>
      <c r="U27" s="149">
        <f t="shared" si="0"/>
        <v>100</v>
      </c>
      <c r="AG27" s="148"/>
    </row>
    <row r="28" spans="1:33" ht="15">
      <c r="A28" s="195" t="s">
        <v>9</v>
      </c>
      <c r="B28" s="56" t="s">
        <v>13</v>
      </c>
      <c r="C28" s="56">
        <v>21</v>
      </c>
      <c r="D28" s="56">
        <v>19</v>
      </c>
      <c r="E28" s="56">
        <v>17</v>
      </c>
      <c r="F28" s="56">
        <v>21</v>
      </c>
      <c r="G28" s="56">
        <v>37</v>
      </c>
      <c r="H28" s="56">
        <v>36</v>
      </c>
      <c r="I28" s="56">
        <v>33</v>
      </c>
      <c r="J28" s="56">
        <v>21</v>
      </c>
      <c r="K28" s="196" t="s">
        <v>9</v>
      </c>
      <c r="L28" s="56" t="s">
        <v>13</v>
      </c>
      <c r="M28" s="56">
        <v>13</v>
      </c>
      <c r="N28" s="56">
        <v>17</v>
      </c>
      <c r="O28" s="56">
        <v>11</v>
      </c>
      <c r="P28" s="56">
        <v>32</v>
      </c>
      <c r="Q28" s="56">
        <v>24</v>
      </c>
      <c r="R28" s="56">
        <v>29</v>
      </c>
      <c r="S28" s="56">
        <v>18</v>
      </c>
      <c r="T28" s="67">
        <v>11</v>
      </c>
      <c r="U28" s="149">
        <f t="shared" si="0"/>
        <v>320</v>
      </c>
      <c r="AG28" s="148"/>
    </row>
    <row r="29" spans="1:33" ht="15">
      <c r="A29" s="204"/>
      <c r="B29" s="4" t="s">
        <v>14</v>
      </c>
      <c r="C29" s="4">
        <v>9</v>
      </c>
      <c r="D29" s="4">
        <v>4</v>
      </c>
      <c r="E29" s="4">
        <v>13</v>
      </c>
      <c r="F29" s="4">
        <v>11</v>
      </c>
      <c r="G29" s="4">
        <v>14</v>
      </c>
      <c r="H29" s="4">
        <v>14</v>
      </c>
      <c r="I29" s="4">
        <v>17</v>
      </c>
      <c r="J29" s="4">
        <v>13</v>
      </c>
      <c r="K29" s="205"/>
      <c r="L29" s="4" t="s">
        <v>14</v>
      </c>
      <c r="M29" s="4">
        <v>10</v>
      </c>
      <c r="N29" s="4">
        <v>11</v>
      </c>
      <c r="O29" s="4">
        <v>12</v>
      </c>
      <c r="P29" s="4">
        <v>12</v>
      </c>
      <c r="Q29" s="4">
        <v>9</v>
      </c>
      <c r="R29" s="4">
        <v>10</v>
      </c>
      <c r="S29" s="4">
        <v>3</v>
      </c>
      <c r="T29" s="50">
        <v>0</v>
      </c>
      <c r="U29" s="149">
        <f t="shared" si="0"/>
        <v>149</v>
      </c>
      <c r="AG29" s="148"/>
    </row>
    <row r="30" spans="1:33" ht="15">
      <c r="A30" s="204"/>
      <c r="B30" s="4" t="s">
        <v>15</v>
      </c>
      <c r="C30" s="4">
        <v>29</v>
      </c>
      <c r="D30" s="4">
        <v>23</v>
      </c>
      <c r="E30" s="4">
        <v>21</v>
      </c>
      <c r="F30" s="4">
        <v>25</v>
      </c>
      <c r="G30" s="4">
        <v>23</v>
      </c>
      <c r="H30" s="4">
        <v>27</v>
      </c>
      <c r="I30" s="4">
        <v>13</v>
      </c>
      <c r="J30" s="4">
        <v>20</v>
      </c>
      <c r="K30" s="205"/>
      <c r="L30" s="4" t="s">
        <v>15</v>
      </c>
      <c r="M30" s="4">
        <v>9</v>
      </c>
      <c r="N30" s="4">
        <v>26</v>
      </c>
      <c r="O30" s="4">
        <v>20</v>
      </c>
      <c r="P30" s="4">
        <v>26</v>
      </c>
      <c r="Q30" s="4">
        <v>34</v>
      </c>
      <c r="R30" s="4">
        <v>31</v>
      </c>
      <c r="S30" s="4">
        <v>26</v>
      </c>
      <c r="T30" s="50">
        <v>10</v>
      </c>
      <c r="U30" s="149">
        <f t="shared" si="0"/>
        <v>311</v>
      </c>
      <c r="AG30" s="148"/>
    </row>
    <row r="31" spans="1:33" ht="15">
      <c r="A31" s="204"/>
      <c r="B31" s="4" t="s">
        <v>16</v>
      </c>
      <c r="C31" s="4">
        <v>5</v>
      </c>
      <c r="D31" s="4">
        <v>6</v>
      </c>
      <c r="E31" s="4">
        <v>9</v>
      </c>
      <c r="F31" s="4">
        <v>14</v>
      </c>
      <c r="G31" s="4">
        <v>14</v>
      </c>
      <c r="H31" s="4">
        <v>20</v>
      </c>
      <c r="I31" s="4">
        <v>25</v>
      </c>
      <c r="J31" s="4">
        <v>13</v>
      </c>
      <c r="K31" s="205"/>
      <c r="L31" s="4" t="s">
        <v>16</v>
      </c>
      <c r="M31" s="4">
        <v>11</v>
      </c>
      <c r="N31" s="4">
        <v>6</v>
      </c>
      <c r="O31" s="4">
        <v>4</v>
      </c>
      <c r="P31" s="4">
        <v>4</v>
      </c>
      <c r="Q31" s="4">
        <v>2</v>
      </c>
      <c r="R31" s="4">
        <v>6</v>
      </c>
      <c r="S31" s="4">
        <v>2</v>
      </c>
      <c r="T31" s="50">
        <v>4</v>
      </c>
      <c r="U31" s="149">
        <f t="shared" si="0"/>
        <v>134</v>
      </c>
      <c r="AG31" s="148"/>
    </row>
    <row r="32" spans="1:33" ht="15">
      <c r="A32" s="204"/>
      <c r="B32" s="4" t="s">
        <v>17</v>
      </c>
      <c r="C32" s="4">
        <v>8</v>
      </c>
      <c r="D32" s="4">
        <v>9</v>
      </c>
      <c r="E32" s="4">
        <v>5</v>
      </c>
      <c r="F32" s="4">
        <v>5</v>
      </c>
      <c r="G32" s="4">
        <v>9</v>
      </c>
      <c r="H32" s="4">
        <v>11</v>
      </c>
      <c r="I32" s="4">
        <v>4</v>
      </c>
      <c r="J32" s="4">
        <v>5</v>
      </c>
      <c r="K32" s="205"/>
      <c r="L32" s="4" t="s">
        <v>17</v>
      </c>
      <c r="M32" s="4">
        <v>5</v>
      </c>
      <c r="N32" s="4">
        <v>6</v>
      </c>
      <c r="O32" s="4">
        <v>7</v>
      </c>
      <c r="P32" s="4">
        <v>11</v>
      </c>
      <c r="Q32" s="4">
        <v>11</v>
      </c>
      <c r="R32" s="4">
        <v>5</v>
      </c>
      <c r="S32" s="4">
        <v>6</v>
      </c>
      <c r="T32" s="50">
        <v>3</v>
      </c>
      <c r="U32" s="149">
        <f t="shared" si="0"/>
        <v>93</v>
      </c>
      <c r="AG32" s="148"/>
    </row>
    <row r="33" spans="1:33" ht="15">
      <c r="A33" s="204"/>
      <c r="B33" s="46" t="s">
        <v>18</v>
      </c>
      <c r="C33" s="46">
        <v>21</v>
      </c>
      <c r="D33" s="46">
        <v>5</v>
      </c>
      <c r="E33" s="46">
        <v>6</v>
      </c>
      <c r="F33" s="46">
        <v>6</v>
      </c>
      <c r="G33" s="46">
        <v>7</v>
      </c>
      <c r="H33" s="46">
        <v>9</v>
      </c>
      <c r="I33" s="46">
        <v>16</v>
      </c>
      <c r="J33" s="46">
        <v>3</v>
      </c>
      <c r="K33" s="205"/>
      <c r="L33" s="46" t="s">
        <v>18</v>
      </c>
      <c r="M33" s="46">
        <v>7</v>
      </c>
      <c r="N33" s="46">
        <v>4</v>
      </c>
      <c r="O33" s="46">
        <v>6</v>
      </c>
      <c r="P33" s="46">
        <v>7</v>
      </c>
      <c r="Q33" s="46">
        <v>10</v>
      </c>
      <c r="R33" s="46">
        <v>9</v>
      </c>
      <c r="S33" s="46">
        <v>8</v>
      </c>
      <c r="T33" s="69">
        <v>2</v>
      </c>
      <c r="U33" s="149">
        <f t="shared" si="0"/>
        <v>100</v>
      </c>
      <c r="AG33" s="147"/>
    </row>
    <row r="34" spans="1:33" ht="15">
      <c r="A34" s="193" t="s">
        <v>10</v>
      </c>
      <c r="B34" s="63" t="s">
        <v>13</v>
      </c>
      <c r="C34" s="121">
        <v>21</v>
      </c>
      <c r="D34" s="121">
        <v>24</v>
      </c>
      <c r="E34" s="121">
        <v>17</v>
      </c>
      <c r="F34" s="121">
        <v>25</v>
      </c>
      <c r="G34" s="121">
        <v>38</v>
      </c>
      <c r="H34" s="121">
        <v>25</v>
      </c>
      <c r="I34" s="121">
        <v>28</v>
      </c>
      <c r="J34" s="121">
        <v>13</v>
      </c>
      <c r="K34" s="194" t="s">
        <v>10</v>
      </c>
      <c r="L34" s="63" t="s">
        <v>13</v>
      </c>
      <c r="M34" s="121">
        <v>16</v>
      </c>
      <c r="N34" s="121">
        <v>10</v>
      </c>
      <c r="O34" s="121">
        <v>20</v>
      </c>
      <c r="P34" s="121">
        <v>30</v>
      </c>
      <c r="Q34" s="121">
        <v>25</v>
      </c>
      <c r="R34" s="121">
        <v>18</v>
      </c>
      <c r="S34" s="121">
        <v>23</v>
      </c>
      <c r="T34" s="124">
        <v>18</v>
      </c>
      <c r="U34" s="149">
        <f t="shared" si="0"/>
        <v>306</v>
      </c>
      <c r="AG34" s="148"/>
    </row>
    <row r="35" spans="1:33" ht="15">
      <c r="A35" s="204"/>
      <c r="B35" s="6" t="s">
        <v>14</v>
      </c>
      <c r="C35" s="122">
        <v>7</v>
      </c>
      <c r="D35" s="122">
        <v>6</v>
      </c>
      <c r="E35" s="122">
        <v>7</v>
      </c>
      <c r="F35" s="122">
        <v>15</v>
      </c>
      <c r="G35" s="122">
        <v>16</v>
      </c>
      <c r="H35" s="122">
        <v>20</v>
      </c>
      <c r="I35" s="122">
        <v>20</v>
      </c>
      <c r="J35" s="122">
        <v>7</v>
      </c>
      <c r="K35" s="205"/>
      <c r="L35" s="6" t="s">
        <v>14</v>
      </c>
      <c r="M35" s="122">
        <v>10</v>
      </c>
      <c r="N35" s="122">
        <v>12</v>
      </c>
      <c r="O35" s="122">
        <v>9</v>
      </c>
      <c r="P35" s="122">
        <v>9</v>
      </c>
      <c r="Q35" s="122">
        <v>2</v>
      </c>
      <c r="R35" s="122">
        <v>2</v>
      </c>
      <c r="S35" s="122">
        <v>3</v>
      </c>
      <c r="T35" s="125">
        <v>14</v>
      </c>
      <c r="U35" s="149">
        <f t="shared" si="0"/>
        <v>146</v>
      </c>
      <c r="AG35" s="148"/>
    </row>
    <row r="36" spans="1:33" ht="15">
      <c r="A36" s="204"/>
      <c r="B36" s="6" t="s">
        <v>15</v>
      </c>
      <c r="C36" s="122">
        <v>20</v>
      </c>
      <c r="D36" s="122">
        <v>16</v>
      </c>
      <c r="E36" s="122">
        <v>14</v>
      </c>
      <c r="F36" s="122">
        <v>14</v>
      </c>
      <c r="G36" s="122">
        <v>15</v>
      </c>
      <c r="H36" s="122">
        <v>19</v>
      </c>
      <c r="I36" s="122">
        <v>20</v>
      </c>
      <c r="J36" s="122">
        <v>15</v>
      </c>
      <c r="K36" s="205"/>
      <c r="L36" s="6" t="s">
        <v>15</v>
      </c>
      <c r="M36" s="122">
        <v>9</v>
      </c>
      <c r="N36" s="122">
        <v>13</v>
      </c>
      <c r="O36" s="122">
        <v>23</v>
      </c>
      <c r="P36" s="122">
        <v>24</v>
      </c>
      <c r="Q36" s="122">
        <v>41</v>
      </c>
      <c r="R36" s="122">
        <v>28</v>
      </c>
      <c r="S36" s="122">
        <v>27</v>
      </c>
      <c r="T36" s="125">
        <v>15</v>
      </c>
      <c r="U36" s="149">
        <f t="shared" si="0"/>
        <v>277</v>
      </c>
      <c r="AG36" s="148"/>
    </row>
    <row r="37" spans="1:33" ht="15">
      <c r="A37" s="204"/>
      <c r="B37" s="6" t="s">
        <v>16</v>
      </c>
      <c r="C37" s="122">
        <v>4</v>
      </c>
      <c r="D37" s="122">
        <v>3</v>
      </c>
      <c r="E37" s="122">
        <v>8</v>
      </c>
      <c r="F37" s="122">
        <v>14</v>
      </c>
      <c r="G37" s="122">
        <v>19</v>
      </c>
      <c r="H37" s="122">
        <v>15</v>
      </c>
      <c r="I37" s="122">
        <v>12</v>
      </c>
      <c r="J37" s="122">
        <v>4</v>
      </c>
      <c r="K37" s="205"/>
      <c r="L37" s="6" t="s">
        <v>16</v>
      </c>
      <c r="M37" s="122">
        <v>7</v>
      </c>
      <c r="N37" s="122">
        <v>4</v>
      </c>
      <c r="O37" s="122">
        <v>9</v>
      </c>
      <c r="P37" s="122">
        <v>5</v>
      </c>
      <c r="Q37" s="122">
        <v>8</v>
      </c>
      <c r="R37" s="122">
        <v>6</v>
      </c>
      <c r="S37" s="122">
        <v>4</v>
      </c>
      <c r="T37" s="125">
        <v>10</v>
      </c>
      <c r="U37" s="149">
        <f t="shared" si="0"/>
        <v>125</v>
      </c>
      <c r="AG37" s="148"/>
    </row>
    <row r="38" spans="1:33" ht="15">
      <c r="A38" s="204"/>
      <c r="B38" s="6" t="s">
        <v>17</v>
      </c>
      <c r="C38" s="122">
        <v>8</v>
      </c>
      <c r="D38" s="122">
        <v>5</v>
      </c>
      <c r="E38" s="122">
        <v>9</v>
      </c>
      <c r="F38" s="122">
        <v>3</v>
      </c>
      <c r="G38" s="122">
        <v>14</v>
      </c>
      <c r="H38" s="122">
        <v>12</v>
      </c>
      <c r="I38" s="122">
        <v>12</v>
      </c>
      <c r="J38" s="122">
        <v>3</v>
      </c>
      <c r="K38" s="205"/>
      <c r="L38" s="6" t="s">
        <v>17</v>
      </c>
      <c r="M38" s="122">
        <v>0</v>
      </c>
      <c r="N38" s="122">
        <v>4</v>
      </c>
      <c r="O38" s="122">
        <v>5</v>
      </c>
      <c r="P38" s="122">
        <v>8</v>
      </c>
      <c r="Q38" s="122">
        <v>7</v>
      </c>
      <c r="R38" s="122">
        <v>6</v>
      </c>
      <c r="S38" s="122">
        <v>9</v>
      </c>
      <c r="T38" s="125">
        <v>5</v>
      </c>
      <c r="U38" s="149">
        <f t="shared" si="0"/>
        <v>97</v>
      </c>
      <c r="AG38" s="148"/>
    </row>
    <row r="39" spans="1:33" ht="15">
      <c r="A39" s="204"/>
      <c r="B39" s="47" t="s">
        <v>18</v>
      </c>
      <c r="C39" s="123">
        <v>5</v>
      </c>
      <c r="D39" s="123">
        <v>6</v>
      </c>
      <c r="E39" s="123">
        <v>10</v>
      </c>
      <c r="F39" s="123">
        <v>4</v>
      </c>
      <c r="G39" s="123">
        <v>7</v>
      </c>
      <c r="H39" s="123">
        <v>7</v>
      </c>
      <c r="I39" s="123">
        <v>6</v>
      </c>
      <c r="J39" s="123">
        <v>5</v>
      </c>
      <c r="K39" s="205"/>
      <c r="L39" s="47" t="s">
        <v>18</v>
      </c>
      <c r="M39" s="123">
        <v>8</v>
      </c>
      <c r="N39" s="123">
        <v>6</v>
      </c>
      <c r="O39" s="123">
        <v>1</v>
      </c>
      <c r="P39" s="123">
        <v>5</v>
      </c>
      <c r="Q39" s="123">
        <v>7</v>
      </c>
      <c r="R39" s="123">
        <v>14</v>
      </c>
      <c r="S39" s="123">
        <v>3</v>
      </c>
      <c r="T39" s="126">
        <v>10</v>
      </c>
      <c r="U39" s="149">
        <f t="shared" si="0"/>
        <v>93</v>
      </c>
      <c r="AG39" s="148"/>
    </row>
    <row r="40" spans="1:33" ht="15">
      <c r="A40" s="195" t="s">
        <v>11</v>
      </c>
      <c r="B40" s="56" t="s">
        <v>13</v>
      </c>
      <c r="C40" s="127">
        <v>11</v>
      </c>
      <c r="D40" s="127">
        <v>15</v>
      </c>
      <c r="E40" s="127">
        <v>16</v>
      </c>
      <c r="F40" s="127">
        <v>22</v>
      </c>
      <c r="G40" s="127">
        <v>43</v>
      </c>
      <c r="H40" s="127">
        <v>30</v>
      </c>
      <c r="I40" s="127">
        <v>34</v>
      </c>
      <c r="J40" s="127">
        <v>19</v>
      </c>
      <c r="K40" s="196" t="s">
        <v>11</v>
      </c>
      <c r="L40" s="56" t="s">
        <v>13</v>
      </c>
      <c r="M40" s="127">
        <v>11</v>
      </c>
      <c r="N40" s="127">
        <v>12</v>
      </c>
      <c r="O40" s="127">
        <v>13</v>
      </c>
      <c r="P40" s="127">
        <v>11</v>
      </c>
      <c r="Q40" s="127">
        <v>25</v>
      </c>
      <c r="R40" s="127">
        <v>13</v>
      </c>
      <c r="S40" s="127">
        <v>7</v>
      </c>
      <c r="T40" s="130">
        <v>9</v>
      </c>
      <c r="U40" s="149">
        <f t="shared" si="0"/>
        <v>265</v>
      </c>
      <c r="AG40" s="147"/>
    </row>
    <row r="41" spans="1:33" ht="15">
      <c r="A41" s="204"/>
      <c r="B41" s="4" t="s">
        <v>14</v>
      </c>
      <c r="C41" s="128">
        <v>6</v>
      </c>
      <c r="D41" s="128">
        <v>6</v>
      </c>
      <c r="E41" s="128">
        <v>11</v>
      </c>
      <c r="F41" s="128">
        <v>7</v>
      </c>
      <c r="G41" s="128">
        <v>16</v>
      </c>
      <c r="H41" s="128">
        <v>16</v>
      </c>
      <c r="I41" s="128">
        <v>9</v>
      </c>
      <c r="J41" s="128">
        <v>10</v>
      </c>
      <c r="K41" s="205"/>
      <c r="L41" s="4" t="s">
        <v>14</v>
      </c>
      <c r="M41" s="128">
        <v>14</v>
      </c>
      <c r="N41" s="128">
        <v>19</v>
      </c>
      <c r="O41" s="128">
        <v>6</v>
      </c>
      <c r="P41" s="128">
        <v>10</v>
      </c>
      <c r="Q41" s="128">
        <v>6</v>
      </c>
      <c r="R41" s="128">
        <v>6</v>
      </c>
      <c r="S41" s="128">
        <v>5</v>
      </c>
      <c r="T41" s="131">
        <v>2</v>
      </c>
      <c r="U41" s="149">
        <f t="shared" si="0"/>
        <v>137</v>
      </c>
      <c r="AG41" s="148"/>
    </row>
    <row r="42" spans="1:33" ht="15">
      <c r="A42" s="204"/>
      <c r="B42" s="4" t="s">
        <v>15</v>
      </c>
      <c r="C42" s="128">
        <v>13</v>
      </c>
      <c r="D42" s="128">
        <v>16</v>
      </c>
      <c r="E42" s="128">
        <v>14</v>
      </c>
      <c r="F42" s="128">
        <v>11</v>
      </c>
      <c r="G42" s="128">
        <v>18</v>
      </c>
      <c r="H42" s="128">
        <v>15</v>
      </c>
      <c r="I42" s="128">
        <v>15</v>
      </c>
      <c r="J42" s="128">
        <v>12</v>
      </c>
      <c r="K42" s="205"/>
      <c r="L42" s="4" t="s">
        <v>15</v>
      </c>
      <c r="M42" s="128">
        <v>16</v>
      </c>
      <c r="N42" s="128">
        <v>14</v>
      </c>
      <c r="O42" s="128">
        <v>22</v>
      </c>
      <c r="P42" s="128">
        <v>18</v>
      </c>
      <c r="Q42" s="128">
        <v>16</v>
      </c>
      <c r="R42" s="128">
        <v>14</v>
      </c>
      <c r="S42" s="128">
        <v>19</v>
      </c>
      <c r="T42" s="131">
        <v>13</v>
      </c>
      <c r="U42" s="149">
        <f t="shared" si="0"/>
        <v>217</v>
      </c>
      <c r="AG42" s="148"/>
    </row>
    <row r="43" spans="1:33" ht="15">
      <c r="A43" s="204"/>
      <c r="B43" s="4" t="s">
        <v>16</v>
      </c>
      <c r="C43" s="128">
        <v>5</v>
      </c>
      <c r="D43" s="128">
        <v>2</v>
      </c>
      <c r="E43" s="128">
        <v>5</v>
      </c>
      <c r="F43" s="128">
        <v>7</v>
      </c>
      <c r="G43" s="128">
        <v>11</v>
      </c>
      <c r="H43" s="128">
        <v>10</v>
      </c>
      <c r="I43" s="128">
        <v>13</v>
      </c>
      <c r="J43" s="128">
        <v>6</v>
      </c>
      <c r="K43" s="205"/>
      <c r="L43" s="4" t="s">
        <v>16</v>
      </c>
      <c r="M43" s="128">
        <v>4</v>
      </c>
      <c r="N43" s="128">
        <v>5</v>
      </c>
      <c r="O43" s="128">
        <v>3</v>
      </c>
      <c r="P43" s="128">
        <v>3</v>
      </c>
      <c r="Q43" s="128">
        <v>7</v>
      </c>
      <c r="R43" s="128">
        <v>3</v>
      </c>
      <c r="S43" s="128">
        <v>1</v>
      </c>
      <c r="T43" s="131">
        <v>5</v>
      </c>
      <c r="U43" s="149">
        <f t="shared" si="0"/>
        <v>83</v>
      </c>
      <c r="AG43" s="148"/>
    </row>
    <row r="44" spans="1:33" ht="15">
      <c r="A44" s="204"/>
      <c r="B44" s="4" t="s">
        <v>17</v>
      </c>
      <c r="C44" s="128">
        <v>2</v>
      </c>
      <c r="D44" s="128">
        <v>7</v>
      </c>
      <c r="E44" s="128">
        <v>5</v>
      </c>
      <c r="F44" s="128">
        <v>4</v>
      </c>
      <c r="G44" s="128">
        <v>10</v>
      </c>
      <c r="H44" s="128">
        <v>14</v>
      </c>
      <c r="I44" s="128">
        <v>4</v>
      </c>
      <c r="J44" s="128">
        <v>3</v>
      </c>
      <c r="K44" s="205"/>
      <c r="L44" s="4" t="s">
        <v>17</v>
      </c>
      <c r="M44" s="128">
        <v>5</v>
      </c>
      <c r="N44" s="128">
        <v>11</v>
      </c>
      <c r="O44" s="128">
        <v>6</v>
      </c>
      <c r="P44" s="128">
        <v>6</v>
      </c>
      <c r="Q44" s="128">
        <v>3</v>
      </c>
      <c r="R44" s="128">
        <v>7</v>
      </c>
      <c r="S44" s="128">
        <v>2</v>
      </c>
      <c r="T44" s="131">
        <v>6</v>
      </c>
      <c r="U44" s="149">
        <f t="shared" si="0"/>
        <v>86</v>
      </c>
      <c r="AG44" s="148"/>
    </row>
    <row r="45" spans="1:33" ht="15">
      <c r="A45" s="206"/>
      <c r="B45" s="61" t="s">
        <v>18</v>
      </c>
      <c r="C45" s="129">
        <v>3</v>
      </c>
      <c r="D45" s="129">
        <v>13</v>
      </c>
      <c r="E45" s="129">
        <v>2</v>
      </c>
      <c r="F45" s="129">
        <v>7</v>
      </c>
      <c r="G45" s="129">
        <v>11</v>
      </c>
      <c r="H45" s="129">
        <v>9</v>
      </c>
      <c r="I45" s="129">
        <v>8</v>
      </c>
      <c r="J45" s="129">
        <v>4</v>
      </c>
      <c r="K45" s="207"/>
      <c r="L45" s="61" t="s">
        <v>18</v>
      </c>
      <c r="M45" s="129">
        <v>3</v>
      </c>
      <c r="N45" s="129">
        <v>1</v>
      </c>
      <c r="O45" s="129">
        <v>2</v>
      </c>
      <c r="P45" s="129">
        <v>5</v>
      </c>
      <c r="Q45" s="129">
        <v>5</v>
      </c>
      <c r="R45" s="129">
        <v>2</v>
      </c>
      <c r="S45" s="129">
        <v>4</v>
      </c>
      <c r="T45" s="132">
        <v>4</v>
      </c>
      <c r="U45" s="149">
        <f t="shared" si="0"/>
        <v>67</v>
      </c>
      <c r="AG45" s="148"/>
    </row>
    <row r="46" spans="1:33">
      <c r="U46" s="149">
        <f t="shared" si="0"/>
        <v>0</v>
      </c>
      <c r="AG46" s="148"/>
    </row>
    <row r="47" spans="1:33" ht="15.75">
      <c r="A47" s="1"/>
      <c r="B47" s="1"/>
      <c r="C47" s="183" t="s">
        <v>0</v>
      </c>
      <c r="D47" s="208"/>
      <c r="E47" s="208"/>
      <c r="F47" s="208"/>
      <c r="G47" s="209"/>
      <c r="H47" s="1"/>
      <c r="I47" s="1"/>
      <c r="U47" s="149">
        <f t="shared" si="0"/>
        <v>0</v>
      </c>
    </row>
    <row r="48" spans="1:33" ht="15.75">
      <c r="A48" s="1"/>
      <c r="B48" s="183" t="s">
        <v>1</v>
      </c>
      <c r="C48" s="208"/>
      <c r="D48" s="209"/>
      <c r="E48" s="1"/>
      <c r="F48" s="183" t="s">
        <v>75</v>
      </c>
      <c r="G48" s="208"/>
      <c r="H48" s="209"/>
      <c r="I48" s="1"/>
      <c r="K48" s="1"/>
      <c r="L48" s="183" t="s">
        <v>26</v>
      </c>
      <c r="M48" s="208"/>
      <c r="N48" s="209"/>
      <c r="O48" s="1"/>
      <c r="P48" s="183" t="s">
        <v>75</v>
      </c>
      <c r="Q48" s="208"/>
      <c r="R48" s="209"/>
      <c r="S48" s="1"/>
      <c r="U48" s="149">
        <f t="shared" si="0"/>
        <v>0</v>
      </c>
    </row>
    <row r="49" spans="1:40" ht="15.75">
      <c r="A49" s="54" t="s">
        <v>35</v>
      </c>
      <c r="B49" s="54" t="s">
        <v>4</v>
      </c>
      <c r="C49" s="54" t="s">
        <v>12</v>
      </c>
      <c r="D49" s="54" t="s">
        <v>19</v>
      </c>
      <c r="E49" s="54" t="s">
        <v>20</v>
      </c>
      <c r="F49" s="54" t="s">
        <v>21</v>
      </c>
      <c r="G49" s="54" t="s">
        <v>22</v>
      </c>
      <c r="H49" s="54" t="s">
        <v>23</v>
      </c>
      <c r="I49" s="54" t="s">
        <v>24</v>
      </c>
      <c r="J49" s="54" t="s">
        <v>25</v>
      </c>
      <c r="K49" s="54" t="s">
        <v>35</v>
      </c>
      <c r="L49" s="54" t="s">
        <v>4</v>
      </c>
      <c r="M49" s="54" t="s">
        <v>27</v>
      </c>
      <c r="N49" s="54" t="s">
        <v>28</v>
      </c>
      <c r="O49" s="54" t="s">
        <v>29</v>
      </c>
      <c r="P49" s="54" t="s">
        <v>30</v>
      </c>
      <c r="Q49" s="54" t="s">
        <v>31</v>
      </c>
      <c r="R49" s="54" t="s">
        <v>32</v>
      </c>
      <c r="S49" s="54" t="s">
        <v>33</v>
      </c>
      <c r="T49" s="54" t="s">
        <v>34</v>
      </c>
      <c r="U49" s="149">
        <f t="shared" si="0"/>
        <v>0</v>
      </c>
    </row>
    <row r="50" spans="1:40" ht="15.75">
      <c r="A50" s="195" t="s">
        <v>5</v>
      </c>
      <c r="B50" s="56" t="s">
        <v>13</v>
      </c>
      <c r="C50" s="57"/>
      <c r="D50" s="57"/>
      <c r="E50" s="56">
        <v>6</v>
      </c>
      <c r="F50" s="56">
        <v>22</v>
      </c>
      <c r="G50" s="56">
        <v>31</v>
      </c>
      <c r="H50" s="56">
        <v>18</v>
      </c>
      <c r="I50" s="56">
        <v>22</v>
      </c>
      <c r="J50" s="56">
        <v>16</v>
      </c>
      <c r="K50" s="196" t="s">
        <v>5</v>
      </c>
      <c r="L50" s="56" t="s">
        <v>13</v>
      </c>
      <c r="M50" s="56">
        <v>10</v>
      </c>
      <c r="N50" s="56">
        <v>15</v>
      </c>
      <c r="O50" s="56">
        <v>8</v>
      </c>
      <c r="P50" s="56">
        <v>7</v>
      </c>
      <c r="Q50" s="56">
        <v>5</v>
      </c>
      <c r="R50" s="57"/>
      <c r="S50" s="57"/>
      <c r="T50" s="58"/>
      <c r="U50" s="149">
        <f t="shared" ref="U50:U90" si="10">SUM(M50:T50,C50:J50)</f>
        <v>160</v>
      </c>
      <c r="W50" s="210" t="s">
        <v>75</v>
      </c>
      <c r="X50" s="211"/>
      <c r="AG50" s="190" t="s">
        <v>58</v>
      </c>
      <c r="AH50" s="191"/>
      <c r="AI50" s="191"/>
      <c r="AJ50" s="191"/>
      <c r="AK50" s="191"/>
      <c r="AL50" s="191"/>
      <c r="AM50" s="191"/>
      <c r="AN50" s="192"/>
    </row>
    <row r="51" spans="1:40" ht="15">
      <c r="A51" s="204"/>
      <c r="B51" s="4" t="s">
        <v>14</v>
      </c>
      <c r="C51" s="5"/>
      <c r="D51" s="5"/>
      <c r="E51" s="4">
        <v>5</v>
      </c>
      <c r="F51" s="4">
        <v>9</v>
      </c>
      <c r="G51" s="4">
        <v>5</v>
      </c>
      <c r="H51" s="4">
        <v>8</v>
      </c>
      <c r="I51" s="4">
        <v>6</v>
      </c>
      <c r="J51" s="4">
        <v>4</v>
      </c>
      <c r="K51" s="205"/>
      <c r="L51" s="4" t="s">
        <v>14</v>
      </c>
      <c r="M51" s="4">
        <v>3</v>
      </c>
      <c r="N51" s="4">
        <v>4</v>
      </c>
      <c r="O51" s="4">
        <v>2</v>
      </c>
      <c r="P51" s="4">
        <v>3</v>
      </c>
      <c r="Q51" s="4">
        <v>1</v>
      </c>
      <c r="R51" s="5"/>
      <c r="S51" s="5"/>
      <c r="T51" s="49"/>
      <c r="U51" s="149">
        <f t="shared" si="10"/>
        <v>50</v>
      </c>
      <c r="W51" s="137" t="s">
        <v>5</v>
      </c>
      <c r="X51" s="109">
        <f>SUM(U50:U55)</f>
        <v>523</v>
      </c>
      <c r="AG51" s="138" t="s">
        <v>4</v>
      </c>
      <c r="AH51" s="138" t="s">
        <v>5</v>
      </c>
      <c r="AI51" s="138" t="s">
        <v>6</v>
      </c>
      <c r="AJ51" s="138" t="s">
        <v>7</v>
      </c>
      <c r="AK51" s="138" t="s">
        <v>8</v>
      </c>
      <c r="AL51" s="138" t="s">
        <v>9</v>
      </c>
      <c r="AM51" s="138" t="s">
        <v>10</v>
      </c>
      <c r="AN51" s="138" t="s">
        <v>11</v>
      </c>
    </row>
    <row r="52" spans="1:40" ht="15">
      <c r="A52" s="204"/>
      <c r="B52" s="4" t="s">
        <v>15</v>
      </c>
      <c r="C52" s="5"/>
      <c r="D52" s="5"/>
      <c r="E52" s="4">
        <v>3</v>
      </c>
      <c r="F52" s="4">
        <v>7</v>
      </c>
      <c r="G52" s="4">
        <v>23</v>
      </c>
      <c r="H52" s="4">
        <v>26</v>
      </c>
      <c r="I52" s="4">
        <v>22</v>
      </c>
      <c r="J52" s="4">
        <v>29</v>
      </c>
      <c r="K52" s="205"/>
      <c r="L52" s="4" t="s">
        <v>15</v>
      </c>
      <c r="M52" s="4">
        <v>13</v>
      </c>
      <c r="N52" s="4">
        <v>12</v>
      </c>
      <c r="O52" s="4">
        <v>21</v>
      </c>
      <c r="P52" s="4">
        <v>9</v>
      </c>
      <c r="Q52" s="4">
        <v>7</v>
      </c>
      <c r="R52" s="5"/>
      <c r="S52" s="5"/>
      <c r="T52" s="49"/>
      <c r="U52" s="149">
        <f t="shared" si="10"/>
        <v>172</v>
      </c>
      <c r="W52" s="137" t="s">
        <v>6</v>
      </c>
      <c r="X52" s="109">
        <f>SUM(U56:U61)</f>
        <v>364</v>
      </c>
      <c r="AG52" s="140" t="s">
        <v>13</v>
      </c>
      <c r="AH52" s="140">
        <f t="shared" ref="AH52:AH57" si="11">U50</f>
        <v>160</v>
      </c>
      <c r="AI52" s="140">
        <f t="shared" ref="AI52:AI57" si="12">U56</f>
        <v>125</v>
      </c>
      <c r="AJ52" s="140">
        <f t="shared" ref="AJ52:AJ57" si="13">U62</f>
        <v>347</v>
      </c>
      <c r="AK52" s="140">
        <f t="shared" ref="AK52:AK57" si="14">U68</f>
        <v>363</v>
      </c>
      <c r="AL52" s="140">
        <f t="shared" ref="AL52:AL57" si="15">U74</f>
        <v>353</v>
      </c>
      <c r="AM52" s="140">
        <f t="shared" ref="AM52:AM57" si="16">U80</f>
        <v>333</v>
      </c>
      <c r="AN52" s="140">
        <f t="shared" ref="AN52:AN57" si="17">U86</f>
        <v>270</v>
      </c>
    </row>
    <row r="53" spans="1:40" ht="15">
      <c r="A53" s="204"/>
      <c r="B53" s="4" t="s">
        <v>16</v>
      </c>
      <c r="C53" s="5"/>
      <c r="D53" s="5"/>
      <c r="E53" s="4">
        <v>0</v>
      </c>
      <c r="F53" s="4">
        <v>1</v>
      </c>
      <c r="G53" s="4">
        <v>6</v>
      </c>
      <c r="H53" s="4">
        <v>7</v>
      </c>
      <c r="I53" s="4">
        <v>5</v>
      </c>
      <c r="J53" s="4">
        <v>7</v>
      </c>
      <c r="K53" s="205"/>
      <c r="L53" s="4" t="s">
        <v>16</v>
      </c>
      <c r="M53" s="4">
        <v>4</v>
      </c>
      <c r="N53" s="4">
        <v>6</v>
      </c>
      <c r="O53" s="4">
        <v>1</v>
      </c>
      <c r="P53" s="4">
        <v>1</v>
      </c>
      <c r="Q53" s="4">
        <v>0</v>
      </c>
      <c r="R53" s="5"/>
      <c r="S53" s="5"/>
      <c r="T53" s="49"/>
      <c r="U53" s="149">
        <f t="shared" si="10"/>
        <v>38</v>
      </c>
      <c r="W53" s="137" t="s">
        <v>7</v>
      </c>
      <c r="X53" s="109">
        <f>SUM(U62:U67)</f>
        <v>1225</v>
      </c>
      <c r="AG53" s="142" t="s">
        <v>14</v>
      </c>
      <c r="AH53" s="142">
        <f t="shared" si="11"/>
        <v>50</v>
      </c>
      <c r="AI53" s="142">
        <f t="shared" si="12"/>
        <v>35</v>
      </c>
      <c r="AJ53" s="142">
        <f t="shared" si="13"/>
        <v>148</v>
      </c>
      <c r="AK53" s="142">
        <f t="shared" si="14"/>
        <v>131</v>
      </c>
      <c r="AL53" s="142">
        <f t="shared" si="15"/>
        <v>175</v>
      </c>
      <c r="AM53" s="142">
        <f t="shared" si="16"/>
        <v>144</v>
      </c>
      <c r="AN53" s="142">
        <f t="shared" si="17"/>
        <v>154</v>
      </c>
    </row>
    <row r="54" spans="1:40" ht="15">
      <c r="A54" s="204"/>
      <c r="B54" s="4" t="s">
        <v>17</v>
      </c>
      <c r="C54" s="5"/>
      <c r="D54" s="5"/>
      <c r="E54" s="4">
        <v>3</v>
      </c>
      <c r="F54" s="4">
        <v>5</v>
      </c>
      <c r="G54" s="4">
        <v>5</v>
      </c>
      <c r="H54" s="4">
        <v>10</v>
      </c>
      <c r="I54" s="4">
        <v>2</v>
      </c>
      <c r="J54" s="4">
        <v>4</v>
      </c>
      <c r="K54" s="205"/>
      <c r="L54" s="4" t="s">
        <v>17</v>
      </c>
      <c r="M54" s="4">
        <v>5</v>
      </c>
      <c r="N54" s="4">
        <v>1</v>
      </c>
      <c r="O54" s="4">
        <v>4</v>
      </c>
      <c r="P54" s="4">
        <v>3</v>
      </c>
      <c r="Q54" s="4">
        <v>2</v>
      </c>
      <c r="R54" s="5"/>
      <c r="S54" s="5"/>
      <c r="T54" s="49"/>
      <c r="U54" s="149">
        <f t="shared" si="10"/>
        <v>44</v>
      </c>
      <c r="W54" s="137" t="s">
        <v>61</v>
      </c>
      <c r="X54" s="109">
        <f>SUM(U68:U73)</f>
        <v>1189</v>
      </c>
      <c r="AG54" s="140" t="s">
        <v>15</v>
      </c>
      <c r="AH54" s="140">
        <f t="shared" si="11"/>
        <v>172</v>
      </c>
      <c r="AI54" s="140">
        <f t="shared" si="12"/>
        <v>99</v>
      </c>
      <c r="AJ54" s="140">
        <f t="shared" si="13"/>
        <v>365</v>
      </c>
      <c r="AK54" s="140">
        <f t="shared" si="14"/>
        <v>359</v>
      </c>
      <c r="AL54" s="140">
        <f t="shared" si="15"/>
        <v>317</v>
      </c>
      <c r="AM54" s="140">
        <f t="shared" si="16"/>
        <v>299</v>
      </c>
      <c r="AN54" s="140">
        <f t="shared" si="17"/>
        <v>259</v>
      </c>
    </row>
    <row r="55" spans="1:40" ht="15">
      <c r="A55" s="204"/>
      <c r="B55" s="46" t="s">
        <v>18</v>
      </c>
      <c r="C55" s="64"/>
      <c r="D55" s="64"/>
      <c r="E55" s="46">
        <v>7</v>
      </c>
      <c r="F55" s="46">
        <v>7</v>
      </c>
      <c r="G55" s="46">
        <v>4</v>
      </c>
      <c r="H55" s="46">
        <v>9</v>
      </c>
      <c r="I55" s="46">
        <v>9</v>
      </c>
      <c r="J55" s="46">
        <v>3</v>
      </c>
      <c r="K55" s="205"/>
      <c r="L55" s="46" t="s">
        <v>18</v>
      </c>
      <c r="M55" s="46">
        <v>4</v>
      </c>
      <c r="N55" s="46">
        <v>4</v>
      </c>
      <c r="O55" s="46">
        <v>7</v>
      </c>
      <c r="P55" s="46">
        <v>4</v>
      </c>
      <c r="Q55" s="46">
        <v>1</v>
      </c>
      <c r="R55" s="64"/>
      <c r="S55" s="64"/>
      <c r="T55" s="65"/>
      <c r="U55" s="149">
        <f t="shared" si="10"/>
        <v>59</v>
      </c>
      <c r="W55" s="137" t="s">
        <v>9</v>
      </c>
      <c r="X55" s="109">
        <f>SUM(U74:U79)</f>
        <v>1193</v>
      </c>
      <c r="AG55" s="142" t="s">
        <v>16</v>
      </c>
      <c r="AH55" s="142">
        <f t="shared" si="11"/>
        <v>38</v>
      </c>
      <c r="AI55" s="142">
        <f t="shared" si="12"/>
        <v>43</v>
      </c>
      <c r="AJ55" s="142">
        <f t="shared" si="13"/>
        <v>104</v>
      </c>
      <c r="AK55" s="142">
        <f t="shared" si="14"/>
        <v>116</v>
      </c>
      <c r="AL55" s="142">
        <f t="shared" si="15"/>
        <v>98</v>
      </c>
      <c r="AM55" s="142">
        <f t="shared" si="16"/>
        <v>86</v>
      </c>
      <c r="AN55" s="142">
        <f t="shared" si="17"/>
        <v>74</v>
      </c>
    </row>
    <row r="56" spans="1:40" ht="15">
      <c r="A56" s="193" t="s">
        <v>6</v>
      </c>
      <c r="B56" s="63" t="s">
        <v>13</v>
      </c>
      <c r="C56" s="57"/>
      <c r="D56" s="57"/>
      <c r="E56" s="57"/>
      <c r="F56" s="63">
        <v>17</v>
      </c>
      <c r="G56" s="63">
        <v>28</v>
      </c>
      <c r="H56" s="63">
        <v>15</v>
      </c>
      <c r="I56" s="63">
        <v>14</v>
      </c>
      <c r="J56" s="63">
        <v>16</v>
      </c>
      <c r="K56" s="194" t="s">
        <v>6</v>
      </c>
      <c r="L56" s="63" t="s">
        <v>13</v>
      </c>
      <c r="M56" s="63">
        <v>11</v>
      </c>
      <c r="N56" s="63">
        <v>5</v>
      </c>
      <c r="O56" s="63">
        <v>6</v>
      </c>
      <c r="P56" s="63">
        <v>13</v>
      </c>
      <c r="Q56" s="57"/>
      <c r="R56" s="57"/>
      <c r="S56" s="57"/>
      <c r="T56" s="58"/>
      <c r="U56" s="149">
        <f t="shared" si="10"/>
        <v>125</v>
      </c>
      <c r="W56" s="137" t="s">
        <v>10</v>
      </c>
      <c r="X56" s="109">
        <f>SUM(U80:U85)</f>
        <v>1087</v>
      </c>
      <c r="AG56" s="140" t="s">
        <v>17</v>
      </c>
      <c r="AH56" s="140">
        <f t="shared" si="11"/>
        <v>44</v>
      </c>
      <c r="AI56" s="140">
        <f t="shared" si="12"/>
        <v>34</v>
      </c>
      <c r="AJ56" s="140">
        <f t="shared" si="13"/>
        <v>93</v>
      </c>
      <c r="AK56" s="140">
        <f t="shared" si="14"/>
        <v>98</v>
      </c>
      <c r="AL56" s="140">
        <f t="shared" si="15"/>
        <v>102</v>
      </c>
      <c r="AM56" s="140">
        <f t="shared" si="16"/>
        <v>96</v>
      </c>
      <c r="AN56" s="140">
        <f t="shared" si="17"/>
        <v>82</v>
      </c>
    </row>
    <row r="57" spans="1:40" ht="15">
      <c r="A57" s="204"/>
      <c r="B57" s="6" t="s">
        <v>14</v>
      </c>
      <c r="C57" s="5"/>
      <c r="D57" s="5"/>
      <c r="E57" s="5"/>
      <c r="F57" s="6">
        <v>3</v>
      </c>
      <c r="G57" s="6">
        <v>7</v>
      </c>
      <c r="H57" s="6">
        <v>3</v>
      </c>
      <c r="I57" s="6">
        <v>3</v>
      </c>
      <c r="J57" s="6">
        <v>5</v>
      </c>
      <c r="K57" s="205"/>
      <c r="L57" s="6" t="s">
        <v>14</v>
      </c>
      <c r="M57" s="6">
        <v>3</v>
      </c>
      <c r="N57" s="6">
        <v>2</v>
      </c>
      <c r="O57" s="6">
        <v>5</v>
      </c>
      <c r="P57" s="6">
        <v>4</v>
      </c>
      <c r="Q57" s="5"/>
      <c r="R57" s="5"/>
      <c r="S57" s="5"/>
      <c r="T57" s="49"/>
      <c r="U57" s="149">
        <f t="shared" si="10"/>
        <v>35</v>
      </c>
      <c r="W57" s="144" t="s">
        <v>11</v>
      </c>
      <c r="X57" s="145">
        <f>SUM(U86:U91)</f>
        <v>927</v>
      </c>
      <c r="AG57" s="142" t="s">
        <v>18</v>
      </c>
      <c r="AH57" s="142">
        <f t="shared" si="11"/>
        <v>59</v>
      </c>
      <c r="AI57" s="142">
        <f t="shared" si="12"/>
        <v>28</v>
      </c>
      <c r="AJ57" s="142">
        <f t="shared" si="13"/>
        <v>168</v>
      </c>
      <c r="AK57" s="142">
        <f t="shared" si="14"/>
        <v>122</v>
      </c>
      <c r="AL57" s="142">
        <f t="shared" si="15"/>
        <v>148</v>
      </c>
      <c r="AM57" s="142">
        <f t="shared" si="16"/>
        <v>129</v>
      </c>
      <c r="AN57" s="142">
        <f t="shared" si="17"/>
        <v>88</v>
      </c>
    </row>
    <row r="58" spans="1:40" ht="15">
      <c r="A58" s="204"/>
      <c r="B58" s="6" t="s">
        <v>15</v>
      </c>
      <c r="C58" s="5"/>
      <c r="D58" s="5"/>
      <c r="E58" s="5"/>
      <c r="F58" s="6">
        <v>16</v>
      </c>
      <c r="G58" s="6">
        <v>12</v>
      </c>
      <c r="H58" s="6">
        <v>13</v>
      </c>
      <c r="I58" s="6">
        <v>10</v>
      </c>
      <c r="J58" s="6">
        <v>14</v>
      </c>
      <c r="K58" s="205"/>
      <c r="L58" s="6" t="s">
        <v>15</v>
      </c>
      <c r="M58" s="6">
        <v>13</v>
      </c>
      <c r="N58" s="6">
        <v>4</v>
      </c>
      <c r="O58" s="6">
        <v>10</v>
      </c>
      <c r="P58" s="6">
        <v>7</v>
      </c>
      <c r="Q58" s="5"/>
      <c r="R58" s="5"/>
      <c r="S58" s="5"/>
      <c r="T58" s="49"/>
      <c r="U58" s="149">
        <f t="shared" si="10"/>
        <v>99</v>
      </c>
      <c r="W58" s="140" t="s">
        <v>63</v>
      </c>
      <c r="X58" s="146">
        <f>SUM(X51:X57)</f>
        <v>6508</v>
      </c>
    </row>
    <row r="59" spans="1:40" ht="15">
      <c r="A59" s="204"/>
      <c r="B59" s="6" t="s">
        <v>16</v>
      </c>
      <c r="C59" s="5"/>
      <c r="D59" s="5"/>
      <c r="E59" s="5"/>
      <c r="F59" s="6">
        <v>6</v>
      </c>
      <c r="G59" s="6">
        <v>3</v>
      </c>
      <c r="H59" s="6">
        <v>6</v>
      </c>
      <c r="I59" s="6">
        <v>6</v>
      </c>
      <c r="J59" s="6">
        <v>5</v>
      </c>
      <c r="K59" s="205"/>
      <c r="L59" s="6" t="s">
        <v>16</v>
      </c>
      <c r="M59" s="6">
        <v>5</v>
      </c>
      <c r="N59" s="6">
        <v>8</v>
      </c>
      <c r="O59" s="6">
        <v>3</v>
      </c>
      <c r="P59" s="6">
        <v>1</v>
      </c>
      <c r="Q59" s="5"/>
      <c r="R59" s="5"/>
      <c r="S59" s="5"/>
      <c r="T59" s="49"/>
      <c r="U59" s="149">
        <f t="shared" si="10"/>
        <v>43</v>
      </c>
    </row>
    <row r="60" spans="1:40" ht="15">
      <c r="A60" s="204"/>
      <c r="B60" s="6" t="s">
        <v>17</v>
      </c>
      <c r="C60" s="5"/>
      <c r="D60" s="5"/>
      <c r="E60" s="5"/>
      <c r="F60" s="6">
        <v>2</v>
      </c>
      <c r="G60" s="6">
        <v>8</v>
      </c>
      <c r="H60" s="6">
        <v>6</v>
      </c>
      <c r="I60" s="6">
        <v>7</v>
      </c>
      <c r="J60" s="6">
        <v>3</v>
      </c>
      <c r="K60" s="205"/>
      <c r="L60" s="6" t="s">
        <v>17</v>
      </c>
      <c r="M60" s="6">
        <v>4</v>
      </c>
      <c r="N60" s="6">
        <v>0</v>
      </c>
      <c r="O60" s="6">
        <v>2</v>
      </c>
      <c r="P60" s="6">
        <v>2</v>
      </c>
      <c r="Q60" s="5"/>
      <c r="R60" s="5"/>
      <c r="S60" s="5"/>
      <c r="T60" s="49"/>
      <c r="U60" s="149">
        <f t="shared" si="10"/>
        <v>34</v>
      </c>
    </row>
    <row r="61" spans="1:40" ht="15">
      <c r="A61" s="204"/>
      <c r="B61" s="47" t="s">
        <v>18</v>
      </c>
      <c r="C61" s="64"/>
      <c r="D61" s="64"/>
      <c r="E61" s="64"/>
      <c r="F61" s="47">
        <v>1</v>
      </c>
      <c r="G61" s="47">
        <v>4</v>
      </c>
      <c r="H61" s="47">
        <v>5</v>
      </c>
      <c r="I61" s="47">
        <v>2</v>
      </c>
      <c r="J61" s="47">
        <v>4</v>
      </c>
      <c r="K61" s="205"/>
      <c r="L61" s="47" t="s">
        <v>18</v>
      </c>
      <c r="M61" s="47">
        <v>6</v>
      </c>
      <c r="N61" s="47">
        <v>2</v>
      </c>
      <c r="O61" s="47">
        <v>2</v>
      </c>
      <c r="P61" s="47">
        <v>2</v>
      </c>
      <c r="Q61" s="64"/>
      <c r="R61" s="64"/>
      <c r="S61" s="64"/>
      <c r="T61" s="65"/>
      <c r="U61" s="149">
        <f t="shared" si="10"/>
        <v>28</v>
      </c>
    </row>
    <row r="62" spans="1:40" ht="15">
      <c r="A62" s="195" t="s">
        <v>7</v>
      </c>
      <c r="B62" s="56" t="s">
        <v>13</v>
      </c>
      <c r="C62" s="56">
        <v>20</v>
      </c>
      <c r="D62" s="56">
        <v>18</v>
      </c>
      <c r="E62" s="56">
        <v>23</v>
      </c>
      <c r="F62" s="56">
        <v>19</v>
      </c>
      <c r="G62" s="56">
        <v>31</v>
      </c>
      <c r="H62" s="56">
        <v>34</v>
      </c>
      <c r="I62" s="56">
        <v>26</v>
      </c>
      <c r="J62" s="56">
        <v>25</v>
      </c>
      <c r="K62" s="196" t="s">
        <v>7</v>
      </c>
      <c r="L62" s="56" t="s">
        <v>13</v>
      </c>
      <c r="M62" s="56">
        <v>25</v>
      </c>
      <c r="N62" s="56">
        <v>17</v>
      </c>
      <c r="O62" s="56">
        <v>10</v>
      </c>
      <c r="P62" s="56">
        <v>28</v>
      </c>
      <c r="Q62" s="56">
        <v>26</v>
      </c>
      <c r="R62" s="56">
        <v>16</v>
      </c>
      <c r="S62" s="56">
        <v>18</v>
      </c>
      <c r="T62" s="67">
        <v>11</v>
      </c>
      <c r="U62" s="149">
        <f t="shared" si="10"/>
        <v>347</v>
      </c>
    </row>
    <row r="63" spans="1:40" ht="15">
      <c r="A63" s="204"/>
      <c r="B63" s="4" t="s">
        <v>14</v>
      </c>
      <c r="C63" s="4">
        <v>6</v>
      </c>
      <c r="D63" s="4">
        <v>9</v>
      </c>
      <c r="E63" s="4">
        <v>10</v>
      </c>
      <c r="F63" s="4">
        <v>9</v>
      </c>
      <c r="G63" s="4">
        <v>12</v>
      </c>
      <c r="H63" s="4">
        <v>12</v>
      </c>
      <c r="I63" s="4">
        <v>11</v>
      </c>
      <c r="J63" s="4">
        <v>12</v>
      </c>
      <c r="K63" s="205"/>
      <c r="L63" s="4" t="s">
        <v>14</v>
      </c>
      <c r="M63" s="4">
        <v>15</v>
      </c>
      <c r="N63" s="4">
        <v>5</v>
      </c>
      <c r="O63" s="4">
        <v>10</v>
      </c>
      <c r="P63" s="4">
        <v>8</v>
      </c>
      <c r="Q63" s="4">
        <v>9</v>
      </c>
      <c r="R63" s="4">
        <v>8</v>
      </c>
      <c r="S63" s="4">
        <v>8</v>
      </c>
      <c r="T63" s="50">
        <v>4</v>
      </c>
      <c r="U63" s="149">
        <f t="shared" si="10"/>
        <v>148</v>
      </c>
    </row>
    <row r="64" spans="1:40" ht="15">
      <c r="A64" s="204"/>
      <c r="B64" s="4" t="s">
        <v>15</v>
      </c>
      <c r="C64" s="4">
        <v>26</v>
      </c>
      <c r="D64" s="4">
        <v>22</v>
      </c>
      <c r="E64" s="4">
        <v>34</v>
      </c>
      <c r="F64" s="4">
        <v>23</v>
      </c>
      <c r="G64" s="4">
        <v>27</v>
      </c>
      <c r="H64" s="4">
        <v>23</v>
      </c>
      <c r="I64" s="4">
        <v>13</v>
      </c>
      <c r="J64" s="4">
        <v>18</v>
      </c>
      <c r="K64" s="205"/>
      <c r="L64" s="4" t="s">
        <v>15</v>
      </c>
      <c r="M64" s="4">
        <v>23</v>
      </c>
      <c r="N64" s="4">
        <v>20</v>
      </c>
      <c r="O64" s="4">
        <v>15</v>
      </c>
      <c r="P64" s="4">
        <v>31</v>
      </c>
      <c r="Q64" s="4">
        <v>28</v>
      </c>
      <c r="R64" s="4">
        <v>22</v>
      </c>
      <c r="S64" s="4">
        <v>21</v>
      </c>
      <c r="T64" s="50">
        <v>19</v>
      </c>
      <c r="U64" s="149">
        <f t="shared" si="10"/>
        <v>365</v>
      </c>
    </row>
    <row r="65" spans="1:21" ht="15">
      <c r="A65" s="204"/>
      <c r="B65" s="4" t="s">
        <v>16</v>
      </c>
      <c r="C65" s="4">
        <v>4</v>
      </c>
      <c r="D65" s="4">
        <v>1</v>
      </c>
      <c r="E65" s="4">
        <v>8</v>
      </c>
      <c r="F65" s="4">
        <v>12</v>
      </c>
      <c r="G65" s="4">
        <v>14</v>
      </c>
      <c r="H65" s="4">
        <v>9</v>
      </c>
      <c r="I65" s="4">
        <v>5</v>
      </c>
      <c r="J65" s="4">
        <v>7</v>
      </c>
      <c r="K65" s="205"/>
      <c r="L65" s="4" t="s">
        <v>16</v>
      </c>
      <c r="M65" s="4">
        <v>8</v>
      </c>
      <c r="N65" s="4">
        <v>8</v>
      </c>
      <c r="O65" s="4">
        <v>8</v>
      </c>
      <c r="P65" s="4">
        <v>4</v>
      </c>
      <c r="Q65" s="4">
        <v>6</v>
      </c>
      <c r="R65" s="4">
        <v>3</v>
      </c>
      <c r="S65" s="4">
        <v>4</v>
      </c>
      <c r="T65" s="50">
        <v>3</v>
      </c>
      <c r="U65" s="149">
        <f t="shared" si="10"/>
        <v>104</v>
      </c>
    </row>
    <row r="66" spans="1:21" ht="15">
      <c r="A66" s="204"/>
      <c r="B66" s="4" t="s">
        <v>17</v>
      </c>
      <c r="C66" s="4">
        <v>8</v>
      </c>
      <c r="D66" s="4">
        <v>8</v>
      </c>
      <c r="E66" s="4">
        <v>4</v>
      </c>
      <c r="F66" s="4">
        <v>9</v>
      </c>
      <c r="G66" s="4">
        <v>9</v>
      </c>
      <c r="H66" s="4">
        <v>4</v>
      </c>
      <c r="I66" s="4">
        <v>3</v>
      </c>
      <c r="J66" s="4">
        <v>2</v>
      </c>
      <c r="K66" s="205"/>
      <c r="L66" s="4" t="s">
        <v>17</v>
      </c>
      <c r="M66" s="4">
        <v>5</v>
      </c>
      <c r="N66" s="4">
        <v>7</v>
      </c>
      <c r="O66" s="4">
        <v>7</v>
      </c>
      <c r="P66" s="4">
        <v>4</v>
      </c>
      <c r="Q66" s="4">
        <v>12</v>
      </c>
      <c r="R66" s="4">
        <v>4</v>
      </c>
      <c r="S66" s="4">
        <v>3</v>
      </c>
      <c r="T66" s="50">
        <v>4</v>
      </c>
      <c r="U66" s="149">
        <f t="shared" si="10"/>
        <v>93</v>
      </c>
    </row>
    <row r="67" spans="1:21" ht="15">
      <c r="A67" s="204"/>
      <c r="B67" s="46" t="s">
        <v>18</v>
      </c>
      <c r="C67" s="46">
        <v>29</v>
      </c>
      <c r="D67" s="46">
        <v>9</v>
      </c>
      <c r="E67" s="46">
        <v>14</v>
      </c>
      <c r="F67" s="46">
        <v>6</v>
      </c>
      <c r="G67" s="46">
        <v>19</v>
      </c>
      <c r="H67" s="46">
        <v>17</v>
      </c>
      <c r="I67" s="46">
        <v>18</v>
      </c>
      <c r="J67" s="46">
        <v>8</v>
      </c>
      <c r="K67" s="205"/>
      <c r="L67" s="46" t="s">
        <v>18</v>
      </c>
      <c r="M67" s="46">
        <v>4</v>
      </c>
      <c r="N67" s="46">
        <v>4</v>
      </c>
      <c r="O67" s="46">
        <v>7</v>
      </c>
      <c r="P67" s="46">
        <v>8</v>
      </c>
      <c r="Q67" s="46">
        <v>10</v>
      </c>
      <c r="R67" s="46">
        <v>6</v>
      </c>
      <c r="S67" s="46">
        <v>6</v>
      </c>
      <c r="T67" s="69">
        <v>3</v>
      </c>
      <c r="U67" s="149">
        <f t="shared" si="10"/>
        <v>168</v>
      </c>
    </row>
    <row r="68" spans="1:21" ht="15">
      <c r="A68" s="193" t="s">
        <v>8</v>
      </c>
      <c r="B68" s="63" t="s">
        <v>13</v>
      </c>
      <c r="C68" s="63">
        <v>23</v>
      </c>
      <c r="D68" s="63">
        <v>21</v>
      </c>
      <c r="E68" s="63">
        <v>19</v>
      </c>
      <c r="F68" s="63">
        <v>24</v>
      </c>
      <c r="G68" s="63">
        <v>28</v>
      </c>
      <c r="H68" s="63">
        <v>29</v>
      </c>
      <c r="I68" s="63">
        <v>24</v>
      </c>
      <c r="J68" s="63">
        <v>21</v>
      </c>
      <c r="K68" s="194" t="s">
        <v>8</v>
      </c>
      <c r="L68" s="63" t="s">
        <v>13</v>
      </c>
      <c r="M68" s="63">
        <v>17</v>
      </c>
      <c r="N68" s="63">
        <v>10</v>
      </c>
      <c r="O68" s="63">
        <v>19</v>
      </c>
      <c r="P68" s="63">
        <v>32</v>
      </c>
      <c r="Q68" s="63">
        <v>33</v>
      </c>
      <c r="R68" s="63">
        <v>24</v>
      </c>
      <c r="S68" s="63">
        <v>23</v>
      </c>
      <c r="T68" s="68">
        <v>16</v>
      </c>
      <c r="U68" s="149">
        <f t="shared" si="10"/>
        <v>363</v>
      </c>
    </row>
    <row r="69" spans="1:21" ht="15">
      <c r="A69" s="204"/>
      <c r="B69" s="6" t="s">
        <v>14</v>
      </c>
      <c r="C69" s="6">
        <v>5</v>
      </c>
      <c r="D69" s="6">
        <v>8</v>
      </c>
      <c r="E69" s="6">
        <v>9</v>
      </c>
      <c r="F69" s="6">
        <v>11</v>
      </c>
      <c r="G69" s="6">
        <v>8</v>
      </c>
      <c r="H69" s="6">
        <v>14</v>
      </c>
      <c r="I69" s="6">
        <v>13</v>
      </c>
      <c r="J69" s="6">
        <v>9</v>
      </c>
      <c r="K69" s="205"/>
      <c r="L69" s="6" t="s">
        <v>14</v>
      </c>
      <c r="M69" s="6">
        <v>14</v>
      </c>
      <c r="N69" s="6">
        <v>11</v>
      </c>
      <c r="O69" s="6">
        <v>6</v>
      </c>
      <c r="P69" s="6">
        <v>7</v>
      </c>
      <c r="Q69" s="6">
        <v>4</v>
      </c>
      <c r="R69" s="6">
        <v>5</v>
      </c>
      <c r="S69" s="6">
        <v>2</v>
      </c>
      <c r="T69" s="51">
        <v>5</v>
      </c>
      <c r="U69" s="149">
        <f t="shared" si="10"/>
        <v>131</v>
      </c>
    </row>
    <row r="70" spans="1:21" ht="15">
      <c r="A70" s="204"/>
      <c r="B70" s="6" t="s">
        <v>15</v>
      </c>
      <c r="C70" s="6">
        <v>21</v>
      </c>
      <c r="D70" s="6">
        <v>20</v>
      </c>
      <c r="E70" s="6">
        <v>20</v>
      </c>
      <c r="F70" s="6">
        <v>23</v>
      </c>
      <c r="G70" s="6">
        <v>19</v>
      </c>
      <c r="H70" s="6">
        <v>23</v>
      </c>
      <c r="I70" s="6">
        <v>20</v>
      </c>
      <c r="J70" s="6">
        <v>23</v>
      </c>
      <c r="K70" s="205"/>
      <c r="L70" s="6" t="s">
        <v>15</v>
      </c>
      <c r="M70" s="6">
        <v>27</v>
      </c>
      <c r="N70" s="6">
        <v>14</v>
      </c>
      <c r="O70" s="6">
        <v>13</v>
      </c>
      <c r="P70" s="6">
        <v>26</v>
      </c>
      <c r="Q70" s="6">
        <v>22</v>
      </c>
      <c r="R70" s="6">
        <v>34</v>
      </c>
      <c r="S70" s="6">
        <v>29</v>
      </c>
      <c r="T70" s="51">
        <v>25</v>
      </c>
      <c r="U70" s="149">
        <f t="shared" si="10"/>
        <v>359</v>
      </c>
    </row>
    <row r="71" spans="1:21" ht="15">
      <c r="A71" s="204"/>
      <c r="B71" s="6" t="s">
        <v>16</v>
      </c>
      <c r="C71" s="6">
        <v>5</v>
      </c>
      <c r="D71" s="6">
        <v>4</v>
      </c>
      <c r="E71" s="6">
        <v>7</v>
      </c>
      <c r="F71" s="6">
        <v>13</v>
      </c>
      <c r="G71" s="6">
        <v>20</v>
      </c>
      <c r="H71" s="6">
        <v>15</v>
      </c>
      <c r="I71" s="6">
        <v>8</v>
      </c>
      <c r="J71" s="6">
        <v>2</v>
      </c>
      <c r="K71" s="205"/>
      <c r="L71" s="6" t="s">
        <v>16</v>
      </c>
      <c r="M71" s="6">
        <v>4</v>
      </c>
      <c r="N71" s="6">
        <v>3</v>
      </c>
      <c r="O71" s="6">
        <v>9</v>
      </c>
      <c r="P71" s="6">
        <v>8</v>
      </c>
      <c r="Q71" s="6">
        <v>3</v>
      </c>
      <c r="R71" s="6">
        <v>4</v>
      </c>
      <c r="S71" s="6">
        <v>6</v>
      </c>
      <c r="T71" s="51">
        <v>5</v>
      </c>
      <c r="U71" s="149">
        <f t="shared" si="10"/>
        <v>116</v>
      </c>
    </row>
    <row r="72" spans="1:21" ht="15">
      <c r="A72" s="204"/>
      <c r="B72" s="6" t="s">
        <v>17</v>
      </c>
      <c r="C72" s="6">
        <v>9</v>
      </c>
      <c r="D72" s="6">
        <v>6</v>
      </c>
      <c r="E72" s="6">
        <v>5</v>
      </c>
      <c r="F72" s="6">
        <v>10</v>
      </c>
      <c r="G72" s="6">
        <v>7</v>
      </c>
      <c r="H72" s="6">
        <v>7</v>
      </c>
      <c r="I72" s="6">
        <v>6</v>
      </c>
      <c r="J72" s="6">
        <v>6</v>
      </c>
      <c r="K72" s="205"/>
      <c r="L72" s="6" t="s">
        <v>17</v>
      </c>
      <c r="M72" s="6">
        <v>6</v>
      </c>
      <c r="N72" s="6">
        <v>1</v>
      </c>
      <c r="O72" s="6">
        <v>1</v>
      </c>
      <c r="P72" s="6">
        <v>3</v>
      </c>
      <c r="Q72" s="6">
        <v>10</v>
      </c>
      <c r="R72" s="6">
        <v>8</v>
      </c>
      <c r="S72" s="6">
        <v>9</v>
      </c>
      <c r="T72" s="51">
        <v>4</v>
      </c>
      <c r="U72" s="149">
        <f t="shared" si="10"/>
        <v>98</v>
      </c>
    </row>
    <row r="73" spans="1:21" ht="15">
      <c r="A73" s="204"/>
      <c r="B73" s="47" t="s">
        <v>18</v>
      </c>
      <c r="C73" s="47">
        <v>13</v>
      </c>
      <c r="D73" s="47">
        <v>7</v>
      </c>
      <c r="E73" s="47">
        <v>6</v>
      </c>
      <c r="F73" s="47">
        <v>4</v>
      </c>
      <c r="G73" s="47">
        <v>11</v>
      </c>
      <c r="H73" s="47">
        <v>13</v>
      </c>
      <c r="I73" s="47">
        <v>10</v>
      </c>
      <c r="J73" s="47">
        <v>4</v>
      </c>
      <c r="K73" s="205"/>
      <c r="L73" s="47" t="s">
        <v>18</v>
      </c>
      <c r="M73" s="47">
        <v>2</v>
      </c>
      <c r="N73" s="47">
        <v>2</v>
      </c>
      <c r="O73" s="47">
        <v>4</v>
      </c>
      <c r="P73" s="47">
        <v>11</v>
      </c>
      <c r="Q73" s="47">
        <v>13</v>
      </c>
      <c r="R73" s="47">
        <v>10</v>
      </c>
      <c r="S73" s="47">
        <v>7</v>
      </c>
      <c r="T73" s="70">
        <v>5</v>
      </c>
      <c r="U73" s="149">
        <f t="shared" si="10"/>
        <v>122</v>
      </c>
    </row>
    <row r="74" spans="1:21" ht="15">
      <c r="A74" s="195" t="s">
        <v>9</v>
      </c>
      <c r="B74" s="56" t="s">
        <v>13</v>
      </c>
      <c r="C74" s="56">
        <v>15</v>
      </c>
      <c r="D74" s="56">
        <v>18</v>
      </c>
      <c r="E74" s="56">
        <v>26</v>
      </c>
      <c r="F74" s="56">
        <v>23</v>
      </c>
      <c r="G74" s="56">
        <v>37</v>
      </c>
      <c r="H74" s="56">
        <v>36</v>
      </c>
      <c r="I74" s="56">
        <v>27</v>
      </c>
      <c r="J74" s="56">
        <v>26</v>
      </c>
      <c r="K74" s="196" t="s">
        <v>9</v>
      </c>
      <c r="L74" s="56" t="s">
        <v>13</v>
      </c>
      <c r="M74" s="56">
        <v>13</v>
      </c>
      <c r="N74" s="56">
        <v>16</v>
      </c>
      <c r="O74" s="56">
        <v>18</v>
      </c>
      <c r="P74" s="56"/>
      <c r="Q74" s="56">
        <v>28</v>
      </c>
      <c r="R74" s="56">
        <v>28</v>
      </c>
      <c r="S74" s="56">
        <v>21</v>
      </c>
      <c r="T74" s="67">
        <v>21</v>
      </c>
      <c r="U74" s="149">
        <f t="shared" si="10"/>
        <v>353</v>
      </c>
    </row>
    <row r="75" spans="1:21" ht="15">
      <c r="A75" s="204"/>
      <c r="B75" s="4" t="s">
        <v>14</v>
      </c>
      <c r="C75" s="4">
        <v>8</v>
      </c>
      <c r="D75" s="4">
        <v>10</v>
      </c>
      <c r="E75" s="4">
        <v>13</v>
      </c>
      <c r="F75" s="4">
        <v>14</v>
      </c>
      <c r="G75" s="4">
        <v>19</v>
      </c>
      <c r="H75" s="4">
        <v>14</v>
      </c>
      <c r="I75" s="4">
        <v>18</v>
      </c>
      <c r="J75" s="4">
        <v>23</v>
      </c>
      <c r="K75" s="205"/>
      <c r="L75" s="4" t="s">
        <v>14</v>
      </c>
      <c r="M75" s="4">
        <v>11</v>
      </c>
      <c r="N75" s="4">
        <v>10</v>
      </c>
      <c r="O75" s="4">
        <v>5</v>
      </c>
      <c r="P75" s="4"/>
      <c r="Q75" s="4">
        <v>13</v>
      </c>
      <c r="R75" s="4">
        <v>5</v>
      </c>
      <c r="S75" s="4">
        <v>6</v>
      </c>
      <c r="T75" s="50">
        <v>6</v>
      </c>
      <c r="U75" s="149">
        <f t="shared" si="10"/>
        <v>175</v>
      </c>
    </row>
    <row r="76" spans="1:21" ht="15">
      <c r="A76" s="204"/>
      <c r="B76" s="4" t="s">
        <v>15</v>
      </c>
      <c r="C76" s="4">
        <v>21</v>
      </c>
      <c r="D76" s="4">
        <v>22</v>
      </c>
      <c r="E76" s="4">
        <v>25</v>
      </c>
      <c r="F76" s="4">
        <v>16</v>
      </c>
      <c r="G76" s="4">
        <v>26</v>
      </c>
      <c r="H76" s="4">
        <v>20</v>
      </c>
      <c r="I76" s="4">
        <v>25</v>
      </c>
      <c r="J76" s="4">
        <v>16</v>
      </c>
      <c r="K76" s="205"/>
      <c r="L76" s="4" t="s">
        <v>15</v>
      </c>
      <c r="M76" s="4">
        <v>17</v>
      </c>
      <c r="N76" s="4">
        <v>12</v>
      </c>
      <c r="O76" s="4">
        <v>20</v>
      </c>
      <c r="P76" s="4"/>
      <c r="Q76" s="4">
        <v>36</v>
      </c>
      <c r="R76" s="4">
        <v>19</v>
      </c>
      <c r="S76" s="4">
        <v>25</v>
      </c>
      <c r="T76" s="50">
        <v>17</v>
      </c>
      <c r="U76" s="149">
        <f t="shared" si="10"/>
        <v>317</v>
      </c>
    </row>
    <row r="77" spans="1:21" ht="15">
      <c r="A77" s="204"/>
      <c r="B77" s="4" t="s">
        <v>16</v>
      </c>
      <c r="C77" s="4">
        <v>5</v>
      </c>
      <c r="D77" s="4">
        <v>5</v>
      </c>
      <c r="E77" s="4">
        <v>7</v>
      </c>
      <c r="F77" s="4">
        <v>7</v>
      </c>
      <c r="G77" s="4">
        <v>16</v>
      </c>
      <c r="H77" s="4">
        <v>11</v>
      </c>
      <c r="I77" s="4">
        <v>16</v>
      </c>
      <c r="J77" s="4">
        <v>11</v>
      </c>
      <c r="K77" s="205"/>
      <c r="L77" s="4" t="s">
        <v>16</v>
      </c>
      <c r="M77" s="4">
        <v>2</v>
      </c>
      <c r="N77" s="4">
        <v>2</v>
      </c>
      <c r="O77" s="4">
        <v>4</v>
      </c>
      <c r="P77" s="4"/>
      <c r="Q77" s="4">
        <v>2</v>
      </c>
      <c r="R77" s="4">
        <v>5</v>
      </c>
      <c r="S77" s="4">
        <v>2</v>
      </c>
      <c r="T77" s="50">
        <v>3</v>
      </c>
      <c r="U77" s="149">
        <f t="shared" si="10"/>
        <v>98</v>
      </c>
    </row>
    <row r="78" spans="1:21" ht="15">
      <c r="A78" s="204"/>
      <c r="B78" s="4" t="s">
        <v>17</v>
      </c>
      <c r="C78" s="4">
        <v>12</v>
      </c>
      <c r="D78" s="4">
        <v>6</v>
      </c>
      <c r="E78" s="4">
        <v>4</v>
      </c>
      <c r="F78" s="4">
        <v>11</v>
      </c>
      <c r="G78" s="4">
        <v>11</v>
      </c>
      <c r="H78" s="4">
        <v>10</v>
      </c>
      <c r="I78" s="4">
        <v>5</v>
      </c>
      <c r="J78" s="4">
        <v>4</v>
      </c>
      <c r="K78" s="205"/>
      <c r="L78" s="4" t="s">
        <v>17</v>
      </c>
      <c r="M78" s="4">
        <v>5</v>
      </c>
      <c r="N78" s="4">
        <v>10</v>
      </c>
      <c r="O78" s="4">
        <v>4</v>
      </c>
      <c r="P78" s="4"/>
      <c r="Q78" s="4">
        <v>4</v>
      </c>
      <c r="R78" s="4">
        <v>6</v>
      </c>
      <c r="S78" s="4">
        <v>5</v>
      </c>
      <c r="T78" s="50">
        <v>5</v>
      </c>
      <c r="U78" s="149">
        <f t="shared" si="10"/>
        <v>102</v>
      </c>
    </row>
    <row r="79" spans="1:21" ht="15">
      <c r="A79" s="204"/>
      <c r="B79" s="46" t="s">
        <v>18</v>
      </c>
      <c r="C79" s="46">
        <v>28</v>
      </c>
      <c r="D79" s="46">
        <v>10</v>
      </c>
      <c r="E79" s="46">
        <v>8</v>
      </c>
      <c r="F79" s="46">
        <v>12</v>
      </c>
      <c r="G79" s="46">
        <v>10</v>
      </c>
      <c r="H79" s="46">
        <v>15</v>
      </c>
      <c r="I79" s="46">
        <v>15</v>
      </c>
      <c r="J79" s="46">
        <v>4</v>
      </c>
      <c r="K79" s="205"/>
      <c r="L79" s="46" t="s">
        <v>18</v>
      </c>
      <c r="M79" s="46">
        <v>3</v>
      </c>
      <c r="N79" s="46">
        <v>6</v>
      </c>
      <c r="O79" s="46">
        <v>6</v>
      </c>
      <c r="P79" s="46"/>
      <c r="Q79" s="46">
        <v>8</v>
      </c>
      <c r="R79" s="46">
        <v>13</v>
      </c>
      <c r="S79" s="46">
        <v>5</v>
      </c>
      <c r="T79" s="69">
        <v>5</v>
      </c>
      <c r="U79" s="149">
        <f t="shared" si="10"/>
        <v>148</v>
      </c>
    </row>
    <row r="80" spans="1:21" ht="15">
      <c r="A80" s="193" t="s">
        <v>10</v>
      </c>
      <c r="B80" s="63" t="s">
        <v>13</v>
      </c>
      <c r="C80" s="121">
        <v>24</v>
      </c>
      <c r="D80" s="121">
        <v>20</v>
      </c>
      <c r="E80" s="121">
        <v>17</v>
      </c>
      <c r="F80" s="121">
        <v>25</v>
      </c>
      <c r="G80" s="121">
        <v>30</v>
      </c>
      <c r="H80" s="121">
        <v>31</v>
      </c>
      <c r="I80" s="121">
        <v>25</v>
      </c>
      <c r="J80" s="121">
        <v>29</v>
      </c>
      <c r="K80" s="194" t="s">
        <v>10</v>
      </c>
      <c r="L80" s="63" t="s">
        <v>13</v>
      </c>
      <c r="M80" s="121">
        <v>18</v>
      </c>
      <c r="N80" s="121">
        <v>16</v>
      </c>
      <c r="O80" s="121">
        <v>15</v>
      </c>
      <c r="P80" s="121">
        <v>18</v>
      </c>
      <c r="Q80" s="121">
        <v>20</v>
      </c>
      <c r="R80" s="121">
        <v>28</v>
      </c>
      <c r="S80" s="121">
        <v>9</v>
      </c>
      <c r="T80" s="124">
        <v>8</v>
      </c>
      <c r="U80" s="149">
        <f t="shared" si="10"/>
        <v>333</v>
      </c>
    </row>
    <row r="81" spans="1:40" ht="15">
      <c r="A81" s="204"/>
      <c r="B81" s="6" t="s">
        <v>14</v>
      </c>
      <c r="C81" s="122">
        <v>6</v>
      </c>
      <c r="D81" s="122">
        <v>3</v>
      </c>
      <c r="E81" s="122">
        <v>5</v>
      </c>
      <c r="F81" s="122">
        <v>18</v>
      </c>
      <c r="G81" s="122">
        <v>14</v>
      </c>
      <c r="H81" s="122">
        <v>15</v>
      </c>
      <c r="I81" s="122">
        <v>12</v>
      </c>
      <c r="J81" s="122">
        <v>12</v>
      </c>
      <c r="K81" s="205"/>
      <c r="L81" s="6" t="s">
        <v>14</v>
      </c>
      <c r="M81" s="122">
        <v>8</v>
      </c>
      <c r="N81" s="122">
        <v>7</v>
      </c>
      <c r="O81" s="122">
        <v>6</v>
      </c>
      <c r="P81" s="122">
        <v>6</v>
      </c>
      <c r="Q81" s="122">
        <v>12</v>
      </c>
      <c r="R81" s="122">
        <v>6</v>
      </c>
      <c r="S81" s="122">
        <v>6</v>
      </c>
      <c r="T81" s="125">
        <v>8</v>
      </c>
      <c r="U81" s="149">
        <f t="shared" si="10"/>
        <v>144</v>
      </c>
    </row>
    <row r="82" spans="1:40" ht="15">
      <c r="A82" s="204"/>
      <c r="B82" s="6" t="s">
        <v>15</v>
      </c>
      <c r="C82" s="122">
        <v>12</v>
      </c>
      <c r="D82" s="122">
        <v>18</v>
      </c>
      <c r="E82" s="122">
        <v>19</v>
      </c>
      <c r="F82" s="122">
        <v>18</v>
      </c>
      <c r="G82" s="122">
        <v>15</v>
      </c>
      <c r="H82" s="122">
        <v>20</v>
      </c>
      <c r="I82" s="122">
        <v>19</v>
      </c>
      <c r="J82" s="122">
        <v>25</v>
      </c>
      <c r="K82" s="205"/>
      <c r="L82" s="6" t="s">
        <v>15</v>
      </c>
      <c r="M82" s="122">
        <v>17</v>
      </c>
      <c r="N82" s="122">
        <v>15</v>
      </c>
      <c r="O82" s="122">
        <v>30</v>
      </c>
      <c r="P82" s="122">
        <v>8</v>
      </c>
      <c r="Q82" s="122">
        <v>24</v>
      </c>
      <c r="R82" s="122">
        <v>22</v>
      </c>
      <c r="S82" s="122">
        <v>21</v>
      </c>
      <c r="T82" s="125">
        <v>16</v>
      </c>
      <c r="U82" s="149">
        <f t="shared" si="10"/>
        <v>299</v>
      </c>
    </row>
    <row r="83" spans="1:40" ht="15">
      <c r="A83" s="204"/>
      <c r="B83" s="6" t="s">
        <v>16</v>
      </c>
      <c r="C83" s="122">
        <v>5</v>
      </c>
      <c r="D83" s="122">
        <v>4</v>
      </c>
      <c r="E83" s="122">
        <v>6</v>
      </c>
      <c r="F83" s="122">
        <v>14</v>
      </c>
      <c r="G83" s="122">
        <v>10</v>
      </c>
      <c r="H83" s="122">
        <v>12</v>
      </c>
      <c r="I83" s="122">
        <v>8</v>
      </c>
      <c r="J83" s="122">
        <v>5</v>
      </c>
      <c r="K83" s="205"/>
      <c r="L83" s="6" t="s">
        <v>16</v>
      </c>
      <c r="M83" s="122">
        <v>2</v>
      </c>
      <c r="N83" s="122">
        <v>5</v>
      </c>
      <c r="O83" s="122">
        <v>4</v>
      </c>
      <c r="P83" s="122">
        <v>5</v>
      </c>
      <c r="Q83" s="122">
        <v>4</v>
      </c>
      <c r="R83" s="122">
        <v>0</v>
      </c>
      <c r="S83" s="122">
        <v>0</v>
      </c>
      <c r="T83" s="125">
        <v>2</v>
      </c>
      <c r="U83" s="149">
        <f t="shared" si="10"/>
        <v>86</v>
      </c>
    </row>
    <row r="84" spans="1:40" ht="15">
      <c r="A84" s="204"/>
      <c r="B84" s="6" t="s">
        <v>17</v>
      </c>
      <c r="C84" s="122">
        <v>13</v>
      </c>
      <c r="D84" s="122">
        <v>9</v>
      </c>
      <c r="E84" s="122">
        <v>4</v>
      </c>
      <c r="F84" s="122">
        <v>8</v>
      </c>
      <c r="G84" s="122">
        <v>12</v>
      </c>
      <c r="H84" s="122">
        <v>5</v>
      </c>
      <c r="I84" s="122">
        <v>7</v>
      </c>
      <c r="J84" s="122">
        <v>12</v>
      </c>
      <c r="K84" s="205"/>
      <c r="L84" s="6" t="s">
        <v>17</v>
      </c>
      <c r="M84" s="122">
        <v>5</v>
      </c>
      <c r="N84" s="122">
        <v>2</v>
      </c>
      <c r="O84" s="122">
        <v>2</v>
      </c>
      <c r="P84" s="122">
        <v>2</v>
      </c>
      <c r="Q84" s="122">
        <v>6</v>
      </c>
      <c r="R84" s="122">
        <v>3</v>
      </c>
      <c r="S84" s="122">
        <v>3</v>
      </c>
      <c r="T84" s="125">
        <v>3</v>
      </c>
      <c r="U84" s="149">
        <f t="shared" si="10"/>
        <v>96</v>
      </c>
    </row>
    <row r="85" spans="1:40" ht="15">
      <c r="A85" s="204"/>
      <c r="B85" s="47" t="s">
        <v>18</v>
      </c>
      <c r="C85" s="123">
        <v>13</v>
      </c>
      <c r="D85" s="123">
        <v>6</v>
      </c>
      <c r="E85" s="123">
        <v>9</v>
      </c>
      <c r="F85" s="123">
        <v>7</v>
      </c>
      <c r="G85" s="123">
        <v>10</v>
      </c>
      <c r="H85" s="123">
        <v>7</v>
      </c>
      <c r="I85" s="123">
        <v>9</v>
      </c>
      <c r="J85" s="123">
        <v>7</v>
      </c>
      <c r="K85" s="205"/>
      <c r="L85" s="47" t="s">
        <v>18</v>
      </c>
      <c r="M85" s="123">
        <v>9</v>
      </c>
      <c r="N85" s="123">
        <v>3</v>
      </c>
      <c r="O85" s="123">
        <v>4</v>
      </c>
      <c r="P85" s="123">
        <v>4</v>
      </c>
      <c r="Q85" s="123">
        <v>17</v>
      </c>
      <c r="R85" s="123">
        <v>10</v>
      </c>
      <c r="S85" s="123">
        <v>13</v>
      </c>
      <c r="T85" s="126">
        <v>1</v>
      </c>
      <c r="U85" s="149">
        <f t="shared" si="10"/>
        <v>129</v>
      </c>
    </row>
    <row r="86" spans="1:40" ht="15">
      <c r="A86" s="195" t="s">
        <v>11</v>
      </c>
      <c r="B86" s="56" t="s">
        <v>13</v>
      </c>
      <c r="C86" s="127">
        <v>11</v>
      </c>
      <c r="D86" s="127">
        <v>17</v>
      </c>
      <c r="E86" s="127">
        <v>27</v>
      </c>
      <c r="F86" s="127">
        <v>30</v>
      </c>
      <c r="G86" s="127">
        <v>30</v>
      </c>
      <c r="H86" s="127">
        <v>26</v>
      </c>
      <c r="I86" s="127">
        <v>23</v>
      </c>
      <c r="J86" s="127">
        <v>14</v>
      </c>
      <c r="K86" s="196" t="s">
        <v>11</v>
      </c>
      <c r="L86" s="56" t="s">
        <v>13</v>
      </c>
      <c r="M86" s="127">
        <v>13</v>
      </c>
      <c r="N86" s="127">
        <v>11</v>
      </c>
      <c r="O86" s="127">
        <v>17</v>
      </c>
      <c r="P86" s="127">
        <v>13</v>
      </c>
      <c r="Q86" s="127">
        <v>18</v>
      </c>
      <c r="R86" s="127">
        <v>7</v>
      </c>
      <c r="S86" s="127">
        <v>7</v>
      </c>
      <c r="T86" s="130">
        <v>6</v>
      </c>
      <c r="U86" s="149">
        <f t="shared" si="10"/>
        <v>270</v>
      </c>
    </row>
    <row r="87" spans="1:40" ht="15">
      <c r="A87" s="204"/>
      <c r="B87" s="4" t="s">
        <v>14</v>
      </c>
      <c r="C87" s="128">
        <v>10</v>
      </c>
      <c r="D87" s="128">
        <v>8</v>
      </c>
      <c r="E87" s="128">
        <v>5</v>
      </c>
      <c r="F87" s="128">
        <v>13</v>
      </c>
      <c r="G87" s="128">
        <v>19</v>
      </c>
      <c r="H87" s="128">
        <v>17</v>
      </c>
      <c r="I87" s="128">
        <v>15</v>
      </c>
      <c r="J87" s="128">
        <v>10</v>
      </c>
      <c r="K87" s="205"/>
      <c r="L87" s="4" t="s">
        <v>14</v>
      </c>
      <c r="M87" s="128">
        <v>11</v>
      </c>
      <c r="N87" s="128">
        <v>9</v>
      </c>
      <c r="O87" s="128">
        <v>8</v>
      </c>
      <c r="P87" s="128">
        <v>8</v>
      </c>
      <c r="Q87" s="128">
        <v>9</v>
      </c>
      <c r="R87" s="128">
        <v>3</v>
      </c>
      <c r="S87" s="128">
        <v>6</v>
      </c>
      <c r="T87" s="131">
        <v>3</v>
      </c>
      <c r="U87" s="149">
        <f t="shared" si="10"/>
        <v>154</v>
      </c>
    </row>
    <row r="88" spans="1:40" ht="15">
      <c r="A88" s="204"/>
      <c r="B88" s="4" t="s">
        <v>15</v>
      </c>
      <c r="C88" s="128">
        <v>19</v>
      </c>
      <c r="D88" s="128">
        <v>16</v>
      </c>
      <c r="E88" s="128">
        <v>16</v>
      </c>
      <c r="F88" s="128">
        <v>12</v>
      </c>
      <c r="G88" s="128">
        <v>25</v>
      </c>
      <c r="H88" s="128">
        <v>23</v>
      </c>
      <c r="I88" s="128">
        <v>12</v>
      </c>
      <c r="J88" s="128">
        <v>14</v>
      </c>
      <c r="K88" s="205"/>
      <c r="L88" s="4" t="s">
        <v>15</v>
      </c>
      <c r="M88" s="128">
        <v>10</v>
      </c>
      <c r="N88" s="128">
        <v>15</v>
      </c>
      <c r="O88" s="128">
        <v>22</v>
      </c>
      <c r="P88" s="128">
        <v>25</v>
      </c>
      <c r="Q88" s="128">
        <v>19</v>
      </c>
      <c r="R88" s="128">
        <v>8</v>
      </c>
      <c r="S88" s="128">
        <v>12</v>
      </c>
      <c r="T88" s="131">
        <v>11</v>
      </c>
      <c r="U88" s="149">
        <f t="shared" si="10"/>
        <v>259</v>
      </c>
    </row>
    <row r="89" spans="1:40" ht="15">
      <c r="A89" s="204"/>
      <c r="B89" s="4" t="s">
        <v>16</v>
      </c>
      <c r="C89" s="128">
        <v>1</v>
      </c>
      <c r="D89" s="128">
        <v>5</v>
      </c>
      <c r="E89" s="128">
        <v>2</v>
      </c>
      <c r="F89" s="128">
        <v>4</v>
      </c>
      <c r="G89" s="128">
        <v>13</v>
      </c>
      <c r="H89" s="128">
        <v>9</v>
      </c>
      <c r="I89" s="128">
        <v>12</v>
      </c>
      <c r="J89" s="128">
        <v>4</v>
      </c>
      <c r="K89" s="205"/>
      <c r="L89" s="4" t="s">
        <v>16</v>
      </c>
      <c r="M89" s="128">
        <v>1</v>
      </c>
      <c r="N89" s="128">
        <v>9</v>
      </c>
      <c r="O89" s="128">
        <v>5</v>
      </c>
      <c r="P89" s="128">
        <v>0</v>
      </c>
      <c r="Q89" s="128">
        <v>3</v>
      </c>
      <c r="R89" s="128">
        <v>3</v>
      </c>
      <c r="S89" s="128">
        <v>1</v>
      </c>
      <c r="T89" s="131">
        <v>2</v>
      </c>
      <c r="U89" s="149">
        <f t="shared" si="10"/>
        <v>74</v>
      </c>
    </row>
    <row r="90" spans="1:40" ht="15">
      <c r="A90" s="204"/>
      <c r="B90" s="4" t="s">
        <v>17</v>
      </c>
      <c r="C90" s="128">
        <v>2</v>
      </c>
      <c r="D90" s="128">
        <v>4</v>
      </c>
      <c r="E90" s="128">
        <v>3</v>
      </c>
      <c r="F90" s="128">
        <v>12</v>
      </c>
      <c r="G90" s="128">
        <v>5</v>
      </c>
      <c r="H90" s="128">
        <v>11</v>
      </c>
      <c r="I90" s="128">
        <v>7</v>
      </c>
      <c r="J90" s="128">
        <v>7</v>
      </c>
      <c r="K90" s="205"/>
      <c r="L90" s="4" t="s">
        <v>17</v>
      </c>
      <c r="M90" s="128">
        <v>2</v>
      </c>
      <c r="N90" s="128">
        <v>2</v>
      </c>
      <c r="O90" s="128">
        <v>2</v>
      </c>
      <c r="P90" s="128">
        <v>9</v>
      </c>
      <c r="Q90" s="128">
        <v>8</v>
      </c>
      <c r="R90" s="128">
        <v>4</v>
      </c>
      <c r="S90" s="128">
        <v>2</v>
      </c>
      <c r="T90" s="131">
        <v>2</v>
      </c>
      <c r="U90" s="149">
        <f t="shared" si="10"/>
        <v>82</v>
      </c>
    </row>
    <row r="91" spans="1:40" ht="15">
      <c r="A91" s="206"/>
      <c r="B91" s="61" t="s">
        <v>18</v>
      </c>
      <c r="C91" s="129">
        <v>5</v>
      </c>
      <c r="D91" s="129">
        <v>7</v>
      </c>
      <c r="E91" s="129">
        <v>3</v>
      </c>
      <c r="F91" s="129">
        <v>7</v>
      </c>
      <c r="G91" s="129">
        <v>4</v>
      </c>
      <c r="H91" s="129">
        <v>14</v>
      </c>
      <c r="I91" s="129">
        <v>12</v>
      </c>
      <c r="J91" s="129">
        <v>2</v>
      </c>
      <c r="K91" s="207"/>
      <c r="L91" s="61" t="s">
        <v>18</v>
      </c>
      <c r="M91" s="129">
        <v>3</v>
      </c>
      <c r="N91" s="129">
        <v>3</v>
      </c>
      <c r="O91" s="129">
        <v>7</v>
      </c>
      <c r="P91" s="129">
        <v>7</v>
      </c>
      <c r="Q91" s="129">
        <v>8</v>
      </c>
      <c r="R91" s="129">
        <v>2</v>
      </c>
      <c r="S91" s="129">
        <v>1</v>
      </c>
      <c r="T91" s="132">
        <v>3</v>
      </c>
      <c r="U91" s="149">
        <f>SUM(M91:T91,C91:J91)</f>
        <v>88</v>
      </c>
    </row>
    <row r="93" spans="1:40" ht="15.75">
      <c r="A93" s="1"/>
      <c r="B93" s="1"/>
      <c r="C93" s="183" t="s">
        <v>0</v>
      </c>
      <c r="D93" s="208"/>
      <c r="E93" s="208"/>
      <c r="F93" s="208"/>
      <c r="G93" s="209"/>
      <c r="H93" s="1"/>
      <c r="I93" s="1"/>
    </row>
    <row r="94" spans="1:40" ht="15.75">
      <c r="A94" s="1"/>
      <c r="B94" s="183" t="s">
        <v>1</v>
      </c>
      <c r="C94" s="208"/>
      <c r="D94" s="209"/>
      <c r="E94" s="1"/>
      <c r="F94" s="183" t="s">
        <v>76</v>
      </c>
      <c r="G94" s="208"/>
      <c r="H94" s="209"/>
      <c r="I94" s="1"/>
      <c r="K94" s="1"/>
      <c r="L94" s="183" t="s">
        <v>26</v>
      </c>
      <c r="M94" s="208"/>
      <c r="N94" s="209"/>
      <c r="O94" s="1"/>
      <c r="P94" s="183" t="s">
        <v>76</v>
      </c>
      <c r="Q94" s="208"/>
      <c r="R94" s="209"/>
      <c r="S94" s="1"/>
    </row>
    <row r="95" spans="1:40" ht="15.75">
      <c r="A95" s="54" t="s">
        <v>35</v>
      </c>
      <c r="B95" s="54" t="s">
        <v>4</v>
      </c>
      <c r="C95" s="54" t="s">
        <v>12</v>
      </c>
      <c r="D95" s="54" t="s">
        <v>19</v>
      </c>
      <c r="E95" s="54" t="s">
        <v>20</v>
      </c>
      <c r="F95" s="54" t="s">
        <v>21</v>
      </c>
      <c r="G95" s="54" t="s">
        <v>22</v>
      </c>
      <c r="H95" s="54" t="s">
        <v>23</v>
      </c>
      <c r="I95" s="54" t="s">
        <v>24</v>
      </c>
      <c r="J95" s="54" t="s">
        <v>25</v>
      </c>
      <c r="K95" s="54" t="s">
        <v>35</v>
      </c>
      <c r="L95" s="54" t="s">
        <v>4</v>
      </c>
      <c r="M95" s="54" t="s">
        <v>27</v>
      </c>
      <c r="N95" s="54" t="s">
        <v>28</v>
      </c>
      <c r="O95" s="54" t="s">
        <v>29</v>
      </c>
      <c r="P95" s="54" t="s">
        <v>30</v>
      </c>
      <c r="Q95" s="54" t="s">
        <v>31</v>
      </c>
      <c r="R95" s="54" t="s">
        <v>32</v>
      </c>
      <c r="S95" s="54" t="s">
        <v>33</v>
      </c>
      <c r="T95" s="54" t="s">
        <v>34</v>
      </c>
      <c r="U95" s="54" t="s">
        <v>55</v>
      </c>
    </row>
    <row r="96" spans="1:40" ht="15.75">
      <c r="A96" s="195" t="s">
        <v>5</v>
      </c>
      <c r="B96" s="56" t="s">
        <v>13</v>
      </c>
      <c r="C96" s="57"/>
      <c r="D96" s="57"/>
      <c r="E96" s="56">
        <v>12</v>
      </c>
      <c r="F96" s="56">
        <v>19</v>
      </c>
      <c r="G96" s="56">
        <v>18</v>
      </c>
      <c r="H96" s="56">
        <v>30</v>
      </c>
      <c r="I96" s="56">
        <v>19</v>
      </c>
      <c r="J96" s="56">
        <v>22</v>
      </c>
      <c r="K96" s="196" t="s">
        <v>5</v>
      </c>
      <c r="L96" s="56" t="s">
        <v>13</v>
      </c>
      <c r="M96" s="56">
        <v>10</v>
      </c>
      <c r="N96" s="56">
        <v>13</v>
      </c>
      <c r="O96" s="56">
        <v>17</v>
      </c>
      <c r="P96" s="56">
        <v>22</v>
      </c>
      <c r="Q96" s="56">
        <v>12</v>
      </c>
      <c r="R96" s="57"/>
      <c r="S96" s="57"/>
      <c r="T96" s="58"/>
      <c r="U96" s="134">
        <f>SUM(M96:T96,C96:J96)</f>
        <v>194</v>
      </c>
      <c r="W96" s="210" t="s">
        <v>77</v>
      </c>
      <c r="X96" s="211"/>
      <c r="AG96" s="190" t="s">
        <v>58</v>
      </c>
      <c r="AH96" s="191"/>
      <c r="AI96" s="191"/>
      <c r="AJ96" s="191"/>
      <c r="AK96" s="191"/>
      <c r="AL96" s="191"/>
      <c r="AM96" s="191"/>
      <c r="AN96" s="192"/>
    </row>
    <row r="97" spans="1:40" ht="15">
      <c r="A97" s="204"/>
      <c r="B97" s="4" t="s">
        <v>14</v>
      </c>
      <c r="C97" s="5"/>
      <c r="D97" s="5"/>
      <c r="E97" s="4">
        <v>7</v>
      </c>
      <c r="F97" s="4">
        <v>6</v>
      </c>
      <c r="G97" s="4">
        <v>3</v>
      </c>
      <c r="H97" s="4">
        <v>15</v>
      </c>
      <c r="I97" s="4">
        <v>6</v>
      </c>
      <c r="J97" s="4">
        <v>7</v>
      </c>
      <c r="K97" s="205"/>
      <c r="L97" s="4" t="s">
        <v>14</v>
      </c>
      <c r="M97" s="4">
        <v>5</v>
      </c>
      <c r="N97" s="4">
        <v>3</v>
      </c>
      <c r="O97" s="4">
        <v>5</v>
      </c>
      <c r="P97" s="4">
        <v>10</v>
      </c>
      <c r="Q97" s="4">
        <v>3</v>
      </c>
      <c r="R97" s="5"/>
      <c r="S97" s="5"/>
      <c r="T97" s="49"/>
      <c r="U97" s="136">
        <f>SUM(M97:Q97,E97:J97)</f>
        <v>70</v>
      </c>
      <c r="W97" s="137" t="s">
        <v>5</v>
      </c>
      <c r="X97" s="109">
        <f>SUM(U96:U101)</f>
        <v>704</v>
      </c>
      <c r="AG97" s="138" t="s">
        <v>4</v>
      </c>
      <c r="AH97" s="138" t="s">
        <v>5</v>
      </c>
      <c r="AI97" s="138" t="s">
        <v>6</v>
      </c>
      <c r="AJ97" s="138" t="s">
        <v>7</v>
      </c>
      <c r="AK97" s="138" t="s">
        <v>8</v>
      </c>
      <c r="AL97" s="138" t="s">
        <v>9</v>
      </c>
      <c r="AM97" s="138" t="s">
        <v>10</v>
      </c>
      <c r="AN97" s="138" t="s">
        <v>11</v>
      </c>
    </row>
    <row r="98" spans="1:40" ht="15">
      <c r="A98" s="204"/>
      <c r="B98" s="4" t="s">
        <v>15</v>
      </c>
      <c r="C98" s="5"/>
      <c r="D98" s="5"/>
      <c r="E98" s="4">
        <v>8</v>
      </c>
      <c r="F98" s="4">
        <v>18</v>
      </c>
      <c r="G98" s="4">
        <v>26</v>
      </c>
      <c r="H98" s="4">
        <v>27</v>
      </c>
      <c r="I98" s="4">
        <v>28</v>
      </c>
      <c r="J98" s="4">
        <v>26</v>
      </c>
      <c r="K98" s="205"/>
      <c r="L98" s="4" t="s">
        <v>15</v>
      </c>
      <c r="M98" s="4">
        <v>21</v>
      </c>
      <c r="N98" s="4">
        <v>16</v>
      </c>
      <c r="O98" s="4">
        <v>25</v>
      </c>
      <c r="P98" s="4">
        <v>21</v>
      </c>
      <c r="Q98" s="4">
        <v>25</v>
      </c>
      <c r="R98" s="5"/>
      <c r="S98" s="5"/>
      <c r="T98" s="49"/>
      <c r="U98" s="136">
        <f t="shared" ref="U98:U119" si="18">SUM(M98:Q98,E98:J98)</f>
        <v>241</v>
      </c>
      <c r="W98" s="137" t="s">
        <v>6</v>
      </c>
      <c r="X98" s="109">
        <f>SUM(U102:U107)</f>
        <v>590</v>
      </c>
      <c r="AG98" s="140" t="s">
        <v>13</v>
      </c>
      <c r="AH98" s="140">
        <f t="shared" ref="AH98:AH103" si="19">U96</f>
        <v>194</v>
      </c>
      <c r="AI98" s="140">
        <f t="shared" ref="AI98:AI103" si="20">U102</f>
        <v>202</v>
      </c>
      <c r="AJ98" s="140">
        <f t="shared" ref="AJ98:AJ103" si="21">U108</f>
        <v>277</v>
      </c>
      <c r="AK98" s="140">
        <f t="shared" ref="AK98:AK103" si="22">U114</f>
        <v>252</v>
      </c>
      <c r="AL98" s="140">
        <f t="shared" ref="AL98:AL103" si="23">U120</f>
        <v>279</v>
      </c>
      <c r="AM98" s="140">
        <f t="shared" ref="AM98:AM103" si="24">U126</f>
        <v>285</v>
      </c>
      <c r="AN98" s="140">
        <f t="shared" ref="AN98:AN103" si="25">U132</f>
        <v>279</v>
      </c>
    </row>
    <row r="99" spans="1:40" ht="15">
      <c r="A99" s="204"/>
      <c r="B99" s="4" t="s">
        <v>16</v>
      </c>
      <c r="C99" s="5"/>
      <c r="D99" s="5"/>
      <c r="E99" s="4">
        <v>2</v>
      </c>
      <c r="F99" s="4">
        <v>2</v>
      </c>
      <c r="G99" s="4">
        <v>4</v>
      </c>
      <c r="H99" s="4">
        <v>7</v>
      </c>
      <c r="I99" s="4">
        <v>6</v>
      </c>
      <c r="J99" s="4">
        <v>10</v>
      </c>
      <c r="K99" s="205"/>
      <c r="L99" s="4" t="s">
        <v>16</v>
      </c>
      <c r="M99" s="4">
        <v>4</v>
      </c>
      <c r="N99" s="4">
        <v>9</v>
      </c>
      <c r="O99" s="4">
        <v>6</v>
      </c>
      <c r="P99" s="4">
        <v>4</v>
      </c>
      <c r="Q99" s="4">
        <v>5</v>
      </c>
      <c r="R99" s="5"/>
      <c r="S99" s="5"/>
      <c r="T99" s="49"/>
      <c r="U99" s="136">
        <f t="shared" si="18"/>
        <v>59</v>
      </c>
      <c r="W99" s="137" t="s">
        <v>7</v>
      </c>
      <c r="X99" s="109">
        <f>SUM(U108:U113)</f>
        <v>939</v>
      </c>
      <c r="AG99" s="142" t="s">
        <v>14</v>
      </c>
      <c r="AH99" s="142">
        <f t="shared" si="19"/>
        <v>70</v>
      </c>
      <c r="AI99" s="142">
        <f t="shared" si="20"/>
        <v>58</v>
      </c>
      <c r="AJ99" s="142">
        <f t="shared" si="21"/>
        <v>131</v>
      </c>
      <c r="AK99" s="142">
        <f t="shared" si="22"/>
        <v>115</v>
      </c>
      <c r="AL99" s="142">
        <f t="shared" si="23"/>
        <v>157</v>
      </c>
      <c r="AM99" s="142">
        <f t="shared" si="24"/>
        <v>132</v>
      </c>
      <c r="AN99" s="142">
        <f t="shared" si="25"/>
        <v>157</v>
      </c>
    </row>
    <row r="100" spans="1:40" ht="15">
      <c r="A100" s="204"/>
      <c r="B100" s="4" t="s">
        <v>17</v>
      </c>
      <c r="C100" s="5"/>
      <c r="D100" s="5"/>
      <c r="E100" s="4">
        <v>3</v>
      </c>
      <c r="F100" s="4">
        <v>3</v>
      </c>
      <c r="G100" s="4">
        <v>11</v>
      </c>
      <c r="H100" s="4">
        <v>15</v>
      </c>
      <c r="I100" s="4">
        <v>7</v>
      </c>
      <c r="J100" s="4">
        <v>3</v>
      </c>
      <c r="K100" s="205"/>
      <c r="L100" s="4" t="s">
        <v>17</v>
      </c>
      <c r="M100" s="4">
        <v>3</v>
      </c>
      <c r="N100" s="4">
        <v>0</v>
      </c>
      <c r="O100" s="4">
        <v>5</v>
      </c>
      <c r="P100" s="4">
        <v>8</v>
      </c>
      <c r="Q100" s="4">
        <v>3</v>
      </c>
      <c r="R100" s="5"/>
      <c r="S100" s="5"/>
      <c r="T100" s="49"/>
      <c r="U100" s="136">
        <f t="shared" si="18"/>
        <v>61</v>
      </c>
      <c r="W100" s="137" t="s">
        <v>61</v>
      </c>
      <c r="X100" s="109">
        <f>SUM(U114:U119)</f>
        <v>860</v>
      </c>
      <c r="AG100" s="140" t="s">
        <v>15</v>
      </c>
      <c r="AH100" s="140">
        <f t="shared" si="19"/>
        <v>241</v>
      </c>
      <c r="AI100" s="140">
        <f t="shared" si="20"/>
        <v>169</v>
      </c>
      <c r="AJ100" s="140">
        <f t="shared" si="21"/>
        <v>271</v>
      </c>
      <c r="AK100" s="140">
        <f t="shared" si="22"/>
        <v>253</v>
      </c>
      <c r="AL100" s="140">
        <f t="shared" si="23"/>
        <v>216</v>
      </c>
      <c r="AM100" s="140">
        <f t="shared" si="24"/>
        <v>277</v>
      </c>
      <c r="AN100" s="140">
        <f t="shared" si="25"/>
        <v>216</v>
      </c>
    </row>
    <row r="101" spans="1:40" ht="15">
      <c r="A101" s="204"/>
      <c r="B101" s="46" t="s">
        <v>18</v>
      </c>
      <c r="C101" s="64"/>
      <c r="D101" s="64"/>
      <c r="E101" s="46">
        <v>10</v>
      </c>
      <c r="F101" s="46">
        <v>3</v>
      </c>
      <c r="G101" s="46">
        <v>9</v>
      </c>
      <c r="H101" s="46">
        <v>13</v>
      </c>
      <c r="I101" s="46">
        <v>13</v>
      </c>
      <c r="J101" s="46" t="s">
        <v>78</v>
      </c>
      <c r="K101" s="205"/>
      <c r="L101" s="46" t="s">
        <v>18</v>
      </c>
      <c r="M101" s="46">
        <v>7</v>
      </c>
      <c r="N101" s="46">
        <v>7</v>
      </c>
      <c r="O101" s="46">
        <v>8</v>
      </c>
      <c r="P101" s="46">
        <v>5</v>
      </c>
      <c r="Q101" s="46">
        <v>4</v>
      </c>
      <c r="R101" s="64"/>
      <c r="S101" s="64"/>
      <c r="T101" s="65"/>
      <c r="U101" s="143">
        <f t="shared" si="18"/>
        <v>79</v>
      </c>
      <c r="W101" s="137" t="s">
        <v>9</v>
      </c>
      <c r="X101" s="109">
        <f>SUM(U120:U125)</f>
        <v>904</v>
      </c>
      <c r="AG101" s="142" t="s">
        <v>16</v>
      </c>
      <c r="AH101" s="142">
        <f t="shared" si="19"/>
        <v>59</v>
      </c>
      <c r="AI101" s="142">
        <f t="shared" si="20"/>
        <v>44</v>
      </c>
      <c r="AJ101" s="142">
        <f t="shared" si="21"/>
        <v>85</v>
      </c>
      <c r="AK101" s="142">
        <f t="shared" si="22"/>
        <v>77</v>
      </c>
      <c r="AL101" s="142">
        <f t="shared" si="23"/>
        <v>92</v>
      </c>
      <c r="AM101" s="142">
        <f t="shared" si="24"/>
        <v>106</v>
      </c>
      <c r="AN101" s="142">
        <f t="shared" si="25"/>
        <v>92</v>
      </c>
    </row>
    <row r="102" spans="1:40" ht="15">
      <c r="A102" s="193" t="s">
        <v>6</v>
      </c>
      <c r="B102" s="63" t="s">
        <v>13</v>
      </c>
      <c r="C102" s="57"/>
      <c r="D102" s="57"/>
      <c r="E102" s="57"/>
      <c r="F102" s="63">
        <v>15</v>
      </c>
      <c r="G102" s="63">
        <v>18</v>
      </c>
      <c r="H102" s="63">
        <v>31</v>
      </c>
      <c r="I102" s="63">
        <v>34</v>
      </c>
      <c r="J102" s="63">
        <v>24</v>
      </c>
      <c r="K102" s="194" t="s">
        <v>6</v>
      </c>
      <c r="L102" s="63" t="s">
        <v>13</v>
      </c>
      <c r="M102" s="63">
        <v>23</v>
      </c>
      <c r="N102" s="63">
        <v>16</v>
      </c>
      <c r="O102" s="63">
        <v>27</v>
      </c>
      <c r="P102" s="63">
        <v>14</v>
      </c>
      <c r="Q102" s="57"/>
      <c r="R102" s="57"/>
      <c r="S102" s="57"/>
      <c r="T102" s="58"/>
      <c r="U102" s="134">
        <f t="shared" si="18"/>
        <v>202</v>
      </c>
      <c r="W102" s="137" t="s">
        <v>10</v>
      </c>
      <c r="X102" s="109">
        <f>SUM(U126:U131)</f>
        <v>999</v>
      </c>
      <c r="AG102" s="140" t="s">
        <v>17</v>
      </c>
      <c r="AH102" s="140">
        <f t="shared" si="19"/>
        <v>61</v>
      </c>
      <c r="AI102" s="140">
        <f t="shared" si="20"/>
        <v>52</v>
      </c>
      <c r="AJ102" s="140">
        <f t="shared" si="21"/>
        <v>78</v>
      </c>
      <c r="AK102" s="140">
        <f t="shared" si="22"/>
        <v>84</v>
      </c>
      <c r="AL102" s="140">
        <f t="shared" si="23"/>
        <v>81</v>
      </c>
      <c r="AM102" s="140">
        <f t="shared" si="24"/>
        <v>96</v>
      </c>
      <c r="AN102" s="140">
        <f t="shared" si="25"/>
        <v>81</v>
      </c>
    </row>
    <row r="103" spans="1:40" ht="15">
      <c r="A103" s="204"/>
      <c r="B103" s="6" t="s">
        <v>14</v>
      </c>
      <c r="C103" s="5"/>
      <c r="D103" s="5"/>
      <c r="E103" s="5"/>
      <c r="F103" s="6">
        <v>4</v>
      </c>
      <c r="G103" s="6">
        <v>3</v>
      </c>
      <c r="H103" s="6">
        <v>7</v>
      </c>
      <c r="I103" s="6">
        <v>10</v>
      </c>
      <c r="J103" s="6">
        <v>10</v>
      </c>
      <c r="K103" s="205"/>
      <c r="L103" s="6" t="s">
        <v>14</v>
      </c>
      <c r="M103" s="6">
        <v>8</v>
      </c>
      <c r="N103" s="6">
        <v>5</v>
      </c>
      <c r="O103" s="6">
        <v>5</v>
      </c>
      <c r="P103" s="6">
        <v>6</v>
      </c>
      <c r="Q103" s="5"/>
      <c r="R103" s="5"/>
      <c r="S103" s="5"/>
      <c r="T103" s="49"/>
      <c r="U103" s="136">
        <f t="shared" si="18"/>
        <v>58</v>
      </c>
      <c r="W103" s="144" t="s">
        <v>11</v>
      </c>
      <c r="X103" s="145">
        <f>SUM(U132:U137)</f>
        <v>904</v>
      </c>
      <c r="AG103" s="142" t="s">
        <v>18</v>
      </c>
      <c r="AH103" s="142">
        <f t="shared" si="19"/>
        <v>79</v>
      </c>
      <c r="AI103" s="142">
        <f t="shared" si="20"/>
        <v>65</v>
      </c>
      <c r="AJ103" s="142">
        <f t="shared" si="21"/>
        <v>97</v>
      </c>
      <c r="AK103" s="142">
        <f t="shared" si="22"/>
        <v>79</v>
      </c>
      <c r="AL103" s="142">
        <f t="shared" si="23"/>
        <v>79</v>
      </c>
      <c r="AM103" s="142">
        <f t="shared" si="24"/>
        <v>103</v>
      </c>
      <c r="AN103" s="142">
        <f t="shared" si="25"/>
        <v>79</v>
      </c>
    </row>
    <row r="104" spans="1:40" ht="15">
      <c r="A104" s="204"/>
      <c r="B104" s="6" t="s">
        <v>15</v>
      </c>
      <c r="C104" s="5"/>
      <c r="D104" s="5"/>
      <c r="E104" s="5"/>
      <c r="F104" s="6">
        <v>19</v>
      </c>
      <c r="G104" s="6">
        <v>26</v>
      </c>
      <c r="H104" s="6">
        <v>18</v>
      </c>
      <c r="I104" s="6">
        <v>18</v>
      </c>
      <c r="J104" s="6">
        <v>22</v>
      </c>
      <c r="K104" s="205"/>
      <c r="L104" s="6" t="s">
        <v>15</v>
      </c>
      <c r="M104" s="6">
        <v>18</v>
      </c>
      <c r="N104" s="6">
        <v>12</v>
      </c>
      <c r="O104" s="6">
        <v>11</v>
      </c>
      <c r="P104" s="6">
        <v>25</v>
      </c>
      <c r="Q104" s="5"/>
      <c r="R104" s="5"/>
      <c r="S104" s="5"/>
      <c r="T104" s="49"/>
      <c r="U104" s="136">
        <f t="shared" si="18"/>
        <v>169</v>
      </c>
      <c r="W104" s="140" t="s">
        <v>63</v>
      </c>
      <c r="X104" s="146">
        <f>SUM(X97:X103)</f>
        <v>5900</v>
      </c>
    </row>
    <row r="105" spans="1:40" ht="15">
      <c r="A105" s="204"/>
      <c r="B105" s="6" t="s">
        <v>16</v>
      </c>
      <c r="C105" s="5"/>
      <c r="D105" s="5"/>
      <c r="E105" s="5"/>
      <c r="F105" s="6">
        <v>4</v>
      </c>
      <c r="G105" s="6">
        <v>4</v>
      </c>
      <c r="H105" s="6">
        <v>8</v>
      </c>
      <c r="I105" s="6">
        <v>8</v>
      </c>
      <c r="J105" s="6">
        <v>3</v>
      </c>
      <c r="K105" s="205"/>
      <c r="L105" s="6" t="s">
        <v>16</v>
      </c>
      <c r="M105" s="6">
        <v>8</v>
      </c>
      <c r="N105" s="6">
        <v>2</v>
      </c>
      <c r="O105" s="6">
        <v>4</v>
      </c>
      <c r="P105" s="6">
        <v>3</v>
      </c>
      <c r="Q105" s="5"/>
      <c r="R105" s="5"/>
      <c r="S105" s="5"/>
      <c r="T105" s="49"/>
      <c r="U105" s="136">
        <f t="shared" si="18"/>
        <v>44</v>
      </c>
    </row>
    <row r="106" spans="1:40" ht="15">
      <c r="A106" s="204"/>
      <c r="B106" s="6" t="s">
        <v>17</v>
      </c>
      <c r="C106" s="5"/>
      <c r="D106" s="5"/>
      <c r="E106" s="5"/>
      <c r="F106" s="6">
        <v>3</v>
      </c>
      <c r="G106" s="6">
        <v>11</v>
      </c>
      <c r="H106" s="6">
        <v>7</v>
      </c>
      <c r="I106" s="6">
        <v>7</v>
      </c>
      <c r="J106" s="6">
        <v>3</v>
      </c>
      <c r="K106" s="205"/>
      <c r="L106" s="6" t="s">
        <v>17</v>
      </c>
      <c r="M106" s="6">
        <v>4</v>
      </c>
      <c r="N106" s="6">
        <v>5</v>
      </c>
      <c r="O106" s="6">
        <v>9</v>
      </c>
      <c r="P106" s="6">
        <v>3</v>
      </c>
      <c r="Q106" s="5"/>
      <c r="R106" s="5"/>
      <c r="S106" s="5"/>
      <c r="T106" s="49"/>
      <c r="U106" s="136">
        <f t="shared" si="18"/>
        <v>52</v>
      </c>
    </row>
    <row r="107" spans="1:40" ht="15">
      <c r="A107" s="204"/>
      <c r="B107" s="47" t="s">
        <v>18</v>
      </c>
      <c r="C107" s="64"/>
      <c r="D107" s="64"/>
      <c r="E107" s="64"/>
      <c r="F107" s="47">
        <v>2</v>
      </c>
      <c r="G107" s="47">
        <v>9</v>
      </c>
      <c r="H107" s="47">
        <v>5</v>
      </c>
      <c r="I107" s="47">
        <v>5</v>
      </c>
      <c r="J107" s="47">
        <v>5</v>
      </c>
      <c r="K107" s="205"/>
      <c r="L107" s="47" t="s">
        <v>18</v>
      </c>
      <c r="M107" s="47">
        <v>5</v>
      </c>
      <c r="N107" s="47">
        <v>9</v>
      </c>
      <c r="O107" s="47">
        <v>20</v>
      </c>
      <c r="P107" s="47">
        <v>5</v>
      </c>
      <c r="Q107" s="64"/>
      <c r="R107" s="64"/>
      <c r="S107" s="64"/>
      <c r="T107" s="65"/>
      <c r="U107" s="143">
        <f t="shared" si="18"/>
        <v>65</v>
      </c>
    </row>
    <row r="108" spans="1:40" ht="15">
      <c r="A108" s="195" t="s">
        <v>7</v>
      </c>
      <c r="B108" s="56" t="s">
        <v>13</v>
      </c>
      <c r="C108" s="56">
        <v>14</v>
      </c>
      <c r="D108" s="56">
        <v>24</v>
      </c>
      <c r="E108" s="56">
        <v>27</v>
      </c>
      <c r="F108" s="56">
        <v>31</v>
      </c>
      <c r="G108" s="56">
        <v>30</v>
      </c>
      <c r="H108" s="56">
        <v>31</v>
      </c>
      <c r="I108" s="56">
        <v>27</v>
      </c>
      <c r="J108" s="56">
        <v>2</v>
      </c>
      <c r="K108" s="196" t="s">
        <v>7</v>
      </c>
      <c r="L108" s="56" t="s">
        <v>13</v>
      </c>
      <c r="M108" s="56">
        <v>24</v>
      </c>
      <c r="N108" s="56">
        <v>21</v>
      </c>
      <c r="O108" s="56">
        <v>20</v>
      </c>
      <c r="P108" s="56">
        <v>25</v>
      </c>
      <c r="Q108" s="56">
        <v>39</v>
      </c>
      <c r="R108" s="56">
        <v>42</v>
      </c>
      <c r="S108" s="56">
        <v>23</v>
      </c>
      <c r="T108" s="67">
        <v>14</v>
      </c>
      <c r="U108" s="134">
        <f t="shared" si="18"/>
        <v>277</v>
      </c>
    </row>
    <row r="109" spans="1:40" ht="15">
      <c r="A109" s="204"/>
      <c r="B109" s="4" t="s">
        <v>14</v>
      </c>
      <c r="C109" s="4">
        <v>4</v>
      </c>
      <c r="D109" s="4">
        <v>5</v>
      </c>
      <c r="E109" s="4">
        <v>12</v>
      </c>
      <c r="F109" s="4">
        <v>12</v>
      </c>
      <c r="G109" s="4">
        <v>12</v>
      </c>
      <c r="H109" s="4">
        <v>12</v>
      </c>
      <c r="I109" s="4">
        <v>11</v>
      </c>
      <c r="J109" s="4">
        <v>14</v>
      </c>
      <c r="K109" s="205"/>
      <c r="L109" s="4" t="s">
        <v>14</v>
      </c>
      <c r="M109" s="4">
        <v>13</v>
      </c>
      <c r="N109" s="4">
        <v>13</v>
      </c>
      <c r="O109" s="4">
        <v>12</v>
      </c>
      <c r="P109" s="4">
        <v>12</v>
      </c>
      <c r="Q109" s="4">
        <v>8</v>
      </c>
      <c r="R109" s="4">
        <v>6</v>
      </c>
      <c r="S109" s="4">
        <v>6</v>
      </c>
      <c r="T109" s="50">
        <v>8</v>
      </c>
      <c r="U109" s="136">
        <f t="shared" si="18"/>
        <v>131</v>
      </c>
    </row>
    <row r="110" spans="1:40" ht="15">
      <c r="A110" s="204"/>
      <c r="B110" s="4" t="s">
        <v>15</v>
      </c>
      <c r="C110" s="4">
        <v>8</v>
      </c>
      <c r="D110" s="4">
        <v>17</v>
      </c>
      <c r="E110" s="4">
        <v>23</v>
      </c>
      <c r="F110" s="4">
        <v>18</v>
      </c>
      <c r="G110" s="4">
        <v>12</v>
      </c>
      <c r="H110" s="4">
        <v>29</v>
      </c>
      <c r="I110" s="4">
        <v>28</v>
      </c>
      <c r="J110" s="4">
        <v>23</v>
      </c>
      <c r="K110" s="205"/>
      <c r="L110" s="4" t="s">
        <v>15</v>
      </c>
      <c r="M110" s="4">
        <v>25</v>
      </c>
      <c r="N110" s="4">
        <v>25</v>
      </c>
      <c r="O110" s="4">
        <v>27</v>
      </c>
      <c r="P110" s="4">
        <v>25</v>
      </c>
      <c r="Q110" s="4">
        <v>36</v>
      </c>
      <c r="R110" s="4">
        <v>31</v>
      </c>
      <c r="S110" s="4">
        <v>28</v>
      </c>
      <c r="T110" s="50">
        <v>19</v>
      </c>
      <c r="U110" s="136">
        <f t="shared" si="18"/>
        <v>271</v>
      </c>
    </row>
    <row r="111" spans="1:40" ht="15">
      <c r="A111" s="204"/>
      <c r="B111" s="4" t="s">
        <v>16</v>
      </c>
      <c r="C111" s="4">
        <v>1</v>
      </c>
      <c r="D111" s="4">
        <v>3</v>
      </c>
      <c r="E111" s="4">
        <v>5</v>
      </c>
      <c r="F111" s="4">
        <v>6</v>
      </c>
      <c r="G111" s="4">
        <v>10</v>
      </c>
      <c r="H111" s="4">
        <v>14</v>
      </c>
      <c r="I111" s="4">
        <v>10</v>
      </c>
      <c r="J111" s="4">
        <v>5</v>
      </c>
      <c r="K111" s="205"/>
      <c r="L111" s="4" t="s">
        <v>16</v>
      </c>
      <c r="M111" s="4">
        <v>6</v>
      </c>
      <c r="N111" s="4">
        <v>6</v>
      </c>
      <c r="O111" s="4">
        <v>7</v>
      </c>
      <c r="P111" s="4">
        <v>10</v>
      </c>
      <c r="Q111" s="4">
        <v>6</v>
      </c>
      <c r="R111" s="4">
        <v>4</v>
      </c>
      <c r="S111" s="4">
        <v>5</v>
      </c>
      <c r="T111" s="50">
        <v>5</v>
      </c>
      <c r="U111" s="136">
        <f t="shared" si="18"/>
        <v>85</v>
      </c>
    </row>
    <row r="112" spans="1:40" ht="15">
      <c r="A112" s="204"/>
      <c r="B112" s="4" t="s">
        <v>17</v>
      </c>
      <c r="C112" s="4">
        <v>2</v>
      </c>
      <c r="D112" s="4">
        <v>4</v>
      </c>
      <c r="E112" s="4">
        <v>3</v>
      </c>
      <c r="F112" s="4">
        <v>3</v>
      </c>
      <c r="G112" s="4">
        <v>10</v>
      </c>
      <c r="H112" s="4">
        <v>15</v>
      </c>
      <c r="I112" s="4">
        <v>5</v>
      </c>
      <c r="J112" s="4">
        <v>3</v>
      </c>
      <c r="K112" s="205"/>
      <c r="L112" s="4" t="s">
        <v>17</v>
      </c>
      <c r="M112" s="4">
        <v>3</v>
      </c>
      <c r="N112" s="4">
        <v>5</v>
      </c>
      <c r="O112" s="4">
        <v>5</v>
      </c>
      <c r="P112" s="4">
        <v>9</v>
      </c>
      <c r="Q112" s="4">
        <v>17</v>
      </c>
      <c r="R112" s="4">
        <v>9</v>
      </c>
      <c r="S112" s="4">
        <v>5</v>
      </c>
      <c r="T112" s="50">
        <v>6</v>
      </c>
      <c r="U112" s="136">
        <f t="shared" si="18"/>
        <v>78</v>
      </c>
    </row>
    <row r="113" spans="1:21" ht="15">
      <c r="A113" s="204"/>
      <c r="B113" s="46" t="s">
        <v>18</v>
      </c>
      <c r="C113" s="46">
        <v>9</v>
      </c>
      <c r="D113" s="46">
        <v>4</v>
      </c>
      <c r="E113" s="46">
        <v>10</v>
      </c>
      <c r="F113" s="46">
        <v>7</v>
      </c>
      <c r="G113" s="46">
        <v>12</v>
      </c>
      <c r="H113" s="46">
        <v>14</v>
      </c>
      <c r="I113" s="46">
        <v>9</v>
      </c>
      <c r="J113" s="46">
        <v>13</v>
      </c>
      <c r="K113" s="205"/>
      <c r="L113" s="46" t="s">
        <v>18</v>
      </c>
      <c r="M113" s="46">
        <v>4</v>
      </c>
      <c r="N113" s="46">
        <v>5</v>
      </c>
      <c r="O113" s="46">
        <v>4</v>
      </c>
      <c r="P113" s="46">
        <v>10</v>
      </c>
      <c r="Q113" s="46">
        <v>9</v>
      </c>
      <c r="R113" s="46">
        <v>12</v>
      </c>
      <c r="S113" s="46">
        <v>5</v>
      </c>
      <c r="T113" s="69">
        <v>8</v>
      </c>
      <c r="U113" s="143">
        <f t="shared" si="18"/>
        <v>97</v>
      </c>
    </row>
    <row r="114" spans="1:21" ht="15">
      <c r="A114" s="193" t="s">
        <v>8</v>
      </c>
      <c r="B114" s="63" t="s">
        <v>13</v>
      </c>
      <c r="C114" s="63">
        <v>27</v>
      </c>
      <c r="D114" s="63">
        <v>18</v>
      </c>
      <c r="E114" s="63">
        <v>22</v>
      </c>
      <c r="F114" s="63">
        <v>29</v>
      </c>
      <c r="G114" s="63">
        <v>38</v>
      </c>
      <c r="H114" s="63">
        <v>21</v>
      </c>
      <c r="I114" s="63">
        <v>24</v>
      </c>
      <c r="J114" s="63">
        <v>22</v>
      </c>
      <c r="K114" s="194" t="s">
        <v>8</v>
      </c>
      <c r="L114" s="63" t="s">
        <v>13</v>
      </c>
      <c r="M114" s="63">
        <v>17</v>
      </c>
      <c r="N114" s="63">
        <v>11</v>
      </c>
      <c r="O114" s="63">
        <v>14</v>
      </c>
      <c r="P114" s="63">
        <v>28</v>
      </c>
      <c r="Q114" s="63">
        <v>26</v>
      </c>
      <c r="R114" s="63">
        <v>23</v>
      </c>
      <c r="S114" s="63">
        <v>23</v>
      </c>
      <c r="T114" s="68">
        <v>19</v>
      </c>
      <c r="U114" s="134">
        <f t="shared" si="18"/>
        <v>252</v>
      </c>
    </row>
    <row r="115" spans="1:21" ht="15">
      <c r="A115" s="204"/>
      <c r="B115" s="6" t="s">
        <v>14</v>
      </c>
      <c r="C115" s="6">
        <v>5</v>
      </c>
      <c r="D115" s="6">
        <v>8</v>
      </c>
      <c r="E115" s="6">
        <v>6</v>
      </c>
      <c r="F115" s="6">
        <v>15</v>
      </c>
      <c r="G115" s="6">
        <v>12</v>
      </c>
      <c r="H115" s="6">
        <v>20</v>
      </c>
      <c r="I115" s="6">
        <v>10</v>
      </c>
      <c r="J115" s="6">
        <v>17</v>
      </c>
      <c r="K115" s="205"/>
      <c r="L115" s="6" t="s">
        <v>14</v>
      </c>
      <c r="M115" s="6">
        <v>8</v>
      </c>
      <c r="N115" s="6">
        <v>9</v>
      </c>
      <c r="O115" s="6">
        <v>3</v>
      </c>
      <c r="P115" s="6">
        <v>8</v>
      </c>
      <c r="Q115" s="6">
        <v>7</v>
      </c>
      <c r="R115" s="6">
        <v>2</v>
      </c>
      <c r="S115" s="6">
        <v>7</v>
      </c>
      <c r="T115" s="51">
        <v>0</v>
      </c>
      <c r="U115" s="136">
        <f t="shared" si="18"/>
        <v>115</v>
      </c>
    </row>
    <row r="116" spans="1:21" ht="15">
      <c r="A116" s="204"/>
      <c r="B116" s="6" t="s">
        <v>15</v>
      </c>
      <c r="C116" s="6">
        <v>16</v>
      </c>
      <c r="D116" s="6">
        <v>25</v>
      </c>
      <c r="E116" s="6">
        <v>17</v>
      </c>
      <c r="F116" s="6">
        <v>25</v>
      </c>
      <c r="G116" s="6">
        <v>19</v>
      </c>
      <c r="H116" s="6">
        <v>19</v>
      </c>
      <c r="I116" s="6">
        <v>21</v>
      </c>
      <c r="J116" s="6">
        <v>20</v>
      </c>
      <c r="K116" s="205"/>
      <c r="L116" s="6" t="s">
        <v>15</v>
      </c>
      <c r="M116" s="6">
        <v>22</v>
      </c>
      <c r="N116" s="6">
        <v>22</v>
      </c>
      <c r="O116" s="6">
        <v>25</v>
      </c>
      <c r="P116" s="6">
        <v>33</v>
      </c>
      <c r="Q116" s="6">
        <v>30</v>
      </c>
      <c r="R116" s="6">
        <v>35</v>
      </c>
      <c r="S116" s="6">
        <v>32</v>
      </c>
      <c r="T116" s="51">
        <v>17</v>
      </c>
      <c r="U116" s="136">
        <f t="shared" si="18"/>
        <v>253</v>
      </c>
    </row>
    <row r="117" spans="1:21" ht="15">
      <c r="A117" s="204"/>
      <c r="B117" s="6" t="s">
        <v>16</v>
      </c>
      <c r="C117" s="6">
        <v>6</v>
      </c>
      <c r="D117" s="6">
        <v>5</v>
      </c>
      <c r="E117" s="6">
        <v>4</v>
      </c>
      <c r="F117" s="6">
        <v>10</v>
      </c>
      <c r="G117" s="6">
        <v>14</v>
      </c>
      <c r="H117" s="6">
        <v>12</v>
      </c>
      <c r="I117" s="6">
        <v>5</v>
      </c>
      <c r="J117" s="6">
        <v>10</v>
      </c>
      <c r="K117" s="205"/>
      <c r="L117" s="6" t="s">
        <v>16</v>
      </c>
      <c r="M117" s="6">
        <v>3</v>
      </c>
      <c r="N117" s="6">
        <v>5</v>
      </c>
      <c r="O117" s="6">
        <v>5</v>
      </c>
      <c r="P117" s="6">
        <v>5</v>
      </c>
      <c r="Q117" s="6">
        <v>4</v>
      </c>
      <c r="R117" s="6">
        <v>3</v>
      </c>
      <c r="S117" s="6">
        <v>6</v>
      </c>
      <c r="T117" s="51">
        <v>4</v>
      </c>
      <c r="U117" s="136">
        <f t="shared" si="18"/>
        <v>77</v>
      </c>
    </row>
    <row r="118" spans="1:21" ht="15">
      <c r="A118" s="204"/>
      <c r="B118" s="6" t="s">
        <v>17</v>
      </c>
      <c r="C118" s="6">
        <v>12</v>
      </c>
      <c r="D118" s="6">
        <v>7</v>
      </c>
      <c r="E118" s="6">
        <v>5</v>
      </c>
      <c r="F118" s="6">
        <v>8</v>
      </c>
      <c r="G118" s="6">
        <v>8</v>
      </c>
      <c r="H118" s="6">
        <v>23</v>
      </c>
      <c r="I118" s="6">
        <v>9</v>
      </c>
      <c r="J118" s="6">
        <v>9</v>
      </c>
      <c r="K118" s="205"/>
      <c r="L118" s="6" t="s">
        <v>17</v>
      </c>
      <c r="M118" s="6">
        <v>4</v>
      </c>
      <c r="N118" s="6">
        <v>3</v>
      </c>
      <c r="O118" s="6">
        <v>0</v>
      </c>
      <c r="P118" s="6">
        <v>8</v>
      </c>
      <c r="Q118" s="6">
        <v>7</v>
      </c>
      <c r="R118" s="6">
        <v>2</v>
      </c>
      <c r="S118" s="6">
        <v>5</v>
      </c>
      <c r="T118" s="51">
        <v>4</v>
      </c>
      <c r="U118" s="136">
        <f t="shared" si="18"/>
        <v>84</v>
      </c>
    </row>
    <row r="119" spans="1:21" ht="15">
      <c r="A119" s="204"/>
      <c r="B119" s="47" t="s">
        <v>18</v>
      </c>
      <c r="C119" s="47">
        <v>9</v>
      </c>
      <c r="D119" s="47">
        <v>9</v>
      </c>
      <c r="E119" s="47">
        <v>4</v>
      </c>
      <c r="F119" s="47">
        <v>5</v>
      </c>
      <c r="G119" s="47">
        <v>7</v>
      </c>
      <c r="H119" s="47">
        <v>13</v>
      </c>
      <c r="I119" s="47">
        <v>10</v>
      </c>
      <c r="J119" s="47">
        <v>4</v>
      </c>
      <c r="K119" s="205"/>
      <c r="L119" s="47" t="s">
        <v>18</v>
      </c>
      <c r="M119" s="47">
        <v>2</v>
      </c>
      <c r="N119" s="47">
        <v>6</v>
      </c>
      <c r="O119" s="47">
        <v>2</v>
      </c>
      <c r="P119" s="47">
        <v>7</v>
      </c>
      <c r="Q119" s="47">
        <v>19</v>
      </c>
      <c r="R119" s="47">
        <v>15</v>
      </c>
      <c r="S119" s="47">
        <v>8</v>
      </c>
      <c r="T119" s="70">
        <v>6</v>
      </c>
      <c r="U119" s="143">
        <f t="shared" si="18"/>
        <v>79</v>
      </c>
    </row>
    <row r="120" spans="1:21" ht="15">
      <c r="A120" s="195" t="s">
        <v>9</v>
      </c>
      <c r="B120" s="56" t="s">
        <v>13</v>
      </c>
      <c r="C120" s="56">
        <v>14</v>
      </c>
      <c r="D120" s="56">
        <v>24</v>
      </c>
      <c r="E120" s="56">
        <v>19</v>
      </c>
      <c r="F120" s="56">
        <v>22</v>
      </c>
      <c r="G120" s="56">
        <v>28</v>
      </c>
      <c r="H120" s="56">
        <v>38</v>
      </c>
      <c r="I120" s="56">
        <v>27</v>
      </c>
      <c r="J120" s="56">
        <v>16</v>
      </c>
      <c r="K120" s="196" t="s">
        <v>9</v>
      </c>
      <c r="L120" s="56" t="s">
        <v>13</v>
      </c>
      <c r="M120" s="56">
        <v>24</v>
      </c>
      <c r="N120" s="56">
        <v>26</v>
      </c>
      <c r="O120" s="56">
        <v>20</v>
      </c>
      <c r="P120" s="56">
        <v>30</v>
      </c>
      <c r="Q120" s="56">
        <v>29</v>
      </c>
      <c r="R120" s="56">
        <v>26</v>
      </c>
      <c r="S120" s="56">
        <v>20</v>
      </c>
      <c r="T120" s="67">
        <v>19</v>
      </c>
      <c r="U120" s="134">
        <f>SUM(M120:Q120,E120:J120)</f>
        <v>279</v>
      </c>
    </row>
    <row r="121" spans="1:21" ht="15">
      <c r="A121" s="204"/>
      <c r="B121" s="4" t="s">
        <v>14</v>
      </c>
      <c r="C121" s="4">
        <v>5</v>
      </c>
      <c r="D121" s="4">
        <v>6</v>
      </c>
      <c r="E121" s="4">
        <v>21</v>
      </c>
      <c r="F121" s="4">
        <v>14</v>
      </c>
      <c r="G121" s="4">
        <v>10</v>
      </c>
      <c r="H121" s="4">
        <v>23</v>
      </c>
      <c r="I121" s="4">
        <v>11</v>
      </c>
      <c r="J121" s="4">
        <v>18</v>
      </c>
      <c r="K121" s="205"/>
      <c r="L121" s="4" t="s">
        <v>14</v>
      </c>
      <c r="M121" s="4">
        <v>12</v>
      </c>
      <c r="N121" s="4">
        <v>12</v>
      </c>
      <c r="O121" s="4">
        <v>12</v>
      </c>
      <c r="P121" s="4">
        <v>14</v>
      </c>
      <c r="Q121" s="4">
        <v>10</v>
      </c>
      <c r="R121" s="4">
        <v>9</v>
      </c>
      <c r="S121" s="4">
        <v>2</v>
      </c>
      <c r="T121" s="50">
        <v>0</v>
      </c>
      <c r="U121" s="136">
        <f t="shared" ref="U121:U137" si="26">SUM(M121:Q121,E121:J121)</f>
        <v>157</v>
      </c>
    </row>
    <row r="122" spans="1:21" ht="15">
      <c r="A122" s="204"/>
      <c r="B122" s="4" t="s">
        <v>15</v>
      </c>
      <c r="C122" s="4">
        <v>24</v>
      </c>
      <c r="D122" s="4">
        <v>23</v>
      </c>
      <c r="E122" s="4">
        <v>10</v>
      </c>
      <c r="F122" s="4">
        <v>4</v>
      </c>
      <c r="G122" s="4">
        <v>17</v>
      </c>
      <c r="H122" s="4">
        <v>18</v>
      </c>
      <c r="I122" s="4">
        <v>28</v>
      </c>
      <c r="J122" s="4">
        <v>18</v>
      </c>
      <c r="K122" s="205"/>
      <c r="L122" s="4" t="s">
        <v>15</v>
      </c>
      <c r="M122" s="4">
        <v>21</v>
      </c>
      <c r="N122" s="4">
        <v>18</v>
      </c>
      <c r="O122" s="4">
        <v>27</v>
      </c>
      <c r="P122" s="4">
        <v>25</v>
      </c>
      <c r="Q122" s="4">
        <v>30</v>
      </c>
      <c r="R122" s="4">
        <v>32</v>
      </c>
      <c r="S122" s="4">
        <v>23</v>
      </c>
      <c r="T122" s="50">
        <v>8</v>
      </c>
      <c r="U122" s="136">
        <f t="shared" si="26"/>
        <v>216</v>
      </c>
    </row>
    <row r="123" spans="1:21" ht="15">
      <c r="A123" s="204"/>
      <c r="B123" s="4" t="s">
        <v>16</v>
      </c>
      <c r="C123" s="4">
        <v>8</v>
      </c>
      <c r="D123" s="4">
        <v>0</v>
      </c>
      <c r="E123" s="4">
        <v>7</v>
      </c>
      <c r="F123" s="4">
        <v>8</v>
      </c>
      <c r="G123" s="4">
        <v>19</v>
      </c>
      <c r="H123" s="4">
        <v>11</v>
      </c>
      <c r="I123" s="4">
        <v>10</v>
      </c>
      <c r="J123" s="4">
        <v>5</v>
      </c>
      <c r="K123" s="205"/>
      <c r="L123" s="4" t="s">
        <v>16</v>
      </c>
      <c r="M123" s="4">
        <v>4</v>
      </c>
      <c r="N123" s="4">
        <v>7</v>
      </c>
      <c r="O123" s="4">
        <v>7</v>
      </c>
      <c r="P123" s="4">
        <v>6</v>
      </c>
      <c r="Q123" s="4">
        <v>8</v>
      </c>
      <c r="R123" s="4">
        <v>5</v>
      </c>
      <c r="S123" s="4">
        <v>2</v>
      </c>
      <c r="T123" s="50">
        <v>2</v>
      </c>
      <c r="U123" s="136">
        <f t="shared" si="26"/>
        <v>92</v>
      </c>
    </row>
    <row r="124" spans="1:21" ht="15">
      <c r="A124" s="204"/>
      <c r="B124" s="4" t="s">
        <v>17</v>
      </c>
      <c r="C124" s="4">
        <v>6</v>
      </c>
      <c r="D124" s="4">
        <v>8</v>
      </c>
      <c r="E124" s="4">
        <v>12</v>
      </c>
      <c r="F124" s="4">
        <v>6</v>
      </c>
      <c r="G124" s="4">
        <v>12</v>
      </c>
      <c r="H124" s="4">
        <v>8</v>
      </c>
      <c r="I124" s="4">
        <v>5</v>
      </c>
      <c r="J124" s="4">
        <v>4</v>
      </c>
      <c r="K124" s="205"/>
      <c r="L124" s="4" t="s">
        <v>17</v>
      </c>
      <c r="M124" s="4">
        <v>4</v>
      </c>
      <c r="N124" s="4">
        <v>4</v>
      </c>
      <c r="O124" s="4">
        <v>5</v>
      </c>
      <c r="P124" s="4">
        <v>10</v>
      </c>
      <c r="Q124" s="4">
        <v>11</v>
      </c>
      <c r="R124" s="4">
        <v>5</v>
      </c>
      <c r="S124" s="4">
        <v>5</v>
      </c>
      <c r="T124" s="50">
        <v>4</v>
      </c>
      <c r="U124" s="136">
        <f t="shared" si="26"/>
        <v>81</v>
      </c>
    </row>
    <row r="125" spans="1:21" ht="15">
      <c r="A125" s="204"/>
      <c r="B125" s="46" t="s">
        <v>18</v>
      </c>
      <c r="C125" s="46">
        <v>13</v>
      </c>
      <c r="D125" s="46">
        <v>8</v>
      </c>
      <c r="E125" s="46">
        <v>4</v>
      </c>
      <c r="F125" s="46">
        <v>6</v>
      </c>
      <c r="G125" s="46">
        <v>11</v>
      </c>
      <c r="H125" s="46">
        <v>11</v>
      </c>
      <c r="I125" s="46">
        <v>9</v>
      </c>
      <c r="J125" s="46">
        <v>6</v>
      </c>
      <c r="K125" s="205"/>
      <c r="L125" s="46" t="s">
        <v>18</v>
      </c>
      <c r="M125" s="46">
        <v>7</v>
      </c>
      <c r="N125" s="46">
        <v>4</v>
      </c>
      <c r="O125" s="46">
        <v>4</v>
      </c>
      <c r="P125" s="46">
        <v>7</v>
      </c>
      <c r="Q125" s="46">
        <v>10</v>
      </c>
      <c r="R125" s="46">
        <v>10</v>
      </c>
      <c r="S125" s="46">
        <v>7</v>
      </c>
      <c r="T125" s="69">
        <v>3</v>
      </c>
      <c r="U125" s="143">
        <f t="shared" si="26"/>
        <v>79</v>
      </c>
    </row>
    <row r="126" spans="1:21" ht="15">
      <c r="A126" s="193" t="s">
        <v>10</v>
      </c>
      <c r="B126" s="63" t="s">
        <v>13</v>
      </c>
      <c r="C126" s="121">
        <v>24</v>
      </c>
      <c r="D126" s="121">
        <v>17</v>
      </c>
      <c r="E126" s="121">
        <v>23</v>
      </c>
      <c r="F126" s="121">
        <v>27</v>
      </c>
      <c r="G126" s="121">
        <v>32</v>
      </c>
      <c r="H126" s="121">
        <v>35</v>
      </c>
      <c r="I126" s="121">
        <v>37</v>
      </c>
      <c r="J126" s="121">
        <v>24</v>
      </c>
      <c r="K126" s="194" t="s">
        <v>10</v>
      </c>
      <c r="L126" s="63" t="s">
        <v>13</v>
      </c>
      <c r="M126" s="121">
        <v>25</v>
      </c>
      <c r="N126" s="121">
        <v>25</v>
      </c>
      <c r="O126" s="121">
        <v>23</v>
      </c>
      <c r="P126" s="121">
        <v>27</v>
      </c>
      <c r="Q126" s="121">
        <v>7</v>
      </c>
      <c r="R126" s="121">
        <v>16</v>
      </c>
      <c r="S126" s="121">
        <v>27</v>
      </c>
      <c r="T126" s="124">
        <v>15</v>
      </c>
      <c r="U126" s="134">
        <f t="shared" si="26"/>
        <v>285</v>
      </c>
    </row>
    <row r="127" spans="1:21" ht="15">
      <c r="A127" s="204"/>
      <c r="B127" s="6" t="s">
        <v>14</v>
      </c>
      <c r="C127" s="122">
        <v>6</v>
      </c>
      <c r="D127" s="122">
        <v>4</v>
      </c>
      <c r="E127" s="122">
        <v>7</v>
      </c>
      <c r="F127" s="122">
        <v>14</v>
      </c>
      <c r="G127" s="122">
        <v>15</v>
      </c>
      <c r="H127" s="122">
        <v>20</v>
      </c>
      <c r="I127" s="122">
        <v>12</v>
      </c>
      <c r="J127" s="122">
        <v>10</v>
      </c>
      <c r="K127" s="205"/>
      <c r="L127" s="6" t="s">
        <v>14</v>
      </c>
      <c r="M127" s="122">
        <v>14</v>
      </c>
      <c r="N127" s="122">
        <v>16</v>
      </c>
      <c r="O127" s="122">
        <v>12</v>
      </c>
      <c r="P127" s="122">
        <v>7</v>
      </c>
      <c r="Q127" s="122">
        <v>5</v>
      </c>
      <c r="R127" s="122">
        <v>4</v>
      </c>
      <c r="S127" s="122">
        <v>7</v>
      </c>
      <c r="T127" s="125">
        <v>6</v>
      </c>
      <c r="U127" s="136">
        <f t="shared" si="26"/>
        <v>132</v>
      </c>
    </row>
    <row r="128" spans="1:21" ht="15">
      <c r="A128" s="204"/>
      <c r="B128" s="6" t="s">
        <v>15</v>
      </c>
      <c r="C128" s="122">
        <v>16</v>
      </c>
      <c r="D128" s="122">
        <v>14</v>
      </c>
      <c r="E128" s="122">
        <v>15</v>
      </c>
      <c r="F128" s="122">
        <v>16</v>
      </c>
      <c r="G128" s="122">
        <v>20</v>
      </c>
      <c r="H128" s="122">
        <v>19</v>
      </c>
      <c r="I128" s="122">
        <v>30</v>
      </c>
      <c r="J128" s="122">
        <v>27</v>
      </c>
      <c r="K128" s="205"/>
      <c r="L128" s="6" t="s">
        <v>15</v>
      </c>
      <c r="M128" s="122">
        <v>36</v>
      </c>
      <c r="N128" s="122">
        <v>27</v>
      </c>
      <c r="O128" s="122">
        <v>21</v>
      </c>
      <c r="P128" s="122">
        <v>31</v>
      </c>
      <c r="Q128" s="122">
        <v>35</v>
      </c>
      <c r="R128" s="122">
        <v>31</v>
      </c>
      <c r="S128" s="122">
        <v>34</v>
      </c>
      <c r="T128" s="125">
        <v>14</v>
      </c>
      <c r="U128" s="136">
        <f t="shared" si="26"/>
        <v>277</v>
      </c>
    </row>
    <row r="129" spans="1:40" ht="15">
      <c r="A129" s="204"/>
      <c r="B129" s="6" t="s">
        <v>16</v>
      </c>
      <c r="C129" s="122">
        <v>9</v>
      </c>
      <c r="D129" s="122">
        <v>4</v>
      </c>
      <c r="E129" s="122">
        <v>5</v>
      </c>
      <c r="F129" s="122">
        <v>13</v>
      </c>
      <c r="G129" s="122">
        <v>15</v>
      </c>
      <c r="H129" s="122">
        <v>14</v>
      </c>
      <c r="I129" s="122">
        <v>15</v>
      </c>
      <c r="J129" s="122">
        <v>3</v>
      </c>
      <c r="K129" s="205"/>
      <c r="L129" s="6" t="s">
        <v>16</v>
      </c>
      <c r="M129" s="122">
        <v>10</v>
      </c>
      <c r="N129" s="122">
        <v>12</v>
      </c>
      <c r="O129" s="122">
        <v>4</v>
      </c>
      <c r="P129" s="122">
        <v>5</v>
      </c>
      <c r="Q129" s="122">
        <v>10</v>
      </c>
      <c r="R129" s="122">
        <v>9</v>
      </c>
      <c r="S129" s="122">
        <v>7</v>
      </c>
      <c r="T129" s="125">
        <v>5</v>
      </c>
      <c r="U129" s="136">
        <f t="shared" si="26"/>
        <v>106</v>
      </c>
    </row>
    <row r="130" spans="1:40" ht="15">
      <c r="A130" s="204"/>
      <c r="B130" s="6" t="s">
        <v>17</v>
      </c>
      <c r="C130" s="122">
        <v>5</v>
      </c>
      <c r="D130" s="122">
        <v>10</v>
      </c>
      <c r="E130" s="122">
        <v>9</v>
      </c>
      <c r="F130" s="122">
        <v>7</v>
      </c>
      <c r="G130" s="122">
        <v>20</v>
      </c>
      <c r="H130" s="122">
        <v>12</v>
      </c>
      <c r="I130" s="122">
        <v>10</v>
      </c>
      <c r="J130" s="122">
        <v>6</v>
      </c>
      <c r="K130" s="205"/>
      <c r="L130" s="6" t="s">
        <v>17</v>
      </c>
      <c r="M130" s="122">
        <v>9</v>
      </c>
      <c r="N130" s="122">
        <v>3</v>
      </c>
      <c r="O130" s="122">
        <v>4</v>
      </c>
      <c r="P130" s="122">
        <v>9</v>
      </c>
      <c r="Q130" s="122">
        <v>7</v>
      </c>
      <c r="R130" s="122">
        <v>2</v>
      </c>
      <c r="S130" s="122">
        <v>7</v>
      </c>
      <c r="T130" s="125">
        <v>9</v>
      </c>
      <c r="U130" s="136">
        <f t="shared" si="26"/>
        <v>96</v>
      </c>
    </row>
    <row r="131" spans="1:40" ht="15">
      <c r="A131" s="204"/>
      <c r="B131" s="47" t="s">
        <v>18</v>
      </c>
      <c r="C131" s="123">
        <v>14</v>
      </c>
      <c r="D131" s="123">
        <v>3</v>
      </c>
      <c r="E131" s="123">
        <v>4</v>
      </c>
      <c r="F131" s="123">
        <v>8</v>
      </c>
      <c r="G131" s="123">
        <v>14</v>
      </c>
      <c r="H131" s="123">
        <v>12</v>
      </c>
      <c r="I131" s="123">
        <v>12</v>
      </c>
      <c r="J131" s="123">
        <v>5</v>
      </c>
      <c r="K131" s="205"/>
      <c r="L131" s="47" t="s">
        <v>18</v>
      </c>
      <c r="M131" s="123">
        <v>7</v>
      </c>
      <c r="N131" s="123">
        <v>6</v>
      </c>
      <c r="O131" s="123">
        <v>9</v>
      </c>
      <c r="P131" s="123">
        <v>13</v>
      </c>
      <c r="Q131" s="123">
        <v>13</v>
      </c>
      <c r="R131" s="123">
        <v>19</v>
      </c>
      <c r="S131" s="123">
        <v>10</v>
      </c>
      <c r="T131" s="126">
        <v>7</v>
      </c>
      <c r="U131" s="143">
        <f t="shared" si="26"/>
        <v>103</v>
      </c>
    </row>
    <row r="132" spans="1:40" ht="15">
      <c r="A132" s="195" t="s">
        <v>11</v>
      </c>
      <c r="B132" s="56" t="s">
        <v>13</v>
      </c>
      <c r="C132" s="56">
        <v>14</v>
      </c>
      <c r="D132" s="56">
        <v>24</v>
      </c>
      <c r="E132" s="56">
        <v>19</v>
      </c>
      <c r="F132" s="56">
        <v>22</v>
      </c>
      <c r="G132" s="56">
        <v>28</v>
      </c>
      <c r="H132" s="56">
        <v>38</v>
      </c>
      <c r="I132" s="56">
        <v>27</v>
      </c>
      <c r="J132" s="56">
        <v>16</v>
      </c>
      <c r="K132" s="196" t="s">
        <v>11</v>
      </c>
      <c r="L132" s="56" t="s">
        <v>13</v>
      </c>
      <c r="M132" s="56">
        <v>24</v>
      </c>
      <c r="N132" s="56">
        <v>26</v>
      </c>
      <c r="O132" s="56">
        <v>20</v>
      </c>
      <c r="P132" s="56">
        <v>30</v>
      </c>
      <c r="Q132" s="56">
        <v>29</v>
      </c>
      <c r="R132" s="56">
        <v>26</v>
      </c>
      <c r="S132" s="56">
        <v>20</v>
      </c>
      <c r="T132" s="67">
        <v>19</v>
      </c>
      <c r="U132" s="134">
        <f t="shared" si="26"/>
        <v>279</v>
      </c>
    </row>
    <row r="133" spans="1:40" ht="15">
      <c r="A133" s="204"/>
      <c r="B133" s="4" t="s">
        <v>14</v>
      </c>
      <c r="C133" s="4">
        <v>5</v>
      </c>
      <c r="D133" s="4">
        <v>6</v>
      </c>
      <c r="E133" s="4">
        <v>21</v>
      </c>
      <c r="F133" s="4">
        <v>14</v>
      </c>
      <c r="G133" s="4">
        <v>10</v>
      </c>
      <c r="H133" s="4">
        <v>23</v>
      </c>
      <c r="I133" s="4">
        <v>11</v>
      </c>
      <c r="J133" s="4">
        <v>18</v>
      </c>
      <c r="K133" s="205"/>
      <c r="L133" s="4" t="s">
        <v>14</v>
      </c>
      <c r="M133" s="4">
        <v>12</v>
      </c>
      <c r="N133" s="4">
        <v>12</v>
      </c>
      <c r="O133" s="4">
        <v>12</v>
      </c>
      <c r="P133" s="4">
        <v>14</v>
      </c>
      <c r="Q133" s="4">
        <v>10</v>
      </c>
      <c r="R133" s="4">
        <v>9</v>
      </c>
      <c r="S133" s="4">
        <v>2</v>
      </c>
      <c r="T133" s="50">
        <v>0</v>
      </c>
      <c r="U133" s="136">
        <f t="shared" si="26"/>
        <v>157</v>
      </c>
    </row>
    <row r="134" spans="1:40" ht="15">
      <c r="A134" s="204"/>
      <c r="B134" s="4" t="s">
        <v>15</v>
      </c>
      <c r="C134" s="4">
        <v>24</v>
      </c>
      <c r="D134" s="4">
        <v>23</v>
      </c>
      <c r="E134" s="4">
        <v>10</v>
      </c>
      <c r="F134" s="4">
        <v>4</v>
      </c>
      <c r="G134" s="4">
        <v>17</v>
      </c>
      <c r="H134" s="4">
        <v>18</v>
      </c>
      <c r="I134" s="4">
        <v>28</v>
      </c>
      <c r="J134" s="4">
        <v>18</v>
      </c>
      <c r="K134" s="205"/>
      <c r="L134" s="4" t="s">
        <v>15</v>
      </c>
      <c r="M134" s="4">
        <v>21</v>
      </c>
      <c r="N134" s="4">
        <v>18</v>
      </c>
      <c r="O134" s="4">
        <v>27</v>
      </c>
      <c r="P134" s="4">
        <v>25</v>
      </c>
      <c r="Q134" s="4">
        <v>30</v>
      </c>
      <c r="R134" s="4">
        <v>32</v>
      </c>
      <c r="S134" s="4">
        <v>23</v>
      </c>
      <c r="T134" s="50">
        <v>8</v>
      </c>
      <c r="U134" s="136">
        <f t="shared" si="26"/>
        <v>216</v>
      </c>
    </row>
    <row r="135" spans="1:40" ht="15">
      <c r="A135" s="204"/>
      <c r="B135" s="4" t="s">
        <v>16</v>
      </c>
      <c r="C135" s="4">
        <v>8</v>
      </c>
      <c r="D135" s="4">
        <v>0</v>
      </c>
      <c r="E135" s="4">
        <v>7</v>
      </c>
      <c r="F135" s="4">
        <v>8</v>
      </c>
      <c r="G135" s="4">
        <v>19</v>
      </c>
      <c r="H135" s="4">
        <v>11</v>
      </c>
      <c r="I135" s="4">
        <v>10</v>
      </c>
      <c r="J135" s="4">
        <v>5</v>
      </c>
      <c r="K135" s="205"/>
      <c r="L135" s="4" t="s">
        <v>16</v>
      </c>
      <c r="M135" s="4">
        <v>4</v>
      </c>
      <c r="N135" s="4">
        <v>7</v>
      </c>
      <c r="O135" s="4">
        <v>7</v>
      </c>
      <c r="P135" s="4">
        <v>6</v>
      </c>
      <c r="Q135" s="4">
        <v>8</v>
      </c>
      <c r="R135" s="4">
        <v>5</v>
      </c>
      <c r="S135" s="4">
        <v>2</v>
      </c>
      <c r="T135" s="50">
        <v>2</v>
      </c>
      <c r="U135" s="136">
        <f t="shared" si="26"/>
        <v>92</v>
      </c>
    </row>
    <row r="136" spans="1:40" ht="15">
      <c r="A136" s="204"/>
      <c r="B136" s="4" t="s">
        <v>17</v>
      </c>
      <c r="C136" s="4">
        <v>6</v>
      </c>
      <c r="D136" s="4">
        <v>8</v>
      </c>
      <c r="E136" s="4">
        <v>12</v>
      </c>
      <c r="F136" s="4">
        <v>6</v>
      </c>
      <c r="G136" s="4">
        <v>12</v>
      </c>
      <c r="H136" s="4">
        <v>8</v>
      </c>
      <c r="I136" s="4">
        <v>5</v>
      </c>
      <c r="J136" s="4">
        <v>4</v>
      </c>
      <c r="K136" s="205"/>
      <c r="L136" s="4" t="s">
        <v>17</v>
      </c>
      <c r="M136" s="4">
        <v>4</v>
      </c>
      <c r="N136" s="4">
        <v>4</v>
      </c>
      <c r="O136" s="4">
        <v>5</v>
      </c>
      <c r="P136" s="4">
        <v>10</v>
      </c>
      <c r="Q136" s="4">
        <v>11</v>
      </c>
      <c r="R136" s="4">
        <v>5</v>
      </c>
      <c r="S136" s="4">
        <v>5</v>
      </c>
      <c r="T136" s="50">
        <v>4</v>
      </c>
      <c r="U136" s="136">
        <f t="shared" si="26"/>
        <v>81</v>
      </c>
    </row>
    <row r="137" spans="1:40" ht="15">
      <c r="A137" s="206"/>
      <c r="B137" s="61" t="s">
        <v>18</v>
      </c>
      <c r="C137" s="46">
        <v>13</v>
      </c>
      <c r="D137" s="46">
        <v>8</v>
      </c>
      <c r="E137" s="46">
        <v>4</v>
      </c>
      <c r="F137" s="46">
        <v>6</v>
      </c>
      <c r="G137" s="46">
        <v>11</v>
      </c>
      <c r="H137" s="46">
        <v>11</v>
      </c>
      <c r="I137" s="46">
        <v>9</v>
      </c>
      <c r="J137" s="46">
        <v>6</v>
      </c>
      <c r="K137" s="207"/>
      <c r="L137" s="61" t="s">
        <v>18</v>
      </c>
      <c r="M137" s="46">
        <v>7</v>
      </c>
      <c r="N137" s="46">
        <v>4</v>
      </c>
      <c r="O137" s="46">
        <v>4</v>
      </c>
      <c r="P137" s="46">
        <v>7</v>
      </c>
      <c r="Q137" s="46">
        <v>10</v>
      </c>
      <c r="R137" s="46">
        <v>10</v>
      </c>
      <c r="S137" s="46">
        <v>7</v>
      </c>
      <c r="T137" s="69">
        <v>3</v>
      </c>
      <c r="U137" s="149">
        <f t="shared" si="26"/>
        <v>79</v>
      </c>
    </row>
    <row r="139" spans="1:40" ht="15.75">
      <c r="A139" s="1"/>
      <c r="B139" s="1"/>
      <c r="C139" s="183" t="s">
        <v>0</v>
      </c>
      <c r="D139" s="208"/>
      <c r="E139" s="208"/>
      <c r="F139" s="208"/>
      <c r="G139" s="209"/>
      <c r="H139" s="1"/>
      <c r="I139" s="1"/>
    </row>
    <row r="140" spans="1:40" ht="15.75">
      <c r="A140" s="1"/>
      <c r="B140" s="183" t="s">
        <v>1</v>
      </c>
      <c r="C140" s="208"/>
      <c r="D140" s="209"/>
      <c r="E140" s="1"/>
      <c r="F140" s="183" t="s">
        <v>2</v>
      </c>
      <c r="G140" s="208"/>
      <c r="H140" s="209"/>
      <c r="I140" s="1"/>
      <c r="K140" s="1"/>
      <c r="L140" s="183" t="s">
        <v>26</v>
      </c>
      <c r="M140" s="208"/>
      <c r="N140" s="209"/>
      <c r="O140" s="1"/>
      <c r="P140" s="183" t="s">
        <v>79</v>
      </c>
      <c r="Q140" s="208"/>
      <c r="R140" s="209"/>
      <c r="S140" s="1"/>
    </row>
    <row r="141" spans="1:40" ht="15.75">
      <c r="A141" s="54" t="s">
        <v>35</v>
      </c>
      <c r="B141" s="54" t="s">
        <v>4</v>
      </c>
      <c r="C141" s="54" t="s">
        <v>12</v>
      </c>
      <c r="D141" s="54" t="s">
        <v>19</v>
      </c>
      <c r="E141" s="54" t="s">
        <v>20</v>
      </c>
      <c r="F141" s="54" t="s">
        <v>21</v>
      </c>
      <c r="G141" s="54" t="s">
        <v>22</v>
      </c>
      <c r="H141" s="54" t="s">
        <v>23</v>
      </c>
      <c r="I141" s="54" t="s">
        <v>24</v>
      </c>
      <c r="J141" s="54" t="s">
        <v>25</v>
      </c>
      <c r="K141" s="54" t="s">
        <v>35</v>
      </c>
      <c r="L141" s="54" t="s">
        <v>4</v>
      </c>
      <c r="M141" s="54" t="s">
        <v>27</v>
      </c>
      <c r="N141" s="54" t="s">
        <v>28</v>
      </c>
      <c r="O141" s="54" t="s">
        <v>29</v>
      </c>
      <c r="P141" s="54" t="s">
        <v>30</v>
      </c>
      <c r="Q141" s="54" t="s">
        <v>31</v>
      </c>
      <c r="R141" s="54" t="s">
        <v>32</v>
      </c>
      <c r="S141" s="54" t="s">
        <v>33</v>
      </c>
      <c r="T141" s="54" t="s">
        <v>34</v>
      </c>
      <c r="U141" s="54" t="s">
        <v>55</v>
      </c>
    </row>
    <row r="142" spans="1:40" ht="15.75">
      <c r="A142" s="195" t="s">
        <v>5</v>
      </c>
      <c r="B142" s="56" t="s">
        <v>13</v>
      </c>
      <c r="C142" s="57"/>
      <c r="D142" s="57"/>
      <c r="E142" s="56">
        <v>6</v>
      </c>
      <c r="F142" s="56">
        <v>16</v>
      </c>
      <c r="G142" s="56">
        <v>31</v>
      </c>
      <c r="H142" s="56">
        <v>56</v>
      </c>
      <c r="I142" s="56">
        <v>51</v>
      </c>
      <c r="J142" s="56">
        <v>32</v>
      </c>
      <c r="K142" s="196" t="s">
        <v>5</v>
      </c>
      <c r="L142" s="56" t="s">
        <v>13</v>
      </c>
      <c r="M142" s="56">
        <v>26</v>
      </c>
      <c r="N142" s="56">
        <v>15</v>
      </c>
      <c r="O142" s="56">
        <v>13</v>
      </c>
      <c r="P142" s="56">
        <v>12</v>
      </c>
      <c r="Q142" s="56">
        <v>14</v>
      </c>
      <c r="R142" s="57"/>
      <c r="S142" s="57"/>
      <c r="T142" s="58"/>
      <c r="U142" s="143">
        <f t="shared" ref="U142:U149" si="27">SUM(M142:T142,C142:J142)</f>
        <v>272</v>
      </c>
      <c r="W142" s="210" t="s">
        <v>79</v>
      </c>
      <c r="X142" s="211"/>
      <c r="AG142" s="190" t="s">
        <v>58</v>
      </c>
      <c r="AH142" s="191"/>
      <c r="AI142" s="191"/>
      <c r="AJ142" s="191"/>
      <c r="AK142" s="191"/>
      <c r="AL142" s="191"/>
      <c r="AM142" s="191"/>
      <c r="AN142" s="192"/>
    </row>
    <row r="143" spans="1:40" ht="15">
      <c r="A143" s="204"/>
      <c r="B143" s="4" t="s">
        <v>14</v>
      </c>
      <c r="C143" s="5"/>
      <c r="D143" s="5"/>
      <c r="E143" s="4">
        <v>4</v>
      </c>
      <c r="F143" s="4">
        <v>3</v>
      </c>
      <c r="G143" s="4">
        <v>5</v>
      </c>
      <c r="H143" s="4">
        <v>25</v>
      </c>
      <c r="I143" s="4">
        <v>21</v>
      </c>
      <c r="J143" s="4">
        <v>12</v>
      </c>
      <c r="K143" s="205"/>
      <c r="L143" s="4" t="s">
        <v>14</v>
      </c>
      <c r="M143" s="4">
        <v>7</v>
      </c>
      <c r="N143" s="4">
        <v>9</v>
      </c>
      <c r="O143" s="4">
        <v>8</v>
      </c>
      <c r="P143" s="4">
        <v>5</v>
      </c>
      <c r="Q143" s="4">
        <v>2</v>
      </c>
      <c r="R143" s="5"/>
      <c r="S143" s="5"/>
      <c r="T143" s="49"/>
      <c r="U143" s="143">
        <f t="shared" si="27"/>
        <v>101</v>
      </c>
      <c r="W143" s="137" t="s">
        <v>5</v>
      </c>
      <c r="X143" s="109">
        <f>SUM(U142:U147)</f>
        <v>862</v>
      </c>
      <c r="AG143" s="138" t="s">
        <v>4</v>
      </c>
      <c r="AH143" s="138" t="s">
        <v>5</v>
      </c>
      <c r="AI143" s="138" t="s">
        <v>6</v>
      </c>
      <c r="AJ143" s="138" t="s">
        <v>7</v>
      </c>
      <c r="AK143" s="138" t="s">
        <v>8</v>
      </c>
      <c r="AL143" s="138" t="s">
        <v>9</v>
      </c>
      <c r="AM143" s="138" t="s">
        <v>10</v>
      </c>
      <c r="AN143" s="138" t="s">
        <v>11</v>
      </c>
    </row>
    <row r="144" spans="1:40" ht="15">
      <c r="A144" s="204"/>
      <c r="B144" s="4" t="s">
        <v>15</v>
      </c>
      <c r="C144" s="5"/>
      <c r="D144" s="5"/>
      <c r="E144" s="4">
        <v>3</v>
      </c>
      <c r="F144" s="4">
        <v>5</v>
      </c>
      <c r="G144" s="4">
        <v>11</v>
      </c>
      <c r="H144" s="4">
        <v>35</v>
      </c>
      <c r="I144" s="4">
        <v>40</v>
      </c>
      <c r="J144" s="4">
        <v>31</v>
      </c>
      <c r="K144" s="205"/>
      <c r="L144" s="4" t="s">
        <v>15</v>
      </c>
      <c r="M144" s="4">
        <v>33</v>
      </c>
      <c r="N144" s="4">
        <v>30</v>
      </c>
      <c r="O144" s="4">
        <v>18</v>
      </c>
      <c r="P144" s="4">
        <v>18</v>
      </c>
      <c r="Q144" s="4">
        <v>11</v>
      </c>
      <c r="R144" s="5"/>
      <c r="S144" s="5"/>
      <c r="T144" s="49"/>
      <c r="U144" s="143">
        <f t="shared" si="27"/>
        <v>235</v>
      </c>
      <c r="W144" s="137" t="s">
        <v>6</v>
      </c>
      <c r="X144" s="109">
        <f>SUM(U148:U153)</f>
        <v>654</v>
      </c>
      <c r="AG144" s="140" t="s">
        <v>13</v>
      </c>
      <c r="AH144" s="140">
        <f t="shared" ref="AH144:AH149" si="28">U142</f>
        <v>272</v>
      </c>
      <c r="AI144" s="140">
        <f t="shared" ref="AI144:AI149" si="29">U148</f>
        <v>203</v>
      </c>
      <c r="AJ144" s="140">
        <f t="shared" ref="AJ144:AJ149" si="30">U154</f>
        <v>154</v>
      </c>
      <c r="AK144" s="140">
        <f t="shared" ref="AK144:AK149" si="31">U160</f>
        <v>376</v>
      </c>
      <c r="AL144" s="140">
        <f t="shared" ref="AL144:AL149" si="32">U166</f>
        <v>407</v>
      </c>
      <c r="AM144" s="140">
        <f t="shared" ref="AM144:AM149" si="33">U172</f>
        <v>400</v>
      </c>
      <c r="AN144" s="140">
        <f t="shared" ref="AN144:AN149" si="34">U178</f>
        <v>308</v>
      </c>
    </row>
    <row r="145" spans="1:40" ht="15">
      <c r="A145" s="204"/>
      <c r="B145" s="4" t="s">
        <v>16</v>
      </c>
      <c r="C145" s="5"/>
      <c r="D145" s="5"/>
      <c r="E145" s="4">
        <v>2</v>
      </c>
      <c r="F145" s="4">
        <v>3</v>
      </c>
      <c r="G145" s="4">
        <v>7</v>
      </c>
      <c r="H145" s="4">
        <v>12</v>
      </c>
      <c r="I145" s="4">
        <v>14</v>
      </c>
      <c r="J145" s="4">
        <v>7</v>
      </c>
      <c r="K145" s="205"/>
      <c r="L145" s="4" t="s">
        <v>16</v>
      </c>
      <c r="M145" s="4">
        <v>12</v>
      </c>
      <c r="N145" s="4">
        <v>7</v>
      </c>
      <c r="O145" s="4">
        <v>10</v>
      </c>
      <c r="P145" s="4">
        <v>2</v>
      </c>
      <c r="Q145" s="4">
        <v>2</v>
      </c>
      <c r="R145" s="5"/>
      <c r="S145" s="5"/>
      <c r="T145" s="49"/>
      <c r="U145" s="143">
        <f t="shared" si="27"/>
        <v>78</v>
      </c>
      <c r="W145" s="137" t="s">
        <v>7</v>
      </c>
      <c r="X145" s="109">
        <f>SUM(U154:U159)</f>
        <v>427</v>
      </c>
      <c r="Y145" s="212" t="s">
        <v>80</v>
      </c>
      <c r="Z145" s="213"/>
      <c r="AA145" s="213"/>
      <c r="AG145" s="142" t="s">
        <v>14</v>
      </c>
      <c r="AH145" s="142">
        <f t="shared" si="28"/>
        <v>101</v>
      </c>
      <c r="AI145" s="142">
        <f t="shared" si="29"/>
        <v>74</v>
      </c>
      <c r="AJ145" s="142">
        <f t="shared" si="30"/>
        <v>54</v>
      </c>
      <c r="AK145" s="142">
        <f t="shared" si="31"/>
        <v>146</v>
      </c>
      <c r="AL145" s="142">
        <f t="shared" si="32"/>
        <v>207</v>
      </c>
      <c r="AM145" s="142">
        <f t="shared" si="33"/>
        <v>141</v>
      </c>
      <c r="AN145" s="142">
        <f t="shared" si="34"/>
        <v>151</v>
      </c>
    </row>
    <row r="146" spans="1:40" ht="15">
      <c r="A146" s="204"/>
      <c r="B146" s="4" t="s">
        <v>17</v>
      </c>
      <c r="C146" s="5"/>
      <c r="D146" s="5"/>
      <c r="E146" s="4">
        <v>3</v>
      </c>
      <c r="F146" s="4">
        <v>6</v>
      </c>
      <c r="G146" s="4">
        <v>8</v>
      </c>
      <c r="H146" s="4">
        <v>20</v>
      </c>
      <c r="I146" s="4">
        <v>18</v>
      </c>
      <c r="J146" s="4">
        <v>12</v>
      </c>
      <c r="K146" s="205"/>
      <c r="L146" s="4" t="s">
        <v>17</v>
      </c>
      <c r="M146" s="4">
        <v>5</v>
      </c>
      <c r="N146" s="4">
        <v>5</v>
      </c>
      <c r="O146" s="4">
        <v>4</v>
      </c>
      <c r="P146" s="4">
        <v>12</v>
      </c>
      <c r="Q146" s="4">
        <v>3</v>
      </c>
      <c r="R146" s="5"/>
      <c r="S146" s="5"/>
      <c r="T146" s="49"/>
      <c r="U146" s="143">
        <f t="shared" si="27"/>
        <v>96</v>
      </c>
      <c r="W146" s="137" t="s">
        <v>61</v>
      </c>
      <c r="X146" s="109">
        <f>SUM(U160:U165)</f>
        <v>1249</v>
      </c>
      <c r="AG146" s="140" t="s">
        <v>15</v>
      </c>
      <c r="AH146" s="140">
        <f t="shared" si="28"/>
        <v>235</v>
      </c>
      <c r="AI146" s="140">
        <f t="shared" si="29"/>
        <v>194</v>
      </c>
      <c r="AJ146" s="140">
        <f t="shared" si="30"/>
        <v>91</v>
      </c>
      <c r="AK146" s="140">
        <f t="shared" si="31"/>
        <v>396</v>
      </c>
      <c r="AL146" s="140">
        <f t="shared" si="32"/>
        <v>364</v>
      </c>
      <c r="AM146" s="140">
        <f t="shared" si="33"/>
        <v>368</v>
      </c>
      <c r="AN146" s="140">
        <f t="shared" si="34"/>
        <v>279</v>
      </c>
    </row>
    <row r="147" spans="1:40" ht="15">
      <c r="A147" s="204"/>
      <c r="B147" s="46" t="s">
        <v>18</v>
      </c>
      <c r="C147" s="64"/>
      <c r="D147" s="64"/>
      <c r="E147" s="46">
        <v>1</v>
      </c>
      <c r="F147" s="46">
        <v>4</v>
      </c>
      <c r="G147" s="46">
        <v>7</v>
      </c>
      <c r="H147" s="46">
        <v>16</v>
      </c>
      <c r="I147" s="46">
        <v>13</v>
      </c>
      <c r="J147" s="46">
        <v>9</v>
      </c>
      <c r="K147" s="205"/>
      <c r="L147" s="46" t="s">
        <v>18</v>
      </c>
      <c r="M147" s="46">
        <v>10</v>
      </c>
      <c r="N147" s="46">
        <v>3</v>
      </c>
      <c r="O147" s="46">
        <v>7</v>
      </c>
      <c r="P147" s="46">
        <v>5</v>
      </c>
      <c r="Q147" s="46">
        <v>5</v>
      </c>
      <c r="R147" s="64"/>
      <c r="S147" s="64"/>
      <c r="T147" s="65"/>
      <c r="U147" s="143">
        <f t="shared" si="27"/>
        <v>80</v>
      </c>
      <c r="W147" s="137" t="s">
        <v>9</v>
      </c>
      <c r="X147" s="109">
        <f>SUM(U166:U171)</f>
        <v>1360</v>
      </c>
      <c r="AG147" s="142" t="s">
        <v>16</v>
      </c>
      <c r="AH147" s="142">
        <f t="shared" si="28"/>
        <v>78</v>
      </c>
      <c r="AI147" s="142">
        <f t="shared" si="29"/>
        <v>64</v>
      </c>
      <c r="AJ147" s="142">
        <f t="shared" si="30"/>
        <v>36</v>
      </c>
      <c r="AK147" s="142">
        <f t="shared" si="31"/>
        <v>89</v>
      </c>
      <c r="AL147" s="142">
        <f t="shared" si="32"/>
        <v>121</v>
      </c>
      <c r="AM147" s="142">
        <f t="shared" si="33"/>
        <v>130</v>
      </c>
      <c r="AN147" s="142">
        <f t="shared" si="34"/>
        <v>78</v>
      </c>
    </row>
    <row r="148" spans="1:40" ht="15">
      <c r="A148" s="193" t="s">
        <v>6</v>
      </c>
      <c r="B148" s="63" t="s">
        <v>13</v>
      </c>
      <c r="C148" s="57"/>
      <c r="D148" s="57"/>
      <c r="E148" s="57"/>
      <c r="F148" s="63">
        <v>28</v>
      </c>
      <c r="G148" s="63">
        <v>31</v>
      </c>
      <c r="H148" s="63">
        <v>25</v>
      </c>
      <c r="I148" s="63">
        <v>30</v>
      </c>
      <c r="J148" s="63">
        <v>24</v>
      </c>
      <c r="K148" s="194" t="s">
        <v>6</v>
      </c>
      <c r="L148" s="63" t="s">
        <v>13</v>
      </c>
      <c r="M148" s="63">
        <v>23</v>
      </c>
      <c r="N148" s="63">
        <v>19</v>
      </c>
      <c r="O148" s="63">
        <v>14</v>
      </c>
      <c r="P148" s="63">
        <v>9</v>
      </c>
      <c r="Q148" s="57"/>
      <c r="R148" s="57"/>
      <c r="S148" s="57"/>
      <c r="T148" s="58"/>
      <c r="U148" s="143">
        <f t="shared" si="27"/>
        <v>203</v>
      </c>
      <c r="W148" s="137" t="s">
        <v>10</v>
      </c>
      <c r="X148" s="109">
        <f>SUM(U172:U177)</f>
        <v>1322</v>
      </c>
      <c r="AG148" s="140" t="s">
        <v>17</v>
      </c>
      <c r="AH148" s="140">
        <f t="shared" si="28"/>
        <v>96</v>
      </c>
      <c r="AI148" s="140">
        <f t="shared" si="29"/>
        <v>65</v>
      </c>
      <c r="AJ148" s="140">
        <f t="shared" si="30"/>
        <v>52</v>
      </c>
      <c r="AK148" s="140">
        <f t="shared" si="31"/>
        <v>105</v>
      </c>
      <c r="AL148" s="140">
        <f t="shared" si="32"/>
        <v>106</v>
      </c>
      <c r="AM148" s="140">
        <f t="shared" si="33"/>
        <v>123</v>
      </c>
      <c r="AN148" s="140">
        <f t="shared" si="34"/>
        <v>83</v>
      </c>
    </row>
    <row r="149" spans="1:40" ht="15">
      <c r="A149" s="204"/>
      <c r="B149" s="6" t="s">
        <v>14</v>
      </c>
      <c r="C149" s="5"/>
      <c r="D149" s="5"/>
      <c r="E149" s="5"/>
      <c r="F149" s="6">
        <v>9</v>
      </c>
      <c r="G149" s="6">
        <v>7</v>
      </c>
      <c r="H149" s="6">
        <v>11</v>
      </c>
      <c r="I149" s="6">
        <v>10</v>
      </c>
      <c r="J149" s="6">
        <v>8</v>
      </c>
      <c r="K149" s="205"/>
      <c r="L149" s="6" t="s">
        <v>14</v>
      </c>
      <c r="M149" s="6">
        <v>10</v>
      </c>
      <c r="N149" s="6">
        <v>8</v>
      </c>
      <c r="O149" s="6">
        <v>9</v>
      </c>
      <c r="P149" s="6">
        <v>2</v>
      </c>
      <c r="Q149" s="5"/>
      <c r="R149" s="5"/>
      <c r="S149" s="5"/>
      <c r="T149" s="49"/>
      <c r="U149" s="143">
        <f t="shared" si="27"/>
        <v>74</v>
      </c>
      <c r="W149" s="144" t="s">
        <v>11</v>
      </c>
      <c r="X149" s="145">
        <f>SUM(U178:U183)</f>
        <v>1009</v>
      </c>
      <c r="AG149" s="142" t="s">
        <v>18</v>
      </c>
      <c r="AH149" s="142">
        <f t="shared" si="28"/>
        <v>80</v>
      </c>
      <c r="AI149" s="142">
        <f t="shared" si="29"/>
        <v>54</v>
      </c>
      <c r="AJ149" s="142">
        <f t="shared" si="30"/>
        <v>40</v>
      </c>
      <c r="AK149" s="142">
        <f t="shared" si="31"/>
        <v>137</v>
      </c>
      <c r="AL149" s="142">
        <f t="shared" si="32"/>
        <v>155</v>
      </c>
      <c r="AM149" s="142">
        <f t="shared" si="33"/>
        <v>160</v>
      </c>
      <c r="AN149" s="142">
        <f t="shared" si="34"/>
        <v>110</v>
      </c>
    </row>
    <row r="150" spans="1:40" ht="15">
      <c r="A150" s="204"/>
      <c r="B150" s="6" t="s">
        <v>15</v>
      </c>
      <c r="C150" s="5"/>
      <c r="D150" s="5"/>
      <c r="E150" s="5"/>
      <c r="F150" s="6">
        <v>29</v>
      </c>
      <c r="G150" s="6">
        <v>21</v>
      </c>
      <c r="H150" s="6">
        <v>14</v>
      </c>
      <c r="I150" s="6">
        <v>22</v>
      </c>
      <c r="J150" s="6">
        <v>27</v>
      </c>
      <c r="K150" s="205"/>
      <c r="L150" s="6" t="s">
        <v>15</v>
      </c>
      <c r="M150" s="6">
        <v>28</v>
      </c>
      <c r="N150" s="6">
        <v>20</v>
      </c>
      <c r="O150" s="6">
        <v>22</v>
      </c>
      <c r="P150" s="6">
        <v>11</v>
      </c>
      <c r="Q150" s="5"/>
      <c r="R150" s="5"/>
      <c r="S150" s="5"/>
      <c r="T150" s="49"/>
      <c r="U150" s="143">
        <f t="shared" ref="U150:U170" si="35">SUM(M150:T150,C150:J150)</f>
        <v>194</v>
      </c>
      <c r="W150" s="140" t="s">
        <v>63</v>
      </c>
      <c r="X150" s="146">
        <f>SUM(X143:X149)</f>
        <v>6883</v>
      </c>
    </row>
    <row r="151" spans="1:40" ht="15">
      <c r="A151" s="204"/>
      <c r="B151" s="6" t="s">
        <v>16</v>
      </c>
      <c r="C151" s="5"/>
      <c r="D151" s="5"/>
      <c r="E151" s="5"/>
      <c r="F151" s="6">
        <v>6</v>
      </c>
      <c r="G151" s="6">
        <v>8</v>
      </c>
      <c r="H151" s="6">
        <v>5</v>
      </c>
      <c r="I151" s="6">
        <v>7</v>
      </c>
      <c r="J151" s="6">
        <v>7</v>
      </c>
      <c r="K151" s="205"/>
      <c r="L151" s="6" t="s">
        <v>16</v>
      </c>
      <c r="M151" s="6">
        <v>10</v>
      </c>
      <c r="N151" s="6">
        <v>7</v>
      </c>
      <c r="O151" s="6">
        <v>7</v>
      </c>
      <c r="P151" s="6">
        <v>7</v>
      </c>
      <c r="Q151" s="5"/>
      <c r="R151" s="5"/>
      <c r="S151" s="5"/>
      <c r="T151" s="49"/>
      <c r="U151" s="143">
        <f t="shared" si="35"/>
        <v>64</v>
      </c>
    </row>
    <row r="152" spans="1:40" ht="15">
      <c r="A152" s="204"/>
      <c r="B152" s="6" t="s">
        <v>17</v>
      </c>
      <c r="C152" s="5"/>
      <c r="D152" s="5"/>
      <c r="E152" s="5"/>
      <c r="F152" s="6">
        <v>11</v>
      </c>
      <c r="G152" s="6">
        <v>9</v>
      </c>
      <c r="H152" s="6">
        <v>6</v>
      </c>
      <c r="I152" s="6">
        <v>10</v>
      </c>
      <c r="J152" s="6">
        <v>7</v>
      </c>
      <c r="K152" s="205"/>
      <c r="L152" s="6" t="s">
        <v>17</v>
      </c>
      <c r="M152" s="6">
        <v>7</v>
      </c>
      <c r="N152" s="6">
        <v>9</v>
      </c>
      <c r="O152" s="6">
        <v>4</v>
      </c>
      <c r="P152" s="6">
        <v>2</v>
      </c>
      <c r="Q152" s="5"/>
      <c r="R152" s="5"/>
      <c r="S152" s="5"/>
      <c r="T152" s="49"/>
      <c r="U152" s="143">
        <f t="shared" si="35"/>
        <v>65</v>
      </c>
    </row>
    <row r="153" spans="1:40" ht="15">
      <c r="A153" s="204"/>
      <c r="B153" s="47" t="s">
        <v>18</v>
      </c>
      <c r="C153" s="64"/>
      <c r="D153" s="64"/>
      <c r="E153" s="64"/>
      <c r="F153" s="47">
        <v>9</v>
      </c>
      <c r="G153" s="47">
        <v>6</v>
      </c>
      <c r="H153" s="47">
        <v>7</v>
      </c>
      <c r="I153" s="47">
        <v>3</v>
      </c>
      <c r="J153" s="47">
        <v>5</v>
      </c>
      <c r="K153" s="205"/>
      <c r="L153" s="47" t="s">
        <v>18</v>
      </c>
      <c r="M153" s="47">
        <v>4</v>
      </c>
      <c r="N153" s="47">
        <v>7</v>
      </c>
      <c r="O153" s="47">
        <v>7</v>
      </c>
      <c r="P153" s="47">
        <v>6</v>
      </c>
      <c r="Q153" s="64"/>
      <c r="R153" s="64"/>
      <c r="S153" s="64"/>
      <c r="T153" s="65"/>
      <c r="U153" s="143">
        <f t="shared" si="35"/>
        <v>54</v>
      </c>
    </row>
    <row r="154" spans="1:40" ht="15">
      <c r="A154" s="195" t="s">
        <v>7</v>
      </c>
      <c r="B154" s="56" t="s">
        <v>13</v>
      </c>
      <c r="C154" s="56"/>
      <c r="D154" s="56"/>
      <c r="E154" s="56"/>
      <c r="F154" s="56">
        <v>16</v>
      </c>
      <c r="G154" s="56">
        <v>31</v>
      </c>
      <c r="H154" s="56">
        <v>56</v>
      </c>
      <c r="I154" s="56">
        <v>51</v>
      </c>
      <c r="J154" s="56"/>
      <c r="K154" s="196" t="s">
        <v>7</v>
      </c>
      <c r="L154" s="56" t="s">
        <v>13</v>
      </c>
      <c r="M154" s="56"/>
      <c r="N154" s="56"/>
      <c r="O154" s="56"/>
      <c r="P154" s="56"/>
      <c r="Q154" s="56"/>
      <c r="R154" s="56"/>
      <c r="S154" s="56"/>
      <c r="T154" s="67"/>
      <c r="U154" s="143">
        <f t="shared" si="35"/>
        <v>154</v>
      </c>
    </row>
    <row r="155" spans="1:40" ht="15">
      <c r="A155" s="204"/>
      <c r="B155" s="4" t="s">
        <v>14</v>
      </c>
      <c r="C155" s="4"/>
      <c r="D155" s="4"/>
      <c r="E155" s="4"/>
      <c r="F155" s="4">
        <v>3</v>
      </c>
      <c r="G155" s="4">
        <v>5</v>
      </c>
      <c r="H155" s="4">
        <v>25</v>
      </c>
      <c r="I155" s="4">
        <v>21</v>
      </c>
      <c r="J155" s="4"/>
      <c r="K155" s="205"/>
      <c r="L155" s="4" t="s">
        <v>14</v>
      </c>
      <c r="M155" s="4"/>
      <c r="N155" s="4"/>
      <c r="O155" s="4"/>
      <c r="P155" s="4"/>
      <c r="Q155" s="4"/>
      <c r="R155" s="4"/>
      <c r="S155" s="4"/>
      <c r="T155" s="50"/>
      <c r="U155" s="143">
        <f t="shared" si="35"/>
        <v>54</v>
      </c>
    </row>
    <row r="156" spans="1:40" ht="15">
      <c r="A156" s="204"/>
      <c r="B156" s="4" t="s">
        <v>15</v>
      </c>
      <c r="C156" s="4"/>
      <c r="D156" s="4"/>
      <c r="E156" s="4"/>
      <c r="F156" s="4">
        <v>5</v>
      </c>
      <c r="G156" s="4">
        <v>11</v>
      </c>
      <c r="H156" s="4">
        <v>35</v>
      </c>
      <c r="I156" s="4">
        <v>40</v>
      </c>
      <c r="J156" s="4"/>
      <c r="K156" s="205"/>
      <c r="L156" s="4" t="s">
        <v>15</v>
      </c>
      <c r="M156" s="4"/>
      <c r="N156" s="4"/>
      <c r="O156" s="4"/>
      <c r="P156" s="4"/>
      <c r="Q156" s="4"/>
      <c r="R156" s="4"/>
      <c r="S156" s="4"/>
      <c r="T156" s="50"/>
      <c r="U156" s="143">
        <f t="shared" si="35"/>
        <v>91</v>
      </c>
    </row>
    <row r="157" spans="1:40" ht="15">
      <c r="A157" s="204"/>
      <c r="B157" s="4" t="s">
        <v>16</v>
      </c>
      <c r="C157" s="4"/>
      <c r="D157" s="4"/>
      <c r="E157" s="4"/>
      <c r="F157" s="4">
        <v>3</v>
      </c>
      <c r="G157" s="4">
        <v>7</v>
      </c>
      <c r="H157" s="4">
        <v>12</v>
      </c>
      <c r="I157" s="4">
        <v>14</v>
      </c>
      <c r="J157" s="4"/>
      <c r="K157" s="205"/>
      <c r="L157" s="4" t="s">
        <v>16</v>
      </c>
      <c r="M157" s="4"/>
      <c r="N157" s="4"/>
      <c r="O157" s="4"/>
      <c r="P157" s="4"/>
      <c r="Q157" s="4"/>
      <c r="R157" s="4"/>
      <c r="S157" s="4"/>
      <c r="T157" s="50"/>
      <c r="U157" s="143">
        <f t="shared" si="35"/>
        <v>36</v>
      </c>
    </row>
    <row r="158" spans="1:40" ht="15">
      <c r="A158" s="204"/>
      <c r="B158" s="4" t="s">
        <v>17</v>
      </c>
      <c r="C158" s="4"/>
      <c r="D158" s="4"/>
      <c r="E158" s="4"/>
      <c r="F158" s="4">
        <v>6</v>
      </c>
      <c r="G158" s="4">
        <v>8</v>
      </c>
      <c r="H158" s="4">
        <v>20</v>
      </c>
      <c r="I158" s="4">
        <v>18</v>
      </c>
      <c r="J158" s="4"/>
      <c r="K158" s="205"/>
      <c r="L158" s="4" t="s">
        <v>17</v>
      </c>
      <c r="M158" s="4"/>
      <c r="N158" s="4"/>
      <c r="O158" s="4"/>
      <c r="P158" s="4"/>
      <c r="Q158" s="4"/>
      <c r="R158" s="4"/>
      <c r="S158" s="4"/>
      <c r="T158" s="50"/>
      <c r="U158" s="143">
        <f t="shared" si="35"/>
        <v>52</v>
      </c>
    </row>
    <row r="159" spans="1:40" ht="15">
      <c r="A159" s="204"/>
      <c r="B159" s="46" t="s">
        <v>18</v>
      </c>
      <c r="C159" s="46"/>
      <c r="D159" s="46"/>
      <c r="E159" s="46"/>
      <c r="F159" s="46">
        <v>4</v>
      </c>
      <c r="G159" s="46">
        <v>7</v>
      </c>
      <c r="H159" s="46">
        <v>16</v>
      </c>
      <c r="I159" s="46">
        <v>13</v>
      </c>
      <c r="J159" s="46"/>
      <c r="K159" s="205"/>
      <c r="L159" s="46" t="s">
        <v>18</v>
      </c>
      <c r="M159" s="46"/>
      <c r="N159" s="46"/>
      <c r="O159" s="46"/>
      <c r="P159" s="46"/>
      <c r="Q159" s="46"/>
      <c r="R159" s="46"/>
      <c r="S159" s="46"/>
      <c r="T159" s="69"/>
      <c r="U159" s="143">
        <f t="shared" si="35"/>
        <v>40</v>
      </c>
    </row>
    <row r="160" spans="1:40" ht="15">
      <c r="A160" s="193" t="s">
        <v>8</v>
      </c>
      <c r="B160" s="63" t="s">
        <v>13</v>
      </c>
      <c r="C160" s="63">
        <v>18</v>
      </c>
      <c r="D160" s="63">
        <v>19</v>
      </c>
      <c r="E160" s="63">
        <v>31</v>
      </c>
      <c r="F160" s="63">
        <v>24</v>
      </c>
      <c r="G160" s="63">
        <v>27</v>
      </c>
      <c r="H160" s="63">
        <v>28</v>
      </c>
      <c r="I160" s="63">
        <v>27</v>
      </c>
      <c r="J160" s="63">
        <v>13</v>
      </c>
      <c r="K160" s="194" t="s">
        <v>8</v>
      </c>
      <c r="L160" s="63" t="s">
        <v>13</v>
      </c>
      <c r="M160" s="63">
        <v>18</v>
      </c>
      <c r="N160" s="63">
        <v>21</v>
      </c>
      <c r="O160" s="121">
        <v>20</v>
      </c>
      <c r="P160" s="121">
        <v>26</v>
      </c>
      <c r="Q160" s="121">
        <v>26</v>
      </c>
      <c r="R160" s="63">
        <v>32</v>
      </c>
      <c r="S160" s="63">
        <v>26</v>
      </c>
      <c r="T160" s="68">
        <v>20</v>
      </c>
      <c r="U160" s="143">
        <f t="shared" si="35"/>
        <v>376</v>
      </c>
    </row>
    <row r="161" spans="1:21" ht="15">
      <c r="A161" s="204"/>
      <c r="B161" s="6" t="s">
        <v>14</v>
      </c>
      <c r="C161" s="6">
        <v>7</v>
      </c>
      <c r="D161" s="6">
        <v>6</v>
      </c>
      <c r="E161" s="6">
        <v>9</v>
      </c>
      <c r="F161" s="6">
        <v>12</v>
      </c>
      <c r="G161" s="6">
        <v>13</v>
      </c>
      <c r="H161" s="6">
        <v>9</v>
      </c>
      <c r="I161" s="6">
        <v>13</v>
      </c>
      <c r="J161" s="6">
        <v>17</v>
      </c>
      <c r="K161" s="205"/>
      <c r="L161" s="6" t="s">
        <v>14</v>
      </c>
      <c r="M161" s="6">
        <v>6</v>
      </c>
      <c r="N161" s="6">
        <v>10</v>
      </c>
      <c r="O161" s="122">
        <v>11</v>
      </c>
      <c r="P161" s="122">
        <v>8</v>
      </c>
      <c r="Q161" s="122">
        <v>7</v>
      </c>
      <c r="R161" s="6">
        <v>7</v>
      </c>
      <c r="S161" s="6">
        <v>4</v>
      </c>
      <c r="T161" s="51">
        <v>7</v>
      </c>
      <c r="U161" s="143">
        <f t="shared" si="35"/>
        <v>146</v>
      </c>
    </row>
    <row r="162" spans="1:21" ht="15">
      <c r="A162" s="204"/>
      <c r="B162" s="6" t="s">
        <v>15</v>
      </c>
      <c r="C162" s="6">
        <v>19</v>
      </c>
      <c r="D162" s="6">
        <v>20</v>
      </c>
      <c r="E162" s="6">
        <v>23</v>
      </c>
      <c r="F162" s="6">
        <v>18</v>
      </c>
      <c r="G162" s="6">
        <v>13</v>
      </c>
      <c r="H162" s="6">
        <v>25</v>
      </c>
      <c r="I162" s="6">
        <v>22</v>
      </c>
      <c r="J162" s="6">
        <v>28</v>
      </c>
      <c r="K162" s="205"/>
      <c r="L162" s="6" t="s">
        <v>15</v>
      </c>
      <c r="M162" s="6">
        <v>34</v>
      </c>
      <c r="N162" s="6">
        <v>27</v>
      </c>
      <c r="O162" s="122">
        <v>21</v>
      </c>
      <c r="P162" s="122">
        <v>29</v>
      </c>
      <c r="Q162" s="122">
        <v>27</v>
      </c>
      <c r="R162" s="6">
        <v>30</v>
      </c>
      <c r="S162" s="6">
        <v>29</v>
      </c>
      <c r="T162" s="51">
        <v>31</v>
      </c>
      <c r="U162" s="143">
        <f t="shared" si="35"/>
        <v>396</v>
      </c>
    </row>
    <row r="163" spans="1:21" ht="15">
      <c r="A163" s="204"/>
      <c r="B163" s="6" t="s">
        <v>16</v>
      </c>
      <c r="C163" s="6">
        <v>4</v>
      </c>
      <c r="D163" s="6">
        <v>3</v>
      </c>
      <c r="E163" s="6">
        <v>7</v>
      </c>
      <c r="F163" s="6">
        <v>9</v>
      </c>
      <c r="G163" s="6">
        <v>16</v>
      </c>
      <c r="H163" s="6">
        <v>8</v>
      </c>
      <c r="I163" s="6">
        <v>4</v>
      </c>
      <c r="J163" s="6">
        <v>6</v>
      </c>
      <c r="K163" s="205"/>
      <c r="L163" s="6" t="s">
        <v>16</v>
      </c>
      <c r="M163" s="6">
        <v>3</v>
      </c>
      <c r="N163" s="6">
        <v>4</v>
      </c>
      <c r="O163" s="122">
        <v>6</v>
      </c>
      <c r="P163" s="122">
        <v>4</v>
      </c>
      <c r="Q163" s="122">
        <v>6</v>
      </c>
      <c r="R163" s="6">
        <v>4</v>
      </c>
      <c r="S163" s="6">
        <v>3</v>
      </c>
      <c r="T163" s="51">
        <v>2</v>
      </c>
      <c r="U163" s="143">
        <f t="shared" si="35"/>
        <v>89</v>
      </c>
    </row>
    <row r="164" spans="1:21" ht="15">
      <c r="A164" s="204"/>
      <c r="B164" s="6" t="s">
        <v>17</v>
      </c>
      <c r="C164" s="6">
        <v>6</v>
      </c>
      <c r="D164" s="6">
        <v>7</v>
      </c>
      <c r="E164" s="6">
        <v>5</v>
      </c>
      <c r="F164" s="6">
        <v>8</v>
      </c>
      <c r="G164" s="6">
        <v>6</v>
      </c>
      <c r="H164" s="6">
        <v>10</v>
      </c>
      <c r="I164" s="6">
        <v>10</v>
      </c>
      <c r="J164" s="6">
        <v>4</v>
      </c>
      <c r="K164" s="205"/>
      <c r="L164" s="6" t="s">
        <v>17</v>
      </c>
      <c r="M164" s="6">
        <v>3</v>
      </c>
      <c r="N164" s="6">
        <v>4</v>
      </c>
      <c r="O164" s="122">
        <v>5</v>
      </c>
      <c r="P164" s="122">
        <v>11</v>
      </c>
      <c r="Q164" s="122">
        <v>11</v>
      </c>
      <c r="R164" s="6">
        <v>6</v>
      </c>
      <c r="S164" s="6">
        <v>8</v>
      </c>
      <c r="T164" s="51">
        <v>1</v>
      </c>
      <c r="U164" s="143">
        <f t="shared" si="35"/>
        <v>105</v>
      </c>
    </row>
    <row r="165" spans="1:21" ht="15">
      <c r="A165" s="204"/>
      <c r="B165" s="47" t="s">
        <v>18</v>
      </c>
      <c r="C165" s="47">
        <v>15</v>
      </c>
      <c r="D165" s="47">
        <v>5</v>
      </c>
      <c r="E165" s="47">
        <v>6</v>
      </c>
      <c r="F165" s="47">
        <v>9</v>
      </c>
      <c r="G165" s="47">
        <v>6</v>
      </c>
      <c r="H165" s="47">
        <v>13</v>
      </c>
      <c r="I165" s="47">
        <v>9</v>
      </c>
      <c r="J165" s="47">
        <v>7</v>
      </c>
      <c r="K165" s="205"/>
      <c r="L165" s="47" t="s">
        <v>18</v>
      </c>
      <c r="M165" s="47">
        <v>7</v>
      </c>
      <c r="N165" s="47">
        <v>4</v>
      </c>
      <c r="O165" s="123">
        <v>12</v>
      </c>
      <c r="P165" s="123">
        <v>10</v>
      </c>
      <c r="Q165" s="123">
        <v>9</v>
      </c>
      <c r="R165" s="47">
        <v>12</v>
      </c>
      <c r="S165" s="47">
        <v>10</v>
      </c>
      <c r="T165" s="70">
        <v>3</v>
      </c>
      <c r="U165" s="143">
        <f t="shared" si="35"/>
        <v>137</v>
      </c>
    </row>
    <row r="166" spans="1:21" ht="15">
      <c r="A166" s="195" t="s">
        <v>9</v>
      </c>
      <c r="B166" s="56" t="s">
        <v>13</v>
      </c>
      <c r="C166" s="56">
        <v>18</v>
      </c>
      <c r="D166" s="56">
        <v>28</v>
      </c>
      <c r="E166" s="56">
        <v>32</v>
      </c>
      <c r="F166" s="56">
        <v>26</v>
      </c>
      <c r="G166" s="56">
        <v>31</v>
      </c>
      <c r="H166" s="56">
        <v>36</v>
      </c>
      <c r="I166" s="56">
        <v>27</v>
      </c>
      <c r="J166" s="56">
        <v>15</v>
      </c>
      <c r="K166" s="196" t="s">
        <v>9</v>
      </c>
      <c r="L166" s="56" t="s">
        <v>13</v>
      </c>
      <c r="M166" s="56">
        <v>22</v>
      </c>
      <c r="N166" s="56">
        <v>20</v>
      </c>
      <c r="O166" s="56">
        <v>27</v>
      </c>
      <c r="P166" s="56">
        <v>34</v>
      </c>
      <c r="Q166" s="56">
        <v>36</v>
      </c>
      <c r="R166" s="56">
        <v>21</v>
      </c>
      <c r="S166" s="56">
        <v>19</v>
      </c>
      <c r="T166" s="67">
        <v>15</v>
      </c>
      <c r="U166" s="143">
        <f t="shared" si="35"/>
        <v>407</v>
      </c>
    </row>
    <row r="167" spans="1:21" ht="15">
      <c r="A167" s="204"/>
      <c r="B167" s="4" t="s">
        <v>14</v>
      </c>
      <c r="C167" s="4">
        <v>6</v>
      </c>
      <c r="D167" s="4">
        <v>24</v>
      </c>
      <c r="E167" s="4">
        <v>11</v>
      </c>
      <c r="F167" s="4">
        <v>15</v>
      </c>
      <c r="G167" s="4">
        <v>29</v>
      </c>
      <c r="H167" s="4">
        <v>23</v>
      </c>
      <c r="I167" s="4">
        <v>28</v>
      </c>
      <c r="J167" s="4">
        <v>7</v>
      </c>
      <c r="K167" s="205"/>
      <c r="L167" s="4" t="s">
        <v>14</v>
      </c>
      <c r="M167" s="4">
        <v>12</v>
      </c>
      <c r="N167" s="4">
        <v>7</v>
      </c>
      <c r="O167" s="4">
        <v>12</v>
      </c>
      <c r="P167" s="4">
        <v>12</v>
      </c>
      <c r="Q167" s="4">
        <v>13</v>
      </c>
      <c r="R167" s="4">
        <v>2</v>
      </c>
      <c r="S167" s="4">
        <v>3</v>
      </c>
      <c r="T167" s="50">
        <v>3</v>
      </c>
      <c r="U167" s="143">
        <f t="shared" si="35"/>
        <v>207</v>
      </c>
    </row>
    <row r="168" spans="1:21" ht="15">
      <c r="A168" s="204"/>
      <c r="B168" s="4" t="s">
        <v>15</v>
      </c>
      <c r="C168" s="4">
        <v>24</v>
      </c>
      <c r="D168" s="4">
        <v>5</v>
      </c>
      <c r="E168" s="4">
        <v>26</v>
      </c>
      <c r="F168" s="4">
        <v>27</v>
      </c>
      <c r="G168" s="4">
        <v>18</v>
      </c>
      <c r="H168" s="4">
        <v>18</v>
      </c>
      <c r="I168" s="4">
        <v>9</v>
      </c>
      <c r="J168" s="4">
        <v>24</v>
      </c>
      <c r="K168" s="205"/>
      <c r="L168" s="4" t="s">
        <v>15</v>
      </c>
      <c r="M168" s="4">
        <v>26</v>
      </c>
      <c r="N168" s="4">
        <v>14</v>
      </c>
      <c r="O168" s="4">
        <v>28</v>
      </c>
      <c r="P168" s="4">
        <v>30</v>
      </c>
      <c r="Q168" s="4">
        <v>45</v>
      </c>
      <c r="R168" s="4">
        <v>32</v>
      </c>
      <c r="S168" s="4">
        <v>16</v>
      </c>
      <c r="T168" s="50">
        <v>22</v>
      </c>
      <c r="U168" s="143">
        <f t="shared" si="35"/>
        <v>364</v>
      </c>
    </row>
    <row r="169" spans="1:21" ht="15">
      <c r="A169" s="204"/>
      <c r="B169" s="4" t="s">
        <v>16</v>
      </c>
      <c r="C169" s="4">
        <v>2</v>
      </c>
      <c r="D169" s="4">
        <v>2</v>
      </c>
      <c r="E169" s="4">
        <v>5</v>
      </c>
      <c r="F169" s="4">
        <v>11</v>
      </c>
      <c r="G169" s="4">
        <v>19</v>
      </c>
      <c r="H169" s="4">
        <v>16</v>
      </c>
      <c r="I169" s="4">
        <v>4</v>
      </c>
      <c r="J169" s="4">
        <v>6</v>
      </c>
      <c r="K169" s="205"/>
      <c r="L169" s="4" t="s">
        <v>16</v>
      </c>
      <c r="M169" s="4">
        <v>4</v>
      </c>
      <c r="N169" s="4">
        <v>5</v>
      </c>
      <c r="O169" s="4">
        <v>10</v>
      </c>
      <c r="P169" s="4">
        <v>12</v>
      </c>
      <c r="Q169" s="4">
        <v>11</v>
      </c>
      <c r="R169" s="4">
        <v>5</v>
      </c>
      <c r="S169" s="4">
        <v>5</v>
      </c>
      <c r="T169" s="50">
        <v>4</v>
      </c>
      <c r="U169" s="143">
        <f t="shared" si="35"/>
        <v>121</v>
      </c>
    </row>
    <row r="170" spans="1:21" ht="15">
      <c r="A170" s="204"/>
      <c r="B170" s="4" t="s">
        <v>17</v>
      </c>
      <c r="C170" s="4">
        <v>5</v>
      </c>
      <c r="D170" s="4">
        <v>8</v>
      </c>
      <c r="E170" s="4">
        <v>7</v>
      </c>
      <c r="F170" s="4">
        <v>9</v>
      </c>
      <c r="G170" s="4">
        <v>9</v>
      </c>
      <c r="H170" s="4">
        <v>7</v>
      </c>
      <c r="I170" s="4">
        <v>9</v>
      </c>
      <c r="J170" s="4">
        <v>5</v>
      </c>
      <c r="K170" s="205"/>
      <c r="L170" s="4" t="s">
        <v>17</v>
      </c>
      <c r="M170" s="4">
        <v>3</v>
      </c>
      <c r="N170" s="4">
        <v>4</v>
      </c>
      <c r="O170" s="4">
        <v>4</v>
      </c>
      <c r="P170" s="4">
        <v>6</v>
      </c>
      <c r="Q170" s="4">
        <v>11</v>
      </c>
      <c r="R170" s="4">
        <v>7</v>
      </c>
      <c r="S170" s="4">
        <v>5</v>
      </c>
      <c r="T170" s="50">
        <v>7</v>
      </c>
      <c r="U170" s="143">
        <f t="shared" si="35"/>
        <v>106</v>
      </c>
    </row>
    <row r="171" spans="1:21" ht="15">
      <c r="A171" s="204"/>
      <c r="B171" s="46" t="s">
        <v>18</v>
      </c>
      <c r="C171" s="46">
        <v>20</v>
      </c>
      <c r="D171" s="46">
        <v>16</v>
      </c>
      <c r="E171" s="46">
        <v>8</v>
      </c>
      <c r="F171" s="46">
        <v>3</v>
      </c>
      <c r="G171" s="46">
        <v>12</v>
      </c>
      <c r="H171" s="46">
        <v>11</v>
      </c>
      <c r="I171" s="46">
        <v>13</v>
      </c>
      <c r="J171" s="46">
        <v>8</v>
      </c>
      <c r="K171" s="205"/>
      <c r="L171" s="46" t="s">
        <v>18</v>
      </c>
      <c r="M171" s="46">
        <v>12</v>
      </c>
      <c r="N171" s="46">
        <v>8</v>
      </c>
      <c r="O171" s="46">
        <v>3</v>
      </c>
      <c r="P171" s="46">
        <v>11</v>
      </c>
      <c r="Q171" s="46">
        <v>8</v>
      </c>
      <c r="R171" s="46">
        <v>9</v>
      </c>
      <c r="S171" s="46">
        <v>9</v>
      </c>
      <c r="T171" s="69">
        <v>4</v>
      </c>
      <c r="U171" s="143">
        <f>SUM(M171:T171,C171:J171)</f>
        <v>155</v>
      </c>
    </row>
    <row r="172" spans="1:21" ht="15">
      <c r="A172" s="193" t="s">
        <v>10</v>
      </c>
      <c r="B172" s="63" t="s">
        <v>13</v>
      </c>
      <c r="C172" s="121">
        <v>25</v>
      </c>
      <c r="D172" s="121">
        <v>22</v>
      </c>
      <c r="E172" s="121">
        <v>28</v>
      </c>
      <c r="F172" s="121">
        <v>23</v>
      </c>
      <c r="G172" s="121">
        <v>35</v>
      </c>
      <c r="H172" s="121">
        <v>34</v>
      </c>
      <c r="I172" s="121">
        <v>23</v>
      </c>
      <c r="J172" s="121">
        <v>31</v>
      </c>
      <c r="K172" s="194" t="s">
        <v>10</v>
      </c>
      <c r="L172" s="63" t="s">
        <v>13</v>
      </c>
      <c r="M172" s="121">
        <v>23</v>
      </c>
      <c r="N172" s="121">
        <v>24</v>
      </c>
      <c r="O172" s="121">
        <v>20</v>
      </c>
      <c r="P172" s="121">
        <v>26</v>
      </c>
      <c r="Q172" s="121">
        <v>26</v>
      </c>
      <c r="R172" s="121">
        <v>28</v>
      </c>
      <c r="S172" s="121">
        <v>18</v>
      </c>
      <c r="T172" s="124">
        <v>14</v>
      </c>
      <c r="U172" s="143">
        <f t="shared" ref="U172:U183" si="36">SUM(M172:T172,C172:J172)</f>
        <v>400</v>
      </c>
    </row>
    <row r="173" spans="1:21" ht="15">
      <c r="A173" s="204"/>
      <c r="B173" s="6" t="s">
        <v>14</v>
      </c>
      <c r="C173" s="122">
        <v>5</v>
      </c>
      <c r="D173" s="122">
        <v>7</v>
      </c>
      <c r="E173" s="122">
        <v>9</v>
      </c>
      <c r="F173" s="122">
        <v>10</v>
      </c>
      <c r="G173" s="122">
        <v>14</v>
      </c>
      <c r="H173" s="122">
        <v>14</v>
      </c>
      <c r="I173" s="122">
        <v>7</v>
      </c>
      <c r="J173" s="122">
        <v>12</v>
      </c>
      <c r="K173" s="205"/>
      <c r="L173" s="6" t="s">
        <v>14</v>
      </c>
      <c r="M173" s="122">
        <v>12</v>
      </c>
      <c r="N173" s="122">
        <v>16</v>
      </c>
      <c r="O173" s="122">
        <v>11</v>
      </c>
      <c r="P173" s="122">
        <v>8</v>
      </c>
      <c r="Q173" s="122">
        <v>7</v>
      </c>
      <c r="R173" s="122">
        <v>7</v>
      </c>
      <c r="S173" s="122">
        <v>1</v>
      </c>
      <c r="T173" s="125">
        <v>1</v>
      </c>
      <c r="U173" s="143">
        <f t="shared" si="36"/>
        <v>141</v>
      </c>
    </row>
    <row r="174" spans="1:21" ht="15">
      <c r="A174" s="204"/>
      <c r="B174" s="6" t="s">
        <v>15</v>
      </c>
      <c r="C174" s="122">
        <v>13</v>
      </c>
      <c r="D174" s="122">
        <v>18</v>
      </c>
      <c r="E174" s="122">
        <v>16</v>
      </c>
      <c r="F174" s="122">
        <v>14</v>
      </c>
      <c r="G174" s="122">
        <v>25</v>
      </c>
      <c r="H174" s="122">
        <v>21</v>
      </c>
      <c r="I174" s="122">
        <v>23</v>
      </c>
      <c r="J174" s="122">
        <v>32</v>
      </c>
      <c r="K174" s="205"/>
      <c r="L174" s="6" t="s">
        <v>15</v>
      </c>
      <c r="M174" s="122">
        <v>35</v>
      </c>
      <c r="N174" s="122">
        <v>22</v>
      </c>
      <c r="O174" s="122">
        <v>21</v>
      </c>
      <c r="P174" s="122">
        <v>29</v>
      </c>
      <c r="Q174" s="122">
        <v>27</v>
      </c>
      <c r="R174" s="122">
        <v>37</v>
      </c>
      <c r="S174" s="122">
        <v>21</v>
      </c>
      <c r="T174" s="125">
        <v>14</v>
      </c>
      <c r="U174" s="143">
        <f t="shared" si="36"/>
        <v>368</v>
      </c>
    </row>
    <row r="175" spans="1:21" ht="15">
      <c r="A175" s="204"/>
      <c r="B175" s="6" t="s">
        <v>16</v>
      </c>
      <c r="C175" s="122">
        <v>6</v>
      </c>
      <c r="D175" s="122">
        <v>4</v>
      </c>
      <c r="E175" s="122">
        <v>10</v>
      </c>
      <c r="F175" s="122">
        <v>9</v>
      </c>
      <c r="G175" s="122">
        <v>21</v>
      </c>
      <c r="H175" s="122">
        <v>13</v>
      </c>
      <c r="I175" s="122">
        <v>11</v>
      </c>
      <c r="J175" s="122">
        <v>6</v>
      </c>
      <c r="K175" s="205"/>
      <c r="L175" s="6" t="s">
        <v>16</v>
      </c>
      <c r="M175" s="122">
        <v>11</v>
      </c>
      <c r="N175" s="122">
        <v>12</v>
      </c>
      <c r="O175" s="122">
        <v>6</v>
      </c>
      <c r="P175" s="122">
        <v>4</v>
      </c>
      <c r="Q175" s="122">
        <v>6</v>
      </c>
      <c r="R175" s="122">
        <v>1</v>
      </c>
      <c r="S175" s="122">
        <v>7</v>
      </c>
      <c r="T175" s="125">
        <v>3</v>
      </c>
      <c r="U175" s="143">
        <f t="shared" si="36"/>
        <v>130</v>
      </c>
    </row>
    <row r="176" spans="1:21" ht="15">
      <c r="A176" s="204"/>
      <c r="B176" s="6" t="s">
        <v>17</v>
      </c>
      <c r="C176" s="122">
        <v>7</v>
      </c>
      <c r="D176" s="122">
        <v>6</v>
      </c>
      <c r="E176" s="122">
        <v>5</v>
      </c>
      <c r="F176" s="122">
        <v>10</v>
      </c>
      <c r="G176" s="122">
        <v>20</v>
      </c>
      <c r="H176" s="122">
        <v>10</v>
      </c>
      <c r="I176" s="122">
        <v>8</v>
      </c>
      <c r="J176" s="122">
        <v>5</v>
      </c>
      <c r="K176" s="205"/>
      <c r="L176" s="6" t="s">
        <v>17</v>
      </c>
      <c r="M176" s="122">
        <v>9</v>
      </c>
      <c r="N176" s="122">
        <v>6</v>
      </c>
      <c r="O176" s="122">
        <v>5</v>
      </c>
      <c r="P176" s="122">
        <v>11</v>
      </c>
      <c r="Q176" s="122">
        <v>11</v>
      </c>
      <c r="R176" s="122">
        <v>8</v>
      </c>
      <c r="S176" s="122">
        <v>1</v>
      </c>
      <c r="T176" s="125">
        <v>1</v>
      </c>
      <c r="U176" s="143">
        <f t="shared" si="36"/>
        <v>123</v>
      </c>
    </row>
    <row r="177" spans="1:40" ht="15">
      <c r="A177" s="204"/>
      <c r="B177" s="47" t="s">
        <v>18</v>
      </c>
      <c r="C177" s="123">
        <v>14</v>
      </c>
      <c r="D177" s="123">
        <v>10</v>
      </c>
      <c r="E177" s="123">
        <v>11</v>
      </c>
      <c r="F177" s="123">
        <v>8</v>
      </c>
      <c r="G177" s="123">
        <v>12</v>
      </c>
      <c r="H177" s="123">
        <v>16</v>
      </c>
      <c r="I177" s="123">
        <v>9</v>
      </c>
      <c r="J177" s="123">
        <v>10</v>
      </c>
      <c r="K177" s="205"/>
      <c r="L177" s="47" t="s">
        <v>18</v>
      </c>
      <c r="M177" s="123">
        <v>7</v>
      </c>
      <c r="N177" s="123">
        <v>8</v>
      </c>
      <c r="O177" s="123">
        <v>12</v>
      </c>
      <c r="P177" s="123">
        <v>10</v>
      </c>
      <c r="Q177" s="123">
        <v>9</v>
      </c>
      <c r="R177" s="123">
        <v>9</v>
      </c>
      <c r="S177" s="123">
        <v>13</v>
      </c>
      <c r="T177" s="126">
        <v>2</v>
      </c>
      <c r="U177" s="143">
        <f t="shared" si="36"/>
        <v>160</v>
      </c>
    </row>
    <row r="178" spans="1:40" ht="15">
      <c r="A178" s="195" t="s">
        <v>11</v>
      </c>
      <c r="B178" s="56" t="s">
        <v>13</v>
      </c>
      <c r="C178" s="127">
        <v>8</v>
      </c>
      <c r="D178" s="127">
        <v>11</v>
      </c>
      <c r="E178" s="127">
        <v>26</v>
      </c>
      <c r="F178" s="127">
        <v>24</v>
      </c>
      <c r="G178" s="127">
        <v>35</v>
      </c>
      <c r="H178" s="127">
        <v>26</v>
      </c>
      <c r="I178" s="127">
        <v>28</v>
      </c>
      <c r="J178" s="127">
        <v>19</v>
      </c>
      <c r="K178" s="196" t="s">
        <v>11</v>
      </c>
      <c r="L178" s="56" t="s">
        <v>13</v>
      </c>
      <c r="M178" s="127">
        <v>22</v>
      </c>
      <c r="N178" s="127">
        <v>17</v>
      </c>
      <c r="O178" s="127">
        <v>12</v>
      </c>
      <c r="P178" s="127">
        <v>26</v>
      </c>
      <c r="Q178" s="127">
        <v>21</v>
      </c>
      <c r="R178" s="127">
        <v>14</v>
      </c>
      <c r="S178" s="127">
        <v>11</v>
      </c>
      <c r="T178" s="130">
        <v>8</v>
      </c>
      <c r="U178" s="143">
        <f t="shared" si="36"/>
        <v>308</v>
      </c>
    </row>
    <row r="179" spans="1:40" ht="15">
      <c r="A179" s="204"/>
      <c r="B179" s="4" t="s">
        <v>14</v>
      </c>
      <c r="C179" s="128">
        <v>2</v>
      </c>
      <c r="D179" s="128">
        <v>10</v>
      </c>
      <c r="E179" s="128">
        <v>6</v>
      </c>
      <c r="F179" s="128">
        <v>11</v>
      </c>
      <c r="G179" s="128">
        <v>7</v>
      </c>
      <c r="H179" s="128">
        <v>24</v>
      </c>
      <c r="I179" s="128">
        <v>23</v>
      </c>
      <c r="J179" s="128">
        <v>11</v>
      </c>
      <c r="K179" s="205"/>
      <c r="L179" s="4" t="s">
        <v>14</v>
      </c>
      <c r="M179" s="128">
        <v>14</v>
      </c>
      <c r="N179" s="128">
        <v>11</v>
      </c>
      <c r="O179" s="128">
        <v>8</v>
      </c>
      <c r="P179" s="128">
        <v>9</v>
      </c>
      <c r="Q179" s="128">
        <v>5</v>
      </c>
      <c r="R179" s="128">
        <v>5</v>
      </c>
      <c r="S179" s="128">
        <v>3</v>
      </c>
      <c r="T179" s="131">
        <v>2</v>
      </c>
      <c r="U179" s="143">
        <f t="shared" si="36"/>
        <v>151</v>
      </c>
    </row>
    <row r="180" spans="1:40" ht="15">
      <c r="A180" s="204"/>
      <c r="B180" s="4" t="s">
        <v>15</v>
      </c>
      <c r="C180" s="128">
        <v>11</v>
      </c>
      <c r="D180" s="128">
        <v>17</v>
      </c>
      <c r="E180" s="128">
        <v>16</v>
      </c>
      <c r="F180" s="128">
        <v>16</v>
      </c>
      <c r="G180" s="128">
        <v>17</v>
      </c>
      <c r="H180" s="128">
        <v>17</v>
      </c>
      <c r="I180" s="128">
        <v>12</v>
      </c>
      <c r="J180" s="128">
        <v>20</v>
      </c>
      <c r="K180" s="205"/>
      <c r="L180" s="4" t="s">
        <v>15</v>
      </c>
      <c r="M180" s="128">
        <v>17</v>
      </c>
      <c r="N180" s="128">
        <v>16</v>
      </c>
      <c r="O180" s="128">
        <v>20</v>
      </c>
      <c r="P180" s="128">
        <v>22</v>
      </c>
      <c r="Q180" s="128">
        <v>28</v>
      </c>
      <c r="R180" s="128">
        <v>21</v>
      </c>
      <c r="S180" s="128">
        <v>18</v>
      </c>
      <c r="T180" s="131">
        <v>11</v>
      </c>
      <c r="U180" s="143">
        <f t="shared" si="36"/>
        <v>279</v>
      </c>
    </row>
    <row r="181" spans="1:40" ht="15">
      <c r="A181" s="204"/>
      <c r="B181" s="4" t="s">
        <v>16</v>
      </c>
      <c r="C181" s="128">
        <v>1</v>
      </c>
      <c r="D181" s="128">
        <v>2</v>
      </c>
      <c r="E181" s="128">
        <v>5</v>
      </c>
      <c r="F181" s="128">
        <v>8</v>
      </c>
      <c r="G181" s="128">
        <v>3</v>
      </c>
      <c r="H181" s="128">
        <v>18</v>
      </c>
      <c r="I181" s="128">
        <v>10</v>
      </c>
      <c r="J181" s="128">
        <v>6</v>
      </c>
      <c r="K181" s="205"/>
      <c r="L181" s="4" t="s">
        <v>16</v>
      </c>
      <c r="M181" s="128">
        <v>6</v>
      </c>
      <c r="N181" s="128">
        <v>5</v>
      </c>
      <c r="O181" s="128">
        <v>6</v>
      </c>
      <c r="P181" s="128">
        <v>5</v>
      </c>
      <c r="Q181" s="128">
        <v>2</v>
      </c>
      <c r="R181" s="128">
        <v>0</v>
      </c>
      <c r="S181" s="128">
        <v>1</v>
      </c>
      <c r="T181" s="131">
        <v>0</v>
      </c>
      <c r="U181" s="143">
        <f t="shared" si="36"/>
        <v>78</v>
      </c>
    </row>
    <row r="182" spans="1:40" ht="15">
      <c r="A182" s="204"/>
      <c r="B182" s="4" t="s">
        <v>17</v>
      </c>
      <c r="C182" s="128">
        <v>5</v>
      </c>
      <c r="D182" s="128">
        <v>5</v>
      </c>
      <c r="E182" s="128">
        <v>5</v>
      </c>
      <c r="F182" s="128">
        <v>4</v>
      </c>
      <c r="G182" s="128">
        <v>6</v>
      </c>
      <c r="H182" s="128">
        <v>4</v>
      </c>
      <c r="I182" s="128">
        <v>9</v>
      </c>
      <c r="J182" s="128">
        <v>5</v>
      </c>
      <c r="K182" s="205"/>
      <c r="L182" s="4" t="s">
        <v>17</v>
      </c>
      <c r="M182" s="128">
        <v>6</v>
      </c>
      <c r="N182" s="128">
        <v>10</v>
      </c>
      <c r="O182" s="128">
        <v>7</v>
      </c>
      <c r="P182" s="128">
        <v>6</v>
      </c>
      <c r="Q182" s="128">
        <v>4</v>
      </c>
      <c r="R182" s="128">
        <v>5</v>
      </c>
      <c r="S182" s="128">
        <v>1</v>
      </c>
      <c r="T182" s="131">
        <v>1</v>
      </c>
      <c r="U182" s="143">
        <f t="shared" si="36"/>
        <v>83</v>
      </c>
    </row>
    <row r="183" spans="1:40" ht="15">
      <c r="A183" s="206"/>
      <c r="B183" s="61" t="s">
        <v>18</v>
      </c>
      <c r="C183" s="129"/>
      <c r="D183" s="129">
        <v>6</v>
      </c>
      <c r="E183" s="129">
        <v>1</v>
      </c>
      <c r="F183" s="129">
        <v>4</v>
      </c>
      <c r="G183" s="129">
        <v>14</v>
      </c>
      <c r="H183" s="129">
        <v>14</v>
      </c>
      <c r="I183" s="129">
        <v>12</v>
      </c>
      <c r="J183" s="129">
        <v>7</v>
      </c>
      <c r="K183" s="207"/>
      <c r="L183" s="61" t="s">
        <v>18</v>
      </c>
      <c r="M183" s="129">
        <v>4</v>
      </c>
      <c r="N183" s="129">
        <v>8</v>
      </c>
      <c r="O183" s="129">
        <v>7</v>
      </c>
      <c r="P183" s="129">
        <v>8</v>
      </c>
      <c r="Q183" s="129">
        <v>10</v>
      </c>
      <c r="R183" s="129">
        <v>8</v>
      </c>
      <c r="S183" s="129">
        <v>1</v>
      </c>
      <c r="T183" s="132">
        <v>6</v>
      </c>
      <c r="U183" s="143">
        <f t="shared" si="36"/>
        <v>110</v>
      </c>
    </row>
    <row r="184" spans="1:40">
      <c r="C184" s="133">
        <v>4</v>
      </c>
    </row>
    <row r="185" spans="1:40" ht="15.75">
      <c r="A185" s="1"/>
      <c r="B185" s="1"/>
      <c r="C185" s="183" t="s">
        <v>0</v>
      </c>
      <c r="D185" s="208"/>
      <c r="E185" s="208"/>
      <c r="F185" s="208"/>
      <c r="G185" s="209"/>
      <c r="H185" s="1"/>
      <c r="I185" s="1"/>
    </row>
    <row r="186" spans="1:40" ht="15.75">
      <c r="A186" s="1"/>
      <c r="B186" s="183" t="s">
        <v>1</v>
      </c>
      <c r="C186" s="208"/>
      <c r="D186" s="209"/>
      <c r="E186" s="1"/>
      <c r="F186" s="183" t="s">
        <v>2</v>
      </c>
      <c r="G186" s="208"/>
      <c r="H186" s="209"/>
      <c r="I186" s="1"/>
      <c r="K186" s="1"/>
      <c r="L186" s="183" t="s">
        <v>26</v>
      </c>
      <c r="M186" s="208"/>
      <c r="N186" s="209"/>
      <c r="O186" s="1"/>
      <c r="P186" s="183" t="s">
        <v>2</v>
      </c>
      <c r="Q186" s="208"/>
      <c r="R186" s="209"/>
      <c r="S186" s="1"/>
    </row>
    <row r="187" spans="1:40" ht="15.75">
      <c r="A187" s="54" t="s">
        <v>35</v>
      </c>
      <c r="B187" s="54" t="s">
        <v>4</v>
      </c>
      <c r="C187" s="54" t="s">
        <v>12</v>
      </c>
      <c r="D187" s="54" t="s">
        <v>19</v>
      </c>
      <c r="E187" s="54" t="s">
        <v>20</v>
      </c>
      <c r="F187" s="54" t="s">
        <v>21</v>
      </c>
      <c r="G187" s="54" t="s">
        <v>22</v>
      </c>
      <c r="H187" s="54" t="s">
        <v>23</v>
      </c>
      <c r="I187" s="54" t="s">
        <v>24</v>
      </c>
      <c r="J187" s="54" t="s">
        <v>25</v>
      </c>
      <c r="K187" s="54" t="s">
        <v>35</v>
      </c>
      <c r="L187" s="54" t="s">
        <v>4</v>
      </c>
      <c r="M187" s="54" t="s">
        <v>27</v>
      </c>
      <c r="N187" s="54" t="s">
        <v>28</v>
      </c>
      <c r="O187" s="54" t="s">
        <v>29</v>
      </c>
      <c r="P187" s="54" t="s">
        <v>30</v>
      </c>
      <c r="Q187" s="54" t="s">
        <v>31</v>
      </c>
      <c r="R187" s="54" t="s">
        <v>32</v>
      </c>
      <c r="S187" s="54" t="s">
        <v>33</v>
      </c>
      <c r="T187" s="54" t="s">
        <v>34</v>
      </c>
      <c r="U187" s="54" t="s">
        <v>55</v>
      </c>
    </row>
    <row r="188" spans="1:40" ht="15.75">
      <c r="A188" s="195" t="s">
        <v>5</v>
      </c>
      <c r="B188" s="56" t="s">
        <v>13</v>
      </c>
      <c r="C188" s="57"/>
      <c r="D188" s="5"/>
      <c r="E188" s="56"/>
      <c r="F188" s="56"/>
      <c r="G188" s="56"/>
      <c r="H188" s="4"/>
      <c r="I188" s="56"/>
      <c r="J188" s="56"/>
      <c r="K188" s="196" t="s">
        <v>5</v>
      </c>
      <c r="L188" s="56" t="s">
        <v>13</v>
      </c>
      <c r="M188" s="56"/>
      <c r="N188" s="56"/>
      <c r="O188" s="56"/>
      <c r="P188" s="56"/>
      <c r="Q188" s="56"/>
      <c r="R188" s="57"/>
      <c r="S188" s="57"/>
      <c r="T188" s="58"/>
      <c r="U188" s="134">
        <f>SUM(M188:T188,C188:J188)</f>
        <v>0</v>
      </c>
      <c r="W188" s="210" t="s">
        <v>2</v>
      </c>
      <c r="X188" s="211"/>
      <c r="AG188" s="190" t="s">
        <v>58</v>
      </c>
      <c r="AH188" s="191"/>
      <c r="AI188" s="191"/>
      <c r="AJ188" s="191"/>
      <c r="AK188" s="191"/>
      <c r="AL188" s="191"/>
      <c r="AM188" s="191"/>
      <c r="AN188" s="192"/>
    </row>
    <row r="189" spans="1:40" ht="15">
      <c r="A189" s="204"/>
      <c r="B189" s="4" t="s">
        <v>14</v>
      </c>
      <c r="C189" s="5"/>
      <c r="E189" s="4"/>
      <c r="F189" s="4"/>
      <c r="G189" s="4"/>
      <c r="I189" s="4"/>
      <c r="J189" s="4"/>
      <c r="K189" s="205"/>
      <c r="L189" s="4" t="s">
        <v>14</v>
      </c>
      <c r="M189" s="4"/>
      <c r="N189" s="4"/>
      <c r="O189" s="4"/>
      <c r="P189" s="4"/>
      <c r="Q189" s="4"/>
      <c r="R189" s="5"/>
      <c r="S189" s="5"/>
      <c r="T189" s="49"/>
      <c r="U189" s="136">
        <f>SUM(M189:Q189,E189:J189)</f>
        <v>0</v>
      </c>
      <c r="W189" s="137" t="s">
        <v>5</v>
      </c>
      <c r="X189" s="109">
        <f>SUM(U188:U193)</f>
        <v>0</v>
      </c>
      <c r="AG189" s="138" t="s">
        <v>4</v>
      </c>
      <c r="AH189" s="138" t="s">
        <v>5</v>
      </c>
      <c r="AI189" s="138" t="s">
        <v>6</v>
      </c>
      <c r="AJ189" s="138" t="s">
        <v>7</v>
      </c>
      <c r="AK189" s="138" t="s">
        <v>8</v>
      </c>
      <c r="AL189" s="138" t="s">
        <v>9</v>
      </c>
      <c r="AM189" s="138" t="s">
        <v>10</v>
      </c>
      <c r="AN189" s="138" t="s">
        <v>11</v>
      </c>
    </row>
    <row r="190" spans="1:40" ht="15">
      <c r="A190" s="204"/>
      <c r="B190" s="4" t="s">
        <v>15</v>
      </c>
      <c r="C190" s="5"/>
      <c r="D190" s="5"/>
      <c r="E190" s="4"/>
      <c r="F190" s="4"/>
      <c r="G190" s="4"/>
      <c r="H190" s="4"/>
      <c r="I190" s="4"/>
      <c r="J190" s="4"/>
      <c r="K190" s="205"/>
      <c r="L190" s="4" t="s">
        <v>15</v>
      </c>
      <c r="M190" s="4"/>
      <c r="N190" s="4"/>
      <c r="O190" s="4"/>
      <c r="P190" s="4"/>
      <c r="Q190" s="4"/>
      <c r="R190" s="5"/>
      <c r="S190" s="5"/>
      <c r="T190" s="49"/>
      <c r="U190" s="136">
        <f t="shared" ref="U190:U211" si="37">SUM(M190:Q190,E190:J190)</f>
        <v>0</v>
      </c>
      <c r="W190" s="137" t="s">
        <v>6</v>
      </c>
      <c r="X190" s="109">
        <f>SUM(U194:U199)</f>
        <v>0</v>
      </c>
      <c r="AG190" s="140" t="s">
        <v>13</v>
      </c>
      <c r="AH190" s="140">
        <f t="shared" ref="AH190:AH195" si="38">U188</f>
        <v>0</v>
      </c>
      <c r="AI190" s="140">
        <f t="shared" ref="AI190:AI195" si="39">U194</f>
        <v>0</v>
      </c>
      <c r="AJ190" s="140">
        <f t="shared" ref="AJ190:AJ195" si="40">U200</f>
        <v>0</v>
      </c>
      <c r="AK190" s="140">
        <f t="shared" ref="AK190:AK195" si="41">U206</f>
        <v>0</v>
      </c>
      <c r="AL190" s="140">
        <f t="shared" ref="AL190:AL195" si="42">U212</f>
        <v>0</v>
      </c>
      <c r="AM190" s="140">
        <f t="shared" ref="AM190:AM195" si="43">U218</f>
        <v>0</v>
      </c>
      <c r="AN190" s="140">
        <f t="shared" ref="AN190:AN195" si="44">U224</f>
        <v>0</v>
      </c>
    </row>
    <row r="191" spans="1:40" ht="15">
      <c r="A191" s="204"/>
      <c r="B191" s="4" t="s">
        <v>16</v>
      </c>
      <c r="C191" s="5"/>
      <c r="D191" s="5"/>
      <c r="E191" s="4"/>
      <c r="F191" s="4"/>
      <c r="G191" s="4"/>
      <c r="H191" s="4"/>
      <c r="I191" s="4"/>
      <c r="J191" s="4"/>
      <c r="K191" s="205"/>
      <c r="L191" s="4" t="s">
        <v>16</v>
      </c>
      <c r="M191" s="4"/>
      <c r="N191" s="4"/>
      <c r="O191" s="4"/>
      <c r="P191" s="4"/>
      <c r="Q191" s="4"/>
      <c r="R191" s="5"/>
      <c r="S191" s="5"/>
      <c r="T191" s="49"/>
      <c r="U191" s="136">
        <f t="shared" si="37"/>
        <v>0</v>
      </c>
      <c r="W191" s="137" t="s">
        <v>7</v>
      </c>
      <c r="X191" s="109">
        <f>SUM(U200:U205)</f>
        <v>0</v>
      </c>
      <c r="AG191" s="142" t="s">
        <v>14</v>
      </c>
      <c r="AH191" s="142">
        <f t="shared" si="38"/>
        <v>0</v>
      </c>
      <c r="AI191" s="142">
        <f t="shared" si="39"/>
        <v>0</v>
      </c>
      <c r="AJ191" s="142">
        <f t="shared" si="40"/>
        <v>0</v>
      </c>
      <c r="AK191" s="142">
        <f t="shared" si="41"/>
        <v>0</v>
      </c>
      <c r="AL191" s="142">
        <f t="shared" si="42"/>
        <v>0</v>
      </c>
      <c r="AM191" s="142">
        <f t="shared" si="43"/>
        <v>0</v>
      </c>
      <c r="AN191" s="142">
        <f t="shared" si="44"/>
        <v>0</v>
      </c>
    </row>
    <row r="192" spans="1:40" ht="15">
      <c r="A192" s="204"/>
      <c r="B192" s="4" t="s">
        <v>17</v>
      </c>
      <c r="C192" s="5"/>
      <c r="D192" s="5"/>
      <c r="E192" s="4"/>
      <c r="F192" s="4"/>
      <c r="G192" s="4"/>
      <c r="H192" s="4"/>
      <c r="I192" s="4"/>
      <c r="J192" s="4"/>
      <c r="K192" s="205"/>
      <c r="L192" s="4" t="s">
        <v>17</v>
      </c>
      <c r="M192" s="4"/>
      <c r="N192" s="4"/>
      <c r="O192" s="4"/>
      <c r="P192" s="4"/>
      <c r="Q192" s="4"/>
      <c r="R192" s="5"/>
      <c r="S192" s="5"/>
      <c r="T192" s="49"/>
      <c r="U192" s="136">
        <f t="shared" si="37"/>
        <v>0</v>
      </c>
      <c r="W192" s="137" t="s">
        <v>61</v>
      </c>
      <c r="X192" s="109">
        <f>SUM(U206:U211)</f>
        <v>0</v>
      </c>
      <c r="AG192" s="140" t="s">
        <v>15</v>
      </c>
      <c r="AH192" s="140">
        <f t="shared" si="38"/>
        <v>0</v>
      </c>
      <c r="AI192" s="140">
        <f t="shared" si="39"/>
        <v>0</v>
      </c>
      <c r="AJ192" s="140">
        <f t="shared" si="40"/>
        <v>0</v>
      </c>
      <c r="AK192" s="140">
        <f t="shared" si="41"/>
        <v>0</v>
      </c>
      <c r="AL192" s="140">
        <f t="shared" si="42"/>
        <v>0</v>
      </c>
      <c r="AM192" s="140">
        <f t="shared" si="43"/>
        <v>0</v>
      </c>
      <c r="AN192" s="140">
        <f t="shared" si="44"/>
        <v>0</v>
      </c>
    </row>
    <row r="193" spans="1:40" ht="15">
      <c r="A193" s="204"/>
      <c r="B193" s="46" t="s">
        <v>18</v>
      </c>
      <c r="C193" s="64"/>
      <c r="D193" s="64"/>
      <c r="E193" s="46"/>
      <c r="F193" s="46"/>
      <c r="G193" s="46"/>
      <c r="H193" s="46"/>
      <c r="I193" s="46"/>
      <c r="J193" s="46"/>
      <c r="K193" s="205"/>
      <c r="L193" s="46" t="s">
        <v>18</v>
      </c>
      <c r="M193" s="46"/>
      <c r="N193" s="46"/>
      <c r="O193" s="46"/>
      <c r="P193" s="46"/>
      <c r="Q193" s="46"/>
      <c r="R193" s="64"/>
      <c r="S193" s="64"/>
      <c r="T193" s="65"/>
      <c r="U193" s="143">
        <f t="shared" si="37"/>
        <v>0</v>
      </c>
      <c r="W193" s="137" t="s">
        <v>9</v>
      </c>
      <c r="X193" s="109">
        <f>SUM(U212:U217)</f>
        <v>0</v>
      </c>
      <c r="AG193" s="142" t="s">
        <v>16</v>
      </c>
      <c r="AH193" s="142">
        <f t="shared" si="38"/>
        <v>0</v>
      </c>
      <c r="AI193" s="142">
        <f t="shared" si="39"/>
        <v>0</v>
      </c>
      <c r="AJ193" s="142">
        <f t="shared" si="40"/>
        <v>0</v>
      </c>
      <c r="AK193" s="142">
        <f t="shared" si="41"/>
        <v>0</v>
      </c>
      <c r="AL193" s="142">
        <f t="shared" si="42"/>
        <v>0</v>
      </c>
      <c r="AM193" s="142">
        <f t="shared" si="43"/>
        <v>0</v>
      </c>
      <c r="AN193" s="142">
        <f t="shared" si="44"/>
        <v>0</v>
      </c>
    </row>
    <row r="194" spans="1:40" ht="15">
      <c r="A194" s="193" t="s">
        <v>6</v>
      </c>
      <c r="B194" s="63" t="s">
        <v>13</v>
      </c>
      <c r="C194" s="57"/>
      <c r="D194" s="57"/>
      <c r="E194" s="57"/>
      <c r="F194" s="63"/>
      <c r="G194" s="63"/>
      <c r="H194" s="63"/>
      <c r="I194" s="63"/>
      <c r="J194" s="63"/>
      <c r="K194" s="194" t="s">
        <v>6</v>
      </c>
      <c r="L194" s="63" t="s">
        <v>13</v>
      </c>
      <c r="M194" s="63"/>
      <c r="N194" s="63"/>
      <c r="O194" s="63"/>
      <c r="P194" s="63"/>
      <c r="Q194" s="57"/>
      <c r="R194" s="57"/>
      <c r="S194" s="57"/>
      <c r="T194" s="58"/>
      <c r="U194" s="134">
        <f t="shared" si="37"/>
        <v>0</v>
      </c>
      <c r="W194" s="137" t="s">
        <v>10</v>
      </c>
      <c r="X194" s="109">
        <f>SUM(U218:U223)</f>
        <v>0</v>
      </c>
      <c r="AG194" s="140" t="s">
        <v>17</v>
      </c>
      <c r="AH194" s="140">
        <f t="shared" si="38"/>
        <v>0</v>
      </c>
      <c r="AI194" s="140">
        <f t="shared" si="39"/>
        <v>0</v>
      </c>
      <c r="AJ194" s="140">
        <f t="shared" si="40"/>
        <v>0</v>
      </c>
      <c r="AK194" s="140">
        <f t="shared" si="41"/>
        <v>0</v>
      </c>
      <c r="AL194" s="140">
        <f t="shared" si="42"/>
        <v>0</v>
      </c>
      <c r="AM194" s="140">
        <f t="shared" si="43"/>
        <v>0</v>
      </c>
      <c r="AN194" s="140">
        <f t="shared" si="44"/>
        <v>0</v>
      </c>
    </row>
    <row r="195" spans="1:40" ht="15">
      <c r="A195" s="204"/>
      <c r="B195" s="6" t="s">
        <v>14</v>
      </c>
      <c r="C195" s="5"/>
      <c r="D195" s="5"/>
      <c r="E195" s="5"/>
      <c r="F195" s="6"/>
      <c r="G195" s="6"/>
      <c r="H195" s="6"/>
      <c r="I195" s="6"/>
      <c r="J195" s="6"/>
      <c r="K195" s="205"/>
      <c r="L195" s="6" t="s">
        <v>14</v>
      </c>
      <c r="M195" s="6"/>
      <c r="N195" s="6"/>
      <c r="O195" s="6"/>
      <c r="P195" s="6"/>
      <c r="Q195" s="5"/>
      <c r="R195" s="5"/>
      <c r="S195" s="5"/>
      <c r="T195" s="49"/>
      <c r="U195" s="136">
        <f t="shared" si="37"/>
        <v>0</v>
      </c>
      <c r="W195" s="144" t="s">
        <v>11</v>
      </c>
      <c r="X195" s="145">
        <f>SUM(U224:U229)</f>
        <v>0</v>
      </c>
      <c r="AG195" s="142" t="s">
        <v>18</v>
      </c>
      <c r="AH195" s="142">
        <f t="shared" si="38"/>
        <v>0</v>
      </c>
      <c r="AI195" s="142">
        <f t="shared" si="39"/>
        <v>0</v>
      </c>
      <c r="AJ195" s="142">
        <f t="shared" si="40"/>
        <v>0</v>
      </c>
      <c r="AK195" s="142">
        <f t="shared" si="41"/>
        <v>0</v>
      </c>
      <c r="AL195" s="142">
        <f t="shared" si="42"/>
        <v>0</v>
      </c>
      <c r="AM195" s="142">
        <f t="shared" si="43"/>
        <v>0</v>
      </c>
      <c r="AN195" s="142">
        <f t="shared" si="44"/>
        <v>0</v>
      </c>
    </row>
    <row r="196" spans="1:40" ht="15">
      <c r="A196" s="204"/>
      <c r="B196" s="6" t="s">
        <v>15</v>
      </c>
      <c r="C196" s="5"/>
      <c r="D196" s="5"/>
      <c r="E196" s="5"/>
      <c r="F196" s="6"/>
      <c r="G196" s="6"/>
      <c r="H196" s="6"/>
      <c r="I196" s="6"/>
      <c r="J196" s="6"/>
      <c r="K196" s="205"/>
      <c r="L196" s="6" t="s">
        <v>15</v>
      </c>
      <c r="M196" s="6"/>
      <c r="N196" s="6"/>
      <c r="O196" s="6"/>
      <c r="P196" s="6"/>
      <c r="Q196" s="5"/>
      <c r="R196" s="5"/>
      <c r="S196" s="5"/>
      <c r="T196" s="49"/>
      <c r="U196" s="136">
        <f t="shared" si="37"/>
        <v>0</v>
      </c>
      <c r="W196" s="140" t="s">
        <v>63</v>
      </c>
      <c r="X196" s="146">
        <f>SUM(X189:X195)</f>
        <v>0</v>
      </c>
    </row>
    <row r="197" spans="1:40" ht="15">
      <c r="A197" s="204"/>
      <c r="B197" s="6" t="s">
        <v>16</v>
      </c>
      <c r="C197" s="5"/>
      <c r="D197" s="5"/>
      <c r="E197" s="5"/>
      <c r="F197" s="6"/>
      <c r="G197" s="6"/>
      <c r="H197" s="6"/>
      <c r="I197" s="6"/>
      <c r="J197" s="6"/>
      <c r="K197" s="205"/>
      <c r="L197" s="6" t="s">
        <v>16</v>
      </c>
      <c r="M197" s="6"/>
      <c r="N197" s="6"/>
      <c r="O197" s="6"/>
      <c r="P197" s="6"/>
      <c r="Q197" s="5"/>
      <c r="R197" s="5"/>
      <c r="S197" s="5"/>
      <c r="T197" s="49"/>
      <c r="U197" s="136">
        <f t="shared" si="37"/>
        <v>0</v>
      </c>
    </row>
    <row r="198" spans="1:40" ht="15">
      <c r="A198" s="204"/>
      <c r="B198" s="6" t="s">
        <v>17</v>
      </c>
      <c r="C198" s="5"/>
      <c r="D198" s="5"/>
      <c r="E198" s="5"/>
      <c r="F198" s="6"/>
      <c r="G198" s="6"/>
      <c r="H198" s="6"/>
      <c r="I198" s="6"/>
      <c r="J198" s="6"/>
      <c r="K198" s="205"/>
      <c r="L198" s="6" t="s">
        <v>17</v>
      </c>
      <c r="M198" s="6"/>
      <c r="N198" s="6"/>
      <c r="O198" s="6"/>
      <c r="P198" s="6"/>
      <c r="Q198" s="5"/>
      <c r="R198" s="5"/>
      <c r="S198" s="5"/>
      <c r="T198" s="49"/>
      <c r="U198" s="136">
        <f t="shared" si="37"/>
        <v>0</v>
      </c>
    </row>
    <row r="199" spans="1:40" ht="15">
      <c r="A199" s="204"/>
      <c r="B199" s="47" t="s">
        <v>18</v>
      </c>
      <c r="C199" s="64"/>
      <c r="D199" s="64"/>
      <c r="E199" s="64"/>
      <c r="F199" s="47"/>
      <c r="G199" s="47"/>
      <c r="H199" s="47"/>
      <c r="I199" s="47"/>
      <c r="J199" s="47"/>
      <c r="K199" s="205"/>
      <c r="L199" s="47" t="s">
        <v>18</v>
      </c>
      <c r="M199" s="47"/>
      <c r="N199" s="47"/>
      <c r="O199" s="47"/>
      <c r="P199" s="47"/>
      <c r="Q199" s="64"/>
      <c r="R199" s="64"/>
      <c r="S199" s="64"/>
      <c r="T199" s="65"/>
      <c r="U199" s="143">
        <f t="shared" si="37"/>
        <v>0</v>
      </c>
    </row>
    <row r="200" spans="1:40" ht="15">
      <c r="A200" s="195" t="s">
        <v>7</v>
      </c>
      <c r="B200" s="56" t="s">
        <v>13</v>
      </c>
      <c r="C200" s="56"/>
      <c r="D200" s="56"/>
      <c r="E200" s="56"/>
      <c r="F200" s="56"/>
      <c r="G200" s="56"/>
      <c r="H200" s="56"/>
      <c r="I200" s="56"/>
      <c r="J200" s="56"/>
      <c r="K200" s="196" t="s">
        <v>7</v>
      </c>
      <c r="L200" s="56" t="s">
        <v>13</v>
      </c>
      <c r="M200" s="56"/>
      <c r="N200" s="56"/>
      <c r="O200" s="56"/>
      <c r="P200" s="56"/>
      <c r="Q200" s="56"/>
      <c r="R200" s="56"/>
      <c r="S200" s="56"/>
      <c r="T200" s="67"/>
      <c r="U200" s="134">
        <f t="shared" si="37"/>
        <v>0</v>
      </c>
    </row>
    <row r="201" spans="1:40" ht="15">
      <c r="A201" s="204"/>
      <c r="B201" s="4" t="s">
        <v>14</v>
      </c>
      <c r="C201" s="4"/>
      <c r="D201" s="4"/>
      <c r="E201" s="4"/>
      <c r="F201" s="4"/>
      <c r="G201" s="4"/>
      <c r="H201" s="4"/>
      <c r="I201" s="4"/>
      <c r="J201" s="4"/>
      <c r="K201" s="205"/>
      <c r="L201" s="4" t="s">
        <v>14</v>
      </c>
      <c r="M201" s="4"/>
      <c r="N201" s="4"/>
      <c r="O201" s="4"/>
      <c r="P201" s="4"/>
      <c r="Q201" s="4"/>
      <c r="R201" s="4"/>
      <c r="S201" s="4"/>
      <c r="T201" s="50"/>
      <c r="U201" s="136">
        <f t="shared" si="37"/>
        <v>0</v>
      </c>
    </row>
    <row r="202" spans="1:40" ht="15">
      <c r="A202" s="204"/>
      <c r="B202" s="4" t="s">
        <v>15</v>
      </c>
      <c r="C202" s="4"/>
      <c r="D202" s="4"/>
      <c r="E202" s="4"/>
      <c r="F202" s="4"/>
      <c r="G202" s="4"/>
      <c r="H202" s="4"/>
      <c r="I202" s="4"/>
      <c r="J202" s="4"/>
      <c r="K202" s="205"/>
      <c r="L202" s="4" t="s">
        <v>15</v>
      </c>
      <c r="M202" s="4"/>
      <c r="N202" s="4"/>
      <c r="O202" s="4"/>
      <c r="P202" s="4"/>
      <c r="Q202" s="4"/>
      <c r="R202" s="4"/>
      <c r="S202" s="4"/>
      <c r="T202" s="50"/>
      <c r="U202" s="136">
        <f t="shared" si="37"/>
        <v>0</v>
      </c>
    </row>
    <row r="203" spans="1:40" ht="15">
      <c r="A203" s="204"/>
      <c r="B203" s="4" t="s">
        <v>16</v>
      </c>
      <c r="C203" s="4"/>
      <c r="D203" s="4"/>
      <c r="E203" s="4"/>
      <c r="F203" s="4"/>
      <c r="G203" s="4"/>
      <c r="H203" s="4"/>
      <c r="I203" s="4"/>
      <c r="J203" s="4"/>
      <c r="K203" s="205"/>
      <c r="L203" s="4" t="s">
        <v>16</v>
      </c>
      <c r="M203" s="4"/>
      <c r="N203" s="4"/>
      <c r="O203" s="4"/>
      <c r="P203" s="4"/>
      <c r="Q203" s="4"/>
      <c r="R203" s="4"/>
      <c r="S203" s="4"/>
      <c r="T203" s="50"/>
      <c r="U203" s="136">
        <f t="shared" si="37"/>
        <v>0</v>
      </c>
    </row>
    <row r="204" spans="1:40" ht="15">
      <c r="A204" s="204"/>
      <c r="B204" s="4" t="s">
        <v>17</v>
      </c>
      <c r="C204" s="4"/>
      <c r="D204" s="4"/>
      <c r="E204" s="4"/>
      <c r="F204" s="4"/>
      <c r="G204" s="4"/>
      <c r="H204" s="4"/>
      <c r="I204" s="4"/>
      <c r="J204" s="4"/>
      <c r="K204" s="205"/>
      <c r="L204" s="4" t="s">
        <v>17</v>
      </c>
      <c r="M204" s="4"/>
      <c r="N204" s="4"/>
      <c r="O204" s="4"/>
      <c r="P204" s="4"/>
      <c r="Q204" s="4"/>
      <c r="R204" s="4"/>
      <c r="S204" s="4"/>
      <c r="T204" s="50"/>
      <c r="U204" s="136">
        <f t="shared" si="37"/>
        <v>0</v>
      </c>
    </row>
    <row r="205" spans="1:40" ht="15">
      <c r="A205" s="204"/>
      <c r="B205" s="46" t="s">
        <v>18</v>
      </c>
      <c r="C205" s="46"/>
      <c r="D205" s="46"/>
      <c r="E205" s="46"/>
      <c r="F205" s="46"/>
      <c r="G205" s="46"/>
      <c r="H205" s="46"/>
      <c r="I205" s="46"/>
      <c r="J205" s="46"/>
      <c r="K205" s="205"/>
      <c r="L205" s="46" t="s">
        <v>18</v>
      </c>
      <c r="M205" s="46"/>
      <c r="N205" s="46"/>
      <c r="O205" s="46"/>
      <c r="P205" s="46"/>
      <c r="Q205" s="46"/>
      <c r="R205" s="46"/>
      <c r="S205" s="46"/>
      <c r="T205" s="69"/>
      <c r="U205" s="143">
        <f t="shared" si="37"/>
        <v>0</v>
      </c>
    </row>
    <row r="206" spans="1:40" ht="15">
      <c r="A206" s="193" t="s">
        <v>8</v>
      </c>
      <c r="B206" s="63" t="s">
        <v>13</v>
      </c>
      <c r="C206" s="63"/>
      <c r="D206" s="63"/>
      <c r="E206" s="63"/>
      <c r="F206" s="63"/>
      <c r="G206" s="63"/>
      <c r="H206" s="63"/>
      <c r="I206" s="63"/>
      <c r="J206" s="63"/>
      <c r="K206" s="194" t="s">
        <v>8</v>
      </c>
      <c r="L206" s="63" t="s">
        <v>13</v>
      </c>
      <c r="M206" s="63"/>
      <c r="N206" s="63"/>
      <c r="O206" s="63"/>
      <c r="P206" s="63"/>
      <c r="Q206" s="63"/>
      <c r="R206" s="63"/>
      <c r="S206" s="63"/>
      <c r="T206" s="68"/>
      <c r="U206" s="134">
        <f t="shared" si="37"/>
        <v>0</v>
      </c>
    </row>
    <row r="207" spans="1:40" ht="15">
      <c r="A207" s="204"/>
      <c r="B207" s="6" t="s">
        <v>14</v>
      </c>
      <c r="C207" s="6"/>
      <c r="D207" s="6"/>
      <c r="E207" s="6"/>
      <c r="F207" s="6"/>
      <c r="G207" s="6"/>
      <c r="H207" s="6"/>
      <c r="I207" s="6"/>
      <c r="J207" s="6"/>
      <c r="K207" s="205"/>
      <c r="L207" s="6" t="s">
        <v>14</v>
      </c>
      <c r="M207" s="6"/>
      <c r="N207" s="6"/>
      <c r="O207" s="6"/>
      <c r="P207" s="6"/>
      <c r="Q207" s="6"/>
      <c r="R207" s="6"/>
      <c r="S207" s="6"/>
      <c r="T207" s="51"/>
      <c r="U207" s="136">
        <f t="shared" si="37"/>
        <v>0</v>
      </c>
    </row>
    <row r="208" spans="1:40" ht="15">
      <c r="A208" s="204"/>
      <c r="B208" s="6" t="s">
        <v>15</v>
      </c>
      <c r="C208" s="6"/>
      <c r="D208" s="6"/>
      <c r="E208" s="6"/>
      <c r="F208" s="6"/>
      <c r="G208" s="6"/>
      <c r="H208" s="6"/>
      <c r="I208" s="6"/>
      <c r="J208" s="6"/>
      <c r="K208" s="205"/>
      <c r="L208" s="6" t="s">
        <v>15</v>
      </c>
      <c r="M208" s="6"/>
      <c r="N208" s="6"/>
      <c r="O208" s="6"/>
      <c r="P208" s="6"/>
      <c r="Q208" s="6"/>
      <c r="R208" s="6"/>
      <c r="S208" s="6"/>
      <c r="T208" s="51"/>
      <c r="U208" s="136">
        <f t="shared" si="37"/>
        <v>0</v>
      </c>
    </row>
    <row r="209" spans="1:21" ht="15">
      <c r="A209" s="204"/>
      <c r="B209" s="6" t="s">
        <v>16</v>
      </c>
      <c r="C209" s="6"/>
      <c r="D209" s="6"/>
      <c r="E209" s="6"/>
      <c r="F209" s="6"/>
      <c r="G209" s="6"/>
      <c r="H209" s="6"/>
      <c r="I209" s="6"/>
      <c r="J209" s="6"/>
      <c r="K209" s="205"/>
      <c r="L209" s="6" t="s">
        <v>16</v>
      </c>
      <c r="M209" s="6"/>
      <c r="N209" s="6"/>
      <c r="O209" s="6"/>
      <c r="P209" s="6"/>
      <c r="Q209" s="6"/>
      <c r="R209" s="6"/>
      <c r="S209" s="6"/>
      <c r="T209" s="51"/>
      <c r="U209" s="136">
        <f t="shared" si="37"/>
        <v>0</v>
      </c>
    </row>
    <row r="210" spans="1:21" ht="15">
      <c r="A210" s="204"/>
      <c r="B210" s="6" t="s">
        <v>17</v>
      </c>
      <c r="C210" s="6"/>
      <c r="D210" s="6"/>
      <c r="E210" s="6"/>
      <c r="F210" s="6"/>
      <c r="G210" s="6"/>
      <c r="H210" s="6"/>
      <c r="I210" s="6"/>
      <c r="J210" s="6"/>
      <c r="K210" s="205"/>
      <c r="L210" s="6" t="s">
        <v>17</v>
      </c>
      <c r="M210" s="6"/>
      <c r="N210" s="6"/>
      <c r="O210" s="6"/>
      <c r="P210" s="6"/>
      <c r="Q210" s="6"/>
      <c r="R210" s="6"/>
      <c r="S210" s="6"/>
      <c r="T210" s="51"/>
      <c r="U210" s="136">
        <f t="shared" si="37"/>
        <v>0</v>
      </c>
    </row>
    <row r="211" spans="1:21" ht="15">
      <c r="A211" s="204"/>
      <c r="B211" s="47" t="s">
        <v>18</v>
      </c>
      <c r="C211" s="47"/>
      <c r="D211" s="47"/>
      <c r="E211" s="47"/>
      <c r="F211" s="47"/>
      <c r="G211" s="47"/>
      <c r="H211" s="47"/>
      <c r="I211" s="47"/>
      <c r="J211" s="47"/>
      <c r="K211" s="205"/>
      <c r="L211" s="47" t="s">
        <v>18</v>
      </c>
      <c r="M211" s="47"/>
      <c r="N211" s="47"/>
      <c r="O211" s="47"/>
      <c r="P211" s="47"/>
      <c r="Q211" s="47"/>
      <c r="R211" s="47"/>
      <c r="S211" s="47"/>
      <c r="T211" s="70"/>
      <c r="U211" s="143">
        <f t="shared" si="37"/>
        <v>0</v>
      </c>
    </row>
    <row r="212" spans="1:21" ht="15">
      <c r="A212" s="195" t="s">
        <v>9</v>
      </c>
      <c r="B212" s="56" t="s">
        <v>13</v>
      </c>
      <c r="C212" s="56"/>
      <c r="D212" s="56"/>
      <c r="E212" s="56"/>
      <c r="F212" s="56"/>
      <c r="G212" s="56"/>
      <c r="H212" s="56"/>
      <c r="I212" s="56"/>
      <c r="J212" s="56"/>
      <c r="K212" s="196" t="s">
        <v>9</v>
      </c>
      <c r="L212" s="56" t="s">
        <v>13</v>
      </c>
      <c r="M212" s="56"/>
      <c r="N212" s="56"/>
      <c r="O212" s="56"/>
      <c r="P212" s="56"/>
      <c r="Q212" s="56"/>
      <c r="R212" s="56"/>
      <c r="S212" s="56"/>
      <c r="T212" s="67"/>
      <c r="U212" s="134">
        <f>SUM(M212:Q212,E212:J212)</f>
        <v>0</v>
      </c>
    </row>
    <row r="213" spans="1:21" ht="15">
      <c r="A213" s="204"/>
      <c r="B213" s="4" t="s">
        <v>14</v>
      </c>
      <c r="C213" s="4"/>
      <c r="D213" s="4"/>
      <c r="E213" s="4"/>
      <c r="F213" s="4"/>
      <c r="G213" s="4"/>
      <c r="H213" s="4"/>
      <c r="I213" s="4"/>
      <c r="J213" s="4"/>
      <c r="K213" s="205"/>
      <c r="L213" s="4" t="s">
        <v>14</v>
      </c>
      <c r="M213" s="4"/>
      <c r="N213" s="4"/>
      <c r="O213" s="4"/>
      <c r="P213" s="4"/>
      <c r="Q213" s="4"/>
      <c r="R213" s="4"/>
      <c r="S213" s="4"/>
      <c r="T213" s="50"/>
      <c r="U213" s="136">
        <f t="shared" ref="U213:U229" si="45">SUM(M213:Q213,E213:J213)</f>
        <v>0</v>
      </c>
    </row>
    <row r="214" spans="1:21" ht="15">
      <c r="A214" s="204"/>
      <c r="B214" s="4" t="s">
        <v>15</v>
      </c>
      <c r="C214" s="4"/>
      <c r="D214" s="4"/>
      <c r="E214" s="4"/>
      <c r="F214" s="4"/>
      <c r="G214" s="4"/>
      <c r="H214" s="4"/>
      <c r="I214" s="4"/>
      <c r="J214" s="4"/>
      <c r="K214" s="205"/>
      <c r="L214" s="4" t="s">
        <v>15</v>
      </c>
      <c r="M214" s="4"/>
      <c r="N214" s="4"/>
      <c r="O214" s="4"/>
      <c r="P214" s="4"/>
      <c r="Q214" s="4"/>
      <c r="R214" s="4"/>
      <c r="S214" s="4"/>
      <c r="T214" s="50"/>
      <c r="U214" s="136">
        <f t="shared" si="45"/>
        <v>0</v>
      </c>
    </row>
    <row r="215" spans="1:21" ht="15">
      <c r="A215" s="204"/>
      <c r="B215" s="4" t="s">
        <v>16</v>
      </c>
      <c r="C215" s="4"/>
      <c r="D215" s="4"/>
      <c r="E215" s="4"/>
      <c r="F215" s="4"/>
      <c r="G215" s="4"/>
      <c r="H215" s="4"/>
      <c r="I215" s="4"/>
      <c r="J215" s="4"/>
      <c r="K215" s="205"/>
      <c r="L215" s="4" t="s">
        <v>16</v>
      </c>
      <c r="M215" s="4"/>
      <c r="N215" s="4"/>
      <c r="O215" s="4"/>
      <c r="P215" s="4"/>
      <c r="Q215" s="4"/>
      <c r="R215" s="4"/>
      <c r="S215" s="4"/>
      <c r="T215" s="50"/>
      <c r="U215" s="136">
        <f t="shared" si="45"/>
        <v>0</v>
      </c>
    </row>
    <row r="216" spans="1:21" ht="15">
      <c r="A216" s="204"/>
      <c r="B216" s="4" t="s">
        <v>17</v>
      </c>
      <c r="C216" s="4"/>
      <c r="D216" s="4"/>
      <c r="E216" s="4"/>
      <c r="F216" s="4"/>
      <c r="G216" s="4"/>
      <c r="H216" s="4"/>
      <c r="I216" s="4"/>
      <c r="J216" s="4"/>
      <c r="K216" s="205"/>
      <c r="L216" s="4" t="s">
        <v>17</v>
      </c>
      <c r="M216" s="4"/>
      <c r="N216" s="4"/>
      <c r="O216" s="4"/>
      <c r="P216" s="4"/>
      <c r="Q216" s="4"/>
      <c r="R216" s="4"/>
      <c r="S216" s="4"/>
      <c r="T216" s="50"/>
      <c r="U216" s="136">
        <f t="shared" si="45"/>
        <v>0</v>
      </c>
    </row>
    <row r="217" spans="1:21" ht="15">
      <c r="A217" s="204"/>
      <c r="B217" s="46" t="s">
        <v>18</v>
      </c>
      <c r="C217" s="46"/>
      <c r="D217" s="46"/>
      <c r="E217" s="46"/>
      <c r="F217" s="46"/>
      <c r="G217" s="46"/>
      <c r="H217" s="46"/>
      <c r="I217" s="46"/>
      <c r="J217" s="46"/>
      <c r="K217" s="205"/>
      <c r="L217" s="46" t="s">
        <v>18</v>
      </c>
      <c r="M217" s="46"/>
      <c r="N217" s="46"/>
      <c r="O217" s="46"/>
      <c r="P217" s="46"/>
      <c r="Q217" s="46"/>
      <c r="R217" s="46"/>
      <c r="S217" s="46"/>
      <c r="T217" s="69"/>
      <c r="U217" s="143">
        <f t="shared" si="45"/>
        <v>0</v>
      </c>
    </row>
    <row r="218" spans="1:21" ht="15">
      <c r="A218" s="193" t="s">
        <v>10</v>
      </c>
      <c r="B218" s="63" t="s">
        <v>13</v>
      </c>
      <c r="C218" s="121"/>
      <c r="D218" s="121"/>
      <c r="E218" s="121"/>
      <c r="F218" s="121"/>
      <c r="G218" s="121"/>
      <c r="H218" s="121"/>
      <c r="I218" s="121"/>
      <c r="J218" s="121"/>
      <c r="K218" s="194" t="s">
        <v>10</v>
      </c>
      <c r="L218" s="63" t="s">
        <v>13</v>
      </c>
      <c r="M218" s="121"/>
      <c r="N218" s="121"/>
      <c r="O218" s="121"/>
      <c r="P218" s="121"/>
      <c r="Q218" s="121"/>
      <c r="R218" s="121"/>
      <c r="S218" s="121"/>
      <c r="T218" s="124"/>
      <c r="U218" s="134">
        <f t="shared" si="45"/>
        <v>0</v>
      </c>
    </row>
    <row r="219" spans="1:21" ht="15">
      <c r="A219" s="204"/>
      <c r="B219" s="6" t="s">
        <v>14</v>
      </c>
      <c r="C219" s="122"/>
      <c r="D219" s="122"/>
      <c r="E219" s="122"/>
      <c r="F219" s="122"/>
      <c r="G219" s="122"/>
      <c r="H219" s="122"/>
      <c r="I219" s="122"/>
      <c r="J219" s="122"/>
      <c r="K219" s="205"/>
      <c r="L219" s="6" t="s">
        <v>14</v>
      </c>
      <c r="M219" s="122"/>
      <c r="N219" s="122"/>
      <c r="O219" s="122"/>
      <c r="P219" s="122"/>
      <c r="Q219" s="122"/>
      <c r="R219" s="122"/>
      <c r="S219" s="122"/>
      <c r="T219" s="125"/>
      <c r="U219" s="136">
        <f t="shared" si="45"/>
        <v>0</v>
      </c>
    </row>
    <row r="220" spans="1:21" ht="15">
      <c r="A220" s="204"/>
      <c r="B220" s="6" t="s">
        <v>15</v>
      </c>
      <c r="C220" s="122"/>
      <c r="D220" s="122"/>
      <c r="E220" s="122"/>
      <c r="F220" s="122"/>
      <c r="G220" s="122"/>
      <c r="H220" s="122"/>
      <c r="I220" s="122"/>
      <c r="J220" s="122"/>
      <c r="K220" s="205"/>
      <c r="L220" s="6" t="s">
        <v>15</v>
      </c>
      <c r="M220" s="122"/>
      <c r="N220" s="122"/>
      <c r="O220" s="122"/>
      <c r="P220" s="122"/>
      <c r="Q220" s="122"/>
      <c r="R220" s="122"/>
      <c r="S220" s="122"/>
      <c r="T220" s="125"/>
      <c r="U220" s="136">
        <f t="shared" si="45"/>
        <v>0</v>
      </c>
    </row>
    <row r="221" spans="1:21" ht="15">
      <c r="A221" s="204"/>
      <c r="B221" s="6" t="s">
        <v>16</v>
      </c>
      <c r="C221" s="122"/>
      <c r="D221" s="122"/>
      <c r="E221" s="122"/>
      <c r="F221" s="122"/>
      <c r="G221" s="122"/>
      <c r="H221" s="122"/>
      <c r="I221" s="122"/>
      <c r="J221" s="122"/>
      <c r="K221" s="205"/>
      <c r="L221" s="6" t="s">
        <v>16</v>
      </c>
      <c r="M221" s="122"/>
      <c r="N221" s="122"/>
      <c r="O221" s="122"/>
      <c r="P221" s="122"/>
      <c r="Q221" s="122"/>
      <c r="R221" s="122"/>
      <c r="S221" s="122"/>
      <c r="T221" s="125"/>
      <c r="U221" s="136">
        <f t="shared" si="45"/>
        <v>0</v>
      </c>
    </row>
    <row r="222" spans="1:21" ht="15">
      <c r="A222" s="204"/>
      <c r="B222" s="6" t="s">
        <v>17</v>
      </c>
      <c r="C222" s="122"/>
      <c r="D222" s="122"/>
      <c r="E222" s="122"/>
      <c r="F222" s="122"/>
      <c r="G222" s="122"/>
      <c r="H222" s="122"/>
      <c r="I222" s="122"/>
      <c r="J222" s="122"/>
      <c r="K222" s="205"/>
      <c r="L222" s="6" t="s">
        <v>17</v>
      </c>
      <c r="M222" s="122"/>
      <c r="N222" s="122"/>
      <c r="O222" s="122"/>
      <c r="P222" s="122"/>
      <c r="Q222" s="122"/>
      <c r="R222" s="122"/>
      <c r="S222" s="122"/>
      <c r="T222" s="125"/>
      <c r="U222" s="136">
        <f t="shared" si="45"/>
        <v>0</v>
      </c>
    </row>
    <row r="223" spans="1:21" ht="15">
      <c r="A223" s="204"/>
      <c r="B223" s="47" t="s">
        <v>18</v>
      </c>
      <c r="C223" s="123"/>
      <c r="D223" s="123"/>
      <c r="E223" s="123"/>
      <c r="F223" s="123"/>
      <c r="G223" s="123"/>
      <c r="H223" s="123"/>
      <c r="I223" s="123"/>
      <c r="J223" s="123"/>
      <c r="K223" s="205"/>
      <c r="L223" s="47" t="s">
        <v>18</v>
      </c>
      <c r="M223" s="123"/>
      <c r="N223" s="123"/>
      <c r="O223" s="123"/>
      <c r="P223" s="123"/>
      <c r="Q223" s="123"/>
      <c r="R223" s="123"/>
      <c r="S223" s="123"/>
      <c r="T223" s="126"/>
      <c r="U223" s="143">
        <f t="shared" si="45"/>
        <v>0</v>
      </c>
    </row>
    <row r="224" spans="1:21" ht="15">
      <c r="A224" s="195" t="s">
        <v>11</v>
      </c>
      <c r="B224" s="56" t="s">
        <v>13</v>
      </c>
      <c r="C224" s="127"/>
      <c r="D224" s="127"/>
      <c r="E224" s="127"/>
      <c r="F224" s="127"/>
      <c r="G224" s="127"/>
      <c r="H224" s="127"/>
      <c r="I224" s="127"/>
      <c r="J224" s="127"/>
      <c r="K224" s="196" t="s">
        <v>11</v>
      </c>
      <c r="L224" s="56" t="s">
        <v>13</v>
      </c>
      <c r="M224" s="127"/>
      <c r="N224" s="127"/>
      <c r="O224" s="127"/>
      <c r="P224" s="127"/>
      <c r="Q224" s="127"/>
      <c r="R224" s="127"/>
      <c r="S224" s="127"/>
      <c r="T224" s="130"/>
      <c r="U224" s="134">
        <f t="shared" si="45"/>
        <v>0</v>
      </c>
    </row>
    <row r="225" spans="1:21" ht="15">
      <c r="A225" s="204"/>
      <c r="B225" s="4" t="s">
        <v>14</v>
      </c>
      <c r="C225" s="128"/>
      <c r="D225" s="128"/>
      <c r="E225" s="128"/>
      <c r="F225" s="128"/>
      <c r="G225" s="128"/>
      <c r="H225" s="128"/>
      <c r="I225" s="128"/>
      <c r="J225" s="128"/>
      <c r="K225" s="205"/>
      <c r="L225" s="4" t="s">
        <v>14</v>
      </c>
      <c r="M225" s="128"/>
      <c r="N225" s="128"/>
      <c r="O225" s="128"/>
      <c r="P225" s="128"/>
      <c r="Q225" s="128"/>
      <c r="R225" s="128"/>
      <c r="S225" s="128"/>
      <c r="T225" s="131"/>
      <c r="U225" s="136">
        <f t="shared" si="45"/>
        <v>0</v>
      </c>
    </row>
    <row r="226" spans="1:21" ht="15">
      <c r="A226" s="204"/>
      <c r="B226" s="4" t="s">
        <v>15</v>
      </c>
      <c r="C226" s="128"/>
      <c r="D226" s="128"/>
      <c r="E226" s="128"/>
      <c r="F226" s="128"/>
      <c r="G226" s="128"/>
      <c r="H226" s="128"/>
      <c r="I226" s="128"/>
      <c r="J226" s="128"/>
      <c r="K226" s="205"/>
      <c r="L226" s="4" t="s">
        <v>15</v>
      </c>
      <c r="M226" s="128"/>
      <c r="N226" s="128"/>
      <c r="O226" s="128"/>
      <c r="P226" s="128"/>
      <c r="Q226" s="128"/>
      <c r="R226" s="128"/>
      <c r="S226" s="128"/>
      <c r="T226" s="131"/>
      <c r="U226" s="136">
        <f t="shared" si="45"/>
        <v>0</v>
      </c>
    </row>
    <row r="227" spans="1:21" ht="15">
      <c r="A227" s="204"/>
      <c r="B227" s="4" t="s">
        <v>16</v>
      </c>
      <c r="C227" s="128"/>
      <c r="D227" s="128"/>
      <c r="E227" s="128"/>
      <c r="F227" s="128"/>
      <c r="G227" s="128"/>
      <c r="H227" s="128"/>
      <c r="I227" s="128"/>
      <c r="J227" s="128"/>
      <c r="K227" s="205"/>
      <c r="L227" s="4" t="s">
        <v>16</v>
      </c>
      <c r="M227" s="128"/>
      <c r="N227" s="128"/>
      <c r="O227" s="128"/>
      <c r="P227" s="128"/>
      <c r="Q227" s="128"/>
      <c r="R227" s="128"/>
      <c r="S227" s="128"/>
      <c r="T227" s="131"/>
      <c r="U227" s="136">
        <f t="shared" si="45"/>
        <v>0</v>
      </c>
    </row>
    <row r="228" spans="1:21" ht="15">
      <c r="A228" s="204"/>
      <c r="B228" s="4" t="s">
        <v>17</v>
      </c>
      <c r="C228" s="128"/>
      <c r="D228" s="128"/>
      <c r="E228" s="128"/>
      <c r="F228" s="128"/>
      <c r="G228" s="128"/>
      <c r="H228" s="128"/>
      <c r="I228" s="128"/>
      <c r="J228" s="128"/>
      <c r="K228" s="205"/>
      <c r="L228" s="4" t="s">
        <v>17</v>
      </c>
      <c r="M228" s="128"/>
      <c r="N228" s="128"/>
      <c r="O228" s="128"/>
      <c r="P228" s="128"/>
      <c r="Q228" s="128"/>
      <c r="R228" s="128"/>
      <c r="S228" s="128"/>
      <c r="T228" s="131"/>
      <c r="U228" s="136">
        <f t="shared" si="45"/>
        <v>0</v>
      </c>
    </row>
    <row r="229" spans="1:21" ht="15">
      <c r="A229" s="206"/>
      <c r="B229" s="61" t="s">
        <v>18</v>
      </c>
      <c r="C229" s="129"/>
      <c r="D229" s="129"/>
      <c r="E229" s="129"/>
      <c r="F229" s="129"/>
      <c r="G229" s="129"/>
      <c r="H229" s="129"/>
      <c r="I229" s="129"/>
      <c r="J229" s="129"/>
      <c r="K229" s="207"/>
      <c r="L229" s="61" t="s">
        <v>18</v>
      </c>
      <c r="M229" s="129"/>
      <c r="N229" s="129"/>
      <c r="O229" s="129"/>
      <c r="P229" s="129"/>
      <c r="Q229" s="129"/>
      <c r="R229" s="129"/>
      <c r="S229" s="129"/>
      <c r="T229" s="132"/>
      <c r="U229" s="149">
        <f t="shared" si="45"/>
        <v>0</v>
      </c>
    </row>
  </sheetData>
  <mergeCells count="112">
    <mergeCell ref="AD4:AE4"/>
    <mergeCell ref="AG4:AN4"/>
    <mergeCell ref="AP4:AW4"/>
    <mergeCell ref="Z6:AA6"/>
    <mergeCell ref="C1:G1"/>
    <mergeCell ref="B2:D2"/>
    <mergeCell ref="F2:H2"/>
    <mergeCell ref="L2:N2"/>
    <mergeCell ref="P2:R2"/>
    <mergeCell ref="K4:K9"/>
    <mergeCell ref="A22:A27"/>
    <mergeCell ref="K22:K27"/>
    <mergeCell ref="A28:A33"/>
    <mergeCell ref="K28:K33"/>
    <mergeCell ref="A34:A39"/>
    <mergeCell ref="K34:K39"/>
    <mergeCell ref="Z8:AA8"/>
    <mergeCell ref="A10:A15"/>
    <mergeCell ref="K10:K15"/>
    <mergeCell ref="Z10:AA10"/>
    <mergeCell ref="A16:A21"/>
    <mergeCell ref="K16:K21"/>
    <mergeCell ref="A4:A9"/>
    <mergeCell ref="W4:X4"/>
    <mergeCell ref="Z4:AA4"/>
    <mergeCell ref="W50:X50"/>
    <mergeCell ref="AG50:AN50"/>
    <mergeCell ref="A56:A61"/>
    <mergeCell ref="K56:K61"/>
    <mergeCell ref="A40:A45"/>
    <mergeCell ref="K40:K45"/>
    <mergeCell ref="C47:G47"/>
    <mergeCell ref="B48:D48"/>
    <mergeCell ref="F48:H48"/>
    <mergeCell ref="L48:N48"/>
    <mergeCell ref="A62:A67"/>
    <mergeCell ref="K62:K67"/>
    <mergeCell ref="A68:A73"/>
    <mergeCell ref="K68:K73"/>
    <mergeCell ref="A74:A79"/>
    <mergeCell ref="K74:K79"/>
    <mergeCell ref="P48:R48"/>
    <mergeCell ref="A50:A55"/>
    <mergeCell ref="K50:K55"/>
    <mergeCell ref="W96:X96"/>
    <mergeCell ref="AG96:AN96"/>
    <mergeCell ref="A80:A85"/>
    <mergeCell ref="K80:K85"/>
    <mergeCell ref="A86:A91"/>
    <mergeCell ref="K86:K91"/>
    <mergeCell ref="C93:G93"/>
    <mergeCell ref="B94:D94"/>
    <mergeCell ref="F94:H94"/>
    <mergeCell ref="A102:A107"/>
    <mergeCell ref="K102:K107"/>
    <mergeCell ref="A108:A113"/>
    <mergeCell ref="K108:K113"/>
    <mergeCell ref="A114:A119"/>
    <mergeCell ref="K114:K119"/>
    <mergeCell ref="L94:N94"/>
    <mergeCell ref="P94:R94"/>
    <mergeCell ref="A96:A101"/>
    <mergeCell ref="K96:K101"/>
    <mergeCell ref="C139:G139"/>
    <mergeCell ref="B140:D140"/>
    <mergeCell ref="F140:H140"/>
    <mergeCell ref="L140:N140"/>
    <mergeCell ref="P140:R140"/>
    <mergeCell ref="A142:A147"/>
    <mergeCell ref="K142:K147"/>
    <mergeCell ref="A120:A125"/>
    <mergeCell ref="K120:K125"/>
    <mergeCell ref="A126:A131"/>
    <mergeCell ref="K126:K131"/>
    <mergeCell ref="A132:A137"/>
    <mergeCell ref="K132:K137"/>
    <mergeCell ref="A160:A165"/>
    <mergeCell ref="K160:K165"/>
    <mergeCell ref="A166:A171"/>
    <mergeCell ref="K166:K171"/>
    <mergeCell ref="A172:A177"/>
    <mergeCell ref="K172:K177"/>
    <mergeCell ref="W142:X142"/>
    <mergeCell ref="AG142:AN142"/>
    <mergeCell ref="A148:A153"/>
    <mergeCell ref="K148:K153"/>
    <mergeCell ref="A154:A159"/>
    <mergeCell ref="K154:K159"/>
    <mergeCell ref="Y145:AA145"/>
    <mergeCell ref="P186:R186"/>
    <mergeCell ref="A188:A193"/>
    <mergeCell ref="K188:K193"/>
    <mergeCell ref="W188:X188"/>
    <mergeCell ref="AG188:AN188"/>
    <mergeCell ref="A194:A199"/>
    <mergeCell ref="K194:K199"/>
    <mergeCell ref="A178:A183"/>
    <mergeCell ref="K178:K183"/>
    <mergeCell ref="C185:G185"/>
    <mergeCell ref="B186:D186"/>
    <mergeCell ref="F186:H186"/>
    <mergeCell ref="L186:N186"/>
    <mergeCell ref="A218:A223"/>
    <mergeCell ref="K218:K223"/>
    <mergeCell ref="A224:A229"/>
    <mergeCell ref="K224:K229"/>
    <mergeCell ref="A200:A205"/>
    <mergeCell ref="K200:K205"/>
    <mergeCell ref="A206:A211"/>
    <mergeCell ref="K206:K211"/>
    <mergeCell ref="A212:A217"/>
    <mergeCell ref="K212:K21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D498-1099-46A9-B326-78BA42B10323}">
  <sheetPr>
    <outlinePr summaryBelow="0" summaryRight="0"/>
    <pageSetUpPr fitToPage="1"/>
  </sheetPr>
  <dimension ref="A1:AW229"/>
  <sheetViews>
    <sheetView tabSelected="1" topLeftCell="AH1" workbookViewId="0">
      <selection activeCell="G81" sqref="G81"/>
    </sheetView>
  </sheetViews>
  <sheetFormatPr defaultColWidth="12.5703125" defaultRowHeight="15.75" customHeight="1"/>
  <cols>
    <col min="1" max="1" width="13.140625" bestFit="1" customWidth="1"/>
    <col min="2" max="2" width="16.140625" bestFit="1" customWidth="1"/>
    <col min="3" max="10" width="10.42578125" customWidth="1"/>
    <col min="11" max="11" width="13.140625" bestFit="1" customWidth="1"/>
    <col min="12" max="12" width="16.140625" bestFit="1" customWidth="1"/>
    <col min="13" max="20" width="10.42578125" customWidth="1"/>
    <col min="21" max="22" width="9.140625" bestFit="1" customWidth="1"/>
    <col min="23" max="23" width="13" bestFit="1" customWidth="1"/>
    <col min="24" max="26" width="9.140625" bestFit="1" customWidth="1"/>
    <col min="27" max="27" width="14.140625" customWidth="1"/>
  </cols>
  <sheetData>
    <row r="1" spans="1:49" ht="18.75" customHeight="1">
      <c r="A1" s="1"/>
      <c r="B1" s="1"/>
      <c r="C1" s="183" t="s">
        <v>0</v>
      </c>
      <c r="D1" s="225"/>
      <c r="E1" s="225"/>
      <c r="F1" s="225"/>
      <c r="G1" s="226"/>
      <c r="H1" s="2"/>
      <c r="I1" s="1"/>
    </row>
    <row r="2" spans="1:49" ht="18.75" customHeight="1">
      <c r="A2" s="1"/>
      <c r="B2" s="183" t="s">
        <v>1</v>
      </c>
      <c r="C2" s="225"/>
      <c r="D2" s="226"/>
      <c r="E2" s="1"/>
      <c r="F2" s="184" t="s">
        <v>81</v>
      </c>
      <c r="G2" s="225"/>
      <c r="H2" s="226"/>
      <c r="I2" s="1"/>
      <c r="K2" s="1"/>
      <c r="L2" s="183" t="s">
        <v>26</v>
      </c>
      <c r="M2" s="225"/>
      <c r="N2" s="226"/>
      <c r="O2" s="1"/>
      <c r="P2" s="184" t="s">
        <v>81</v>
      </c>
      <c r="Q2" s="225"/>
      <c r="R2" s="226"/>
      <c r="S2" s="1"/>
    </row>
    <row r="3" spans="1:49" ht="18.75" customHeight="1">
      <c r="A3" s="54" t="s">
        <v>35</v>
      </c>
      <c r="B3" s="54" t="s">
        <v>4</v>
      </c>
      <c r="C3" s="54" t="s">
        <v>12</v>
      </c>
      <c r="D3" s="54" t="s">
        <v>19</v>
      </c>
      <c r="E3" s="54" t="s">
        <v>20</v>
      </c>
      <c r="F3" s="54" t="s">
        <v>21</v>
      </c>
      <c r="G3" s="54" t="s">
        <v>22</v>
      </c>
      <c r="H3" s="54" t="s">
        <v>23</v>
      </c>
      <c r="I3" s="54" t="s">
        <v>24</v>
      </c>
      <c r="J3" s="54" t="s">
        <v>25</v>
      </c>
      <c r="K3" s="54" t="s">
        <v>35</v>
      </c>
      <c r="L3" s="54" t="s">
        <v>4</v>
      </c>
      <c r="M3" s="54" t="s">
        <v>27</v>
      </c>
      <c r="N3" s="54" t="s">
        <v>28</v>
      </c>
      <c r="O3" s="54" t="s">
        <v>29</v>
      </c>
      <c r="P3" s="54" t="s">
        <v>30</v>
      </c>
      <c r="Q3" s="54" t="s">
        <v>31</v>
      </c>
      <c r="R3" s="54" t="s">
        <v>32</v>
      </c>
      <c r="S3" s="54" t="s">
        <v>33</v>
      </c>
      <c r="T3" s="54" t="s">
        <v>34</v>
      </c>
      <c r="U3" s="54" t="s">
        <v>55</v>
      </c>
    </row>
    <row r="4" spans="1:49" ht="18.75" customHeight="1">
      <c r="A4" s="195" t="s">
        <v>5</v>
      </c>
      <c r="B4" s="56" t="s">
        <v>13</v>
      </c>
      <c r="C4" s="57"/>
      <c r="D4" s="57"/>
      <c r="E4" s="56">
        <v>20</v>
      </c>
      <c r="F4" s="56">
        <v>27</v>
      </c>
      <c r="G4" s="56">
        <v>34</v>
      </c>
      <c r="H4" s="4">
        <v>37</v>
      </c>
      <c r="I4" s="56">
        <v>44</v>
      </c>
      <c r="J4" s="56">
        <v>22</v>
      </c>
      <c r="K4" s="196" t="s">
        <v>5</v>
      </c>
      <c r="L4" s="56" t="s">
        <v>13</v>
      </c>
      <c r="M4" s="56">
        <v>18</v>
      </c>
      <c r="N4" s="56">
        <v>19</v>
      </c>
      <c r="O4" s="56">
        <v>20</v>
      </c>
      <c r="P4" s="56">
        <v>19</v>
      </c>
      <c r="Q4" s="67">
        <v>32</v>
      </c>
      <c r="R4" s="57"/>
      <c r="S4" s="57"/>
      <c r="T4" s="58"/>
      <c r="U4" s="59">
        <f>SUM(M4:T4,C4:J4)</f>
        <v>292</v>
      </c>
      <c r="W4" s="197" t="s">
        <v>2</v>
      </c>
      <c r="X4" s="198"/>
      <c r="Z4" s="197" t="s">
        <v>56</v>
      </c>
      <c r="AA4" s="203"/>
      <c r="AB4" s="83">
        <f>SUM(X12,X58,X104,X150,X196)</f>
        <v>26971</v>
      </c>
      <c r="AD4" s="197" t="s">
        <v>57</v>
      </c>
      <c r="AE4" s="198"/>
      <c r="AG4" s="190" t="s">
        <v>58</v>
      </c>
      <c r="AH4" s="191"/>
      <c r="AI4" s="191"/>
      <c r="AJ4" s="191"/>
      <c r="AK4" s="191"/>
      <c r="AL4" s="191"/>
      <c r="AM4" s="191"/>
      <c r="AN4" s="192"/>
      <c r="AP4" s="190" t="s">
        <v>59</v>
      </c>
      <c r="AQ4" s="191"/>
      <c r="AR4" s="191"/>
      <c r="AS4" s="191"/>
      <c r="AT4" s="191"/>
      <c r="AU4" s="191"/>
      <c r="AV4" s="191"/>
      <c r="AW4" s="192"/>
    </row>
    <row r="5" spans="1:49" ht="18.75" customHeight="1">
      <c r="A5" s="230"/>
      <c r="B5" s="4" t="s">
        <v>14</v>
      </c>
      <c r="C5" s="5"/>
      <c r="D5" s="5"/>
      <c r="E5" s="4">
        <v>8</v>
      </c>
      <c r="F5" s="4">
        <v>9</v>
      </c>
      <c r="G5" s="4">
        <v>8</v>
      </c>
      <c r="H5" s="4">
        <v>12</v>
      </c>
      <c r="I5" s="4">
        <v>15</v>
      </c>
      <c r="J5" s="4">
        <v>19</v>
      </c>
      <c r="K5" s="227"/>
      <c r="L5" s="4" t="s">
        <v>14</v>
      </c>
      <c r="M5" s="4">
        <v>12</v>
      </c>
      <c r="N5" s="4">
        <v>9</v>
      </c>
      <c r="O5" s="4">
        <v>11</v>
      </c>
      <c r="P5" s="4">
        <v>4</v>
      </c>
      <c r="Q5" s="50">
        <v>5</v>
      </c>
      <c r="R5" s="5"/>
      <c r="S5" s="5"/>
      <c r="T5" s="49"/>
      <c r="U5" s="60">
        <f t="shared" ref="U5:U45" si="0">SUM(M5:Q5,E5:J5)</f>
        <v>112</v>
      </c>
      <c r="W5" s="55" t="s">
        <v>5</v>
      </c>
      <c r="X5" s="48">
        <f>SUM(U4:U9)</f>
        <v>994</v>
      </c>
      <c r="AD5" s="55" t="s">
        <v>5</v>
      </c>
      <c r="AE5" s="48">
        <f t="shared" ref="AE5:AE11" si="1">AVERAGE(X5,X51,X97,X143,X189)</f>
        <v>659.6</v>
      </c>
      <c r="AG5" s="98" t="s">
        <v>4</v>
      </c>
      <c r="AH5" s="98" t="s">
        <v>5</v>
      </c>
      <c r="AI5" s="98" t="s">
        <v>6</v>
      </c>
      <c r="AJ5" s="98" t="s">
        <v>7</v>
      </c>
      <c r="AK5" s="98" t="s">
        <v>8</v>
      </c>
      <c r="AL5" s="98" t="s">
        <v>9</v>
      </c>
      <c r="AM5" s="98" t="s">
        <v>10</v>
      </c>
      <c r="AN5" s="98" t="s">
        <v>11</v>
      </c>
      <c r="AP5" s="98" t="s">
        <v>4</v>
      </c>
      <c r="AQ5" s="98" t="s">
        <v>5</v>
      </c>
      <c r="AR5" s="98" t="s">
        <v>6</v>
      </c>
      <c r="AS5" s="98" t="s">
        <v>7</v>
      </c>
      <c r="AT5" s="98" t="s">
        <v>8</v>
      </c>
      <c r="AU5" s="98" t="s">
        <v>9</v>
      </c>
      <c r="AV5" s="98" t="s">
        <v>10</v>
      </c>
      <c r="AW5" s="98" t="s">
        <v>11</v>
      </c>
    </row>
    <row r="6" spans="1:49" ht="18.75" customHeight="1">
      <c r="A6" s="230"/>
      <c r="B6" s="4" t="s">
        <v>15</v>
      </c>
      <c r="C6" s="5"/>
      <c r="D6" s="5"/>
      <c r="E6" s="4">
        <v>22</v>
      </c>
      <c r="F6" s="4">
        <v>25</v>
      </c>
      <c r="G6" s="4">
        <v>27</v>
      </c>
      <c r="H6" s="4">
        <v>34</v>
      </c>
      <c r="I6" s="4">
        <v>39</v>
      </c>
      <c r="J6" s="4">
        <v>28</v>
      </c>
      <c r="K6" s="227"/>
      <c r="L6" s="4" t="s">
        <v>15</v>
      </c>
      <c r="M6" s="4">
        <v>24</v>
      </c>
      <c r="N6" s="4">
        <v>31</v>
      </c>
      <c r="O6" s="4">
        <v>18</v>
      </c>
      <c r="P6" s="4">
        <v>31</v>
      </c>
      <c r="Q6" s="50">
        <v>24</v>
      </c>
      <c r="R6" s="5"/>
      <c r="S6" s="5"/>
      <c r="T6" s="49"/>
      <c r="U6" s="60">
        <f t="shared" si="0"/>
        <v>303</v>
      </c>
      <c r="W6" s="55" t="s">
        <v>6</v>
      </c>
      <c r="X6" s="48">
        <f>SUM(U10:U15)</f>
        <v>643</v>
      </c>
      <c r="Z6" s="197" t="s">
        <v>60</v>
      </c>
      <c r="AA6" s="203"/>
      <c r="AB6" s="83"/>
      <c r="AD6" s="55" t="s">
        <v>6</v>
      </c>
      <c r="AE6" s="48">
        <f t="shared" si="1"/>
        <v>394.8</v>
      </c>
      <c r="AG6" s="79" t="s">
        <v>13</v>
      </c>
      <c r="AH6" s="79">
        <f t="shared" ref="AH6:AH11" si="2">U4</f>
        <v>292</v>
      </c>
      <c r="AI6" s="79">
        <f t="shared" ref="AI6:AI11" si="3">U10</f>
        <v>208</v>
      </c>
      <c r="AJ6" s="79">
        <f t="shared" ref="AJ6:AJ11" si="4">U16</f>
        <v>279</v>
      </c>
      <c r="AK6" s="79">
        <f t="shared" ref="AK6:AK11" si="5">U22</f>
        <v>215</v>
      </c>
      <c r="AL6" s="79">
        <f t="shared" ref="AL6:AL11" si="6">U28</f>
        <v>187</v>
      </c>
      <c r="AM6" s="79">
        <f t="shared" ref="AM6:AM11" si="7">U34</f>
        <v>214</v>
      </c>
      <c r="AN6" s="79">
        <f t="shared" ref="AN6:AN11" si="8">U40</f>
        <v>36</v>
      </c>
      <c r="AP6" s="79" t="s">
        <v>13</v>
      </c>
      <c r="AQ6" s="79">
        <f t="shared" ref="AQ6:AW11" si="9">SUM(AH6,AH52,AH98,AH144,AH190)</f>
        <v>977</v>
      </c>
      <c r="AR6" s="79">
        <f t="shared" si="9"/>
        <v>648</v>
      </c>
      <c r="AS6" s="79">
        <f t="shared" si="9"/>
        <v>1546</v>
      </c>
      <c r="AT6" s="79">
        <f t="shared" si="9"/>
        <v>1321</v>
      </c>
      <c r="AU6" s="79">
        <f t="shared" si="9"/>
        <v>1293</v>
      </c>
      <c r="AV6" s="79">
        <f t="shared" si="9"/>
        <v>1316</v>
      </c>
      <c r="AW6" s="79">
        <f t="shared" si="9"/>
        <v>749</v>
      </c>
    </row>
    <row r="7" spans="1:49" ht="18.75" customHeight="1">
      <c r="A7" s="230"/>
      <c r="B7" s="4" t="s">
        <v>16</v>
      </c>
      <c r="C7" s="5"/>
      <c r="D7" s="5"/>
      <c r="E7" s="4">
        <v>4</v>
      </c>
      <c r="F7" s="4">
        <v>9</v>
      </c>
      <c r="G7" s="4">
        <v>11</v>
      </c>
      <c r="H7" s="4">
        <v>15</v>
      </c>
      <c r="I7" s="4">
        <v>17</v>
      </c>
      <c r="J7" s="4">
        <v>15</v>
      </c>
      <c r="K7" s="227"/>
      <c r="L7" s="4" t="s">
        <v>16</v>
      </c>
      <c r="M7" s="4">
        <v>18</v>
      </c>
      <c r="N7" s="4">
        <v>10</v>
      </c>
      <c r="O7" s="4">
        <v>8</v>
      </c>
      <c r="P7" s="4">
        <v>4</v>
      </c>
      <c r="Q7" s="50">
        <v>4</v>
      </c>
      <c r="R7" s="5"/>
      <c r="S7" s="5"/>
      <c r="T7" s="49"/>
      <c r="U7" s="60">
        <f t="shared" si="0"/>
        <v>115</v>
      </c>
      <c r="W7" s="55" t="s">
        <v>7</v>
      </c>
      <c r="X7" s="48">
        <f>SUM(U16:U21)</f>
        <v>972</v>
      </c>
      <c r="AD7" s="55" t="s">
        <v>7</v>
      </c>
      <c r="AE7" s="48">
        <f t="shared" si="1"/>
        <v>1046.8</v>
      </c>
      <c r="AG7" s="97" t="s">
        <v>14</v>
      </c>
      <c r="AH7" s="97">
        <f t="shared" si="2"/>
        <v>112</v>
      </c>
      <c r="AI7" s="97">
        <f t="shared" si="3"/>
        <v>68</v>
      </c>
      <c r="AJ7" s="97">
        <f t="shared" si="4"/>
        <v>125</v>
      </c>
      <c r="AK7" s="97">
        <f t="shared" si="5"/>
        <v>112</v>
      </c>
      <c r="AL7" s="97">
        <f t="shared" si="6"/>
        <v>115</v>
      </c>
      <c r="AM7" s="97">
        <f t="shared" si="7"/>
        <v>108</v>
      </c>
      <c r="AN7" s="97">
        <f t="shared" si="8"/>
        <v>13</v>
      </c>
      <c r="AP7" s="97" t="s">
        <v>14</v>
      </c>
      <c r="AQ7" s="97">
        <f t="shared" si="9"/>
        <v>355</v>
      </c>
      <c r="AR7" s="97">
        <f t="shared" si="9"/>
        <v>240</v>
      </c>
      <c r="AS7" s="97">
        <f t="shared" si="9"/>
        <v>671</v>
      </c>
      <c r="AT7" s="97">
        <f t="shared" si="9"/>
        <v>545</v>
      </c>
      <c r="AU7" s="97">
        <f t="shared" si="9"/>
        <v>570</v>
      </c>
      <c r="AV7" s="97">
        <f t="shared" si="9"/>
        <v>616</v>
      </c>
      <c r="AW7" s="97">
        <f t="shared" si="9"/>
        <v>368</v>
      </c>
    </row>
    <row r="8" spans="1:49" ht="18.75" customHeight="1">
      <c r="A8" s="230"/>
      <c r="B8" s="4" t="s">
        <v>17</v>
      </c>
      <c r="C8" s="5"/>
      <c r="D8" s="5"/>
      <c r="E8" s="4">
        <v>3</v>
      </c>
      <c r="F8" s="4">
        <v>4</v>
      </c>
      <c r="G8" s="4">
        <v>7</v>
      </c>
      <c r="H8" s="4">
        <v>10</v>
      </c>
      <c r="I8" s="4">
        <v>14</v>
      </c>
      <c r="J8" s="4">
        <v>9</v>
      </c>
      <c r="K8" s="227"/>
      <c r="L8" s="4" t="s">
        <v>17</v>
      </c>
      <c r="M8" s="4">
        <v>8</v>
      </c>
      <c r="N8" s="4">
        <v>6</v>
      </c>
      <c r="O8" s="4">
        <v>4</v>
      </c>
      <c r="P8" s="4">
        <v>10</v>
      </c>
      <c r="Q8" s="50">
        <v>5</v>
      </c>
      <c r="R8" s="5"/>
      <c r="S8" s="5"/>
      <c r="T8" s="49"/>
      <c r="U8" s="60">
        <f t="shared" si="0"/>
        <v>80</v>
      </c>
      <c r="W8" s="55" t="s">
        <v>61</v>
      </c>
      <c r="X8" s="48">
        <f>SUM(U22:U27)</f>
        <v>812</v>
      </c>
      <c r="Z8" s="197" t="s">
        <v>62</v>
      </c>
      <c r="AA8" s="203"/>
      <c r="AB8" s="83"/>
      <c r="AD8" s="55" t="s">
        <v>61</v>
      </c>
      <c r="AE8" s="48">
        <f t="shared" si="1"/>
        <v>892.6</v>
      </c>
      <c r="AG8" s="79" t="s">
        <v>15</v>
      </c>
      <c r="AH8" s="79">
        <f t="shared" si="2"/>
        <v>303</v>
      </c>
      <c r="AI8" s="79">
        <f t="shared" si="3"/>
        <v>206</v>
      </c>
      <c r="AJ8" s="79">
        <f t="shared" si="4"/>
        <v>309</v>
      </c>
      <c r="AK8" s="79">
        <f t="shared" si="5"/>
        <v>261</v>
      </c>
      <c r="AL8" s="79">
        <f t="shared" si="6"/>
        <v>193</v>
      </c>
      <c r="AM8" s="79">
        <f t="shared" si="7"/>
        <v>233</v>
      </c>
      <c r="AN8" s="79">
        <f t="shared" si="8"/>
        <v>44</v>
      </c>
      <c r="AP8" s="79" t="s">
        <v>15</v>
      </c>
      <c r="AQ8" s="79">
        <f t="shared" si="9"/>
        <v>994</v>
      </c>
      <c r="AR8" s="79">
        <f t="shared" si="9"/>
        <v>576</v>
      </c>
      <c r="AS8" s="79">
        <f t="shared" si="9"/>
        <v>1531</v>
      </c>
      <c r="AT8" s="79">
        <f t="shared" si="9"/>
        <v>1379</v>
      </c>
      <c r="AU8" s="79">
        <f t="shared" si="9"/>
        <v>1349</v>
      </c>
      <c r="AV8" s="79">
        <f t="shared" si="9"/>
        <v>1497</v>
      </c>
      <c r="AW8" s="79">
        <f t="shared" si="9"/>
        <v>725</v>
      </c>
    </row>
    <row r="9" spans="1:49" ht="18.75" customHeight="1">
      <c r="A9" s="230"/>
      <c r="B9" s="46" t="s">
        <v>18</v>
      </c>
      <c r="C9" s="64"/>
      <c r="D9" s="64"/>
      <c r="E9" s="46">
        <v>10</v>
      </c>
      <c r="F9" s="46">
        <v>3</v>
      </c>
      <c r="G9" s="46">
        <v>5</v>
      </c>
      <c r="H9" s="46">
        <v>18</v>
      </c>
      <c r="I9" s="46">
        <v>6</v>
      </c>
      <c r="J9" s="46">
        <v>12</v>
      </c>
      <c r="K9" s="227"/>
      <c r="L9" s="46" t="s">
        <v>18</v>
      </c>
      <c r="M9" s="46">
        <v>6</v>
      </c>
      <c r="N9" s="46">
        <v>4</v>
      </c>
      <c r="O9" s="46">
        <v>11</v>
      </c>
      <c r="P9" s="46">
        <v>12</v>
      </c>
      <c r="Q9" s="69">
        <v>5</v>
      </c>
      <c r="R9" s="64"/>
      <c r="S9" s="64"/>
      <c r="T9" s="65"/>
      <c r="U9" s="66">
        <f t="shared" si="0"/>
        <v>92</v>
      </c>
      <c r="W9" s="55" t="s">
        <v>9</v>
      </c>
      <c r="X9" s="48">
        <f>SUM(U28:U33)</f>
        <v>726</v>
      </c>
      <c r="AD9" s="55" t="s">
        <v>9</v>
      </c>
      <c r="AE9" s="48">
        <f t="shared" si="1"/>
        <v>912.2</v>
      </c>
      <c r="AG9" s="97" t="s">
        <v>16</v>
      </c>
      <c r="AH9" s="97">
        <f t="shared" si="2"/>
        <v>115</v>
      </c>
      <c r="AI9" s="97">
        <f t="shared" si="3"/>
        <v>49</v>
      </c>
      <c r="AJ9" s="97">
        <f t="shared" si="4"/>
        <v>90</v>
      </c>
      <c r="AK9" s="97">
        <f t="shared" si="5"/>
        <v>59</v>
      </c>
      <c r="AL9" s="97">
        <f t="shared" si="6"/>
        <v>86</v>
      </c>
      <c r="AM9" s="97">
        <f t="shared" si="7"/>
        <v>79</v>
      </c>
      <c r="AN9" s="97">
        <f t="shared" si="8"/>
        <v>7</v>
      </c>
      <c r="AP9" s="97" t="s">
        <v>16</v>
      </c>
      <c r="AQ9" s="97">
        <f t="shared" si="9"/>
        <v>298</v>
      </c>
      <c r="AR9" s="97">
        <f t="shared" si="9"/>
        <v>159</v>
      </c>
      <c r="AS9" s="97">
        <f t="shared" si="9"/>
        <v>506</v>
      </c>
      <c r="AT9" s="97">
        <f t="shared" si="9"/>
        <v>352</v>
      </c>
      <c r="AU9" s="97">
        <f t="shared" si="9"/>
        <v>429</v>
      </c>
      <c r="AV9" s="97">
        <f t="shared" si="9"/>
        <v>455</v>
      </c>
      <c r="AW9" s="97">
        <f t="shared" si="9"/>
        <v>205</v>
      </c>
    </row>
    <row r="10" spans="1:49" ht="18.75" customHeight="1">
      <c r="A10" s="193" t="s">
        <v>6</v>
      </c>
      <c r="B10" s="63" t="s">
        <v>13</v>
      </c>
      <c r="C10" s="57"/>
      <c r="D10" s="57"/>
      <c r="E10" s="57"/>
      <c r="F10" s="63">
        <v>26</v>
      </c>
      <c r="G10" s="63">
        <v>33</v>
      </c>
      <c r="H10" s="63">
        <v>33</v>
      </c>
      <c r="I10" s="63">
        <v>36</v>
      </c>
      <c r="J10" s="63">
        <v>21</v>
      </c>
      <c r="K10" s="194" t="s">
        <v>6</v>
      </c>
      <c r="L10" s="63" t="s">
        <v>13</v>
      </c>
      <c r="M10" s="63">
        <v>20</v>
      </c>
      <c r="N10" s="63">
        <v>12</v>
      </c>
      <c r="O10" s="63">
        <v>13</v>
      </c>
      <c r="P10" s="68">
        <v>14</v>
      </c>
      <c r="Q10" s="57"/>
      <c r="R10" s="57"/>
      <c r="S10" s="57"/>
      <c r="T10" s="58"/>
      <c r="U10" s="59">
        <f t="shared" si="0"/>
        <v>208</v>
      </c>
      <c r="W10" s="55" t="s">
        <v>10</v>
      </c>
      <c r="X10" s="48">
        <f>SUM(U34:U39)</f>
        <v>795</v>
      </c>
      <c r="Z10" s="197" t="s">
        <v>74</v>
      </c>
      <c r="AA10" s="203"/>
      <c r="AB10" s="83"/>
      <c r="AD10" s="55" t="s">
        <v>10</v>
      </c>
      <c r="AE10" s="48">
        <f t="shared" si="1"/>
        <v>965</v>
      </c>
      <c r="AG10" s="79" t="s">
        <v>17</v>
      </c>
      <c r="AH10" s="79">
        <f t="shared" si="2"/>
        <v>80</v>
      </c>
      <c r="AI10" s="79">
        <f t="shared" si="3"/>
        <v>54</v>
      </c>
      <c r="AJ10" s="79">
        <f t="shared" si="4"/>
        <v>72</v>
      </c>
      <c r="AK10" s="79">
        <f t="shared" si="5"/>
        <v>70</v>
      </c>
      <c r="AL10" s="79">
        <f t="shared" si="6"/>
        <v>62</v>
      </c>
      <c r="AM10" s="79">
        <f t="shared" si="7"/>
        <v>90</v>
      </c>
      <c r="AN10" s="79">
        <f t="shared" si="8"/>
        <v>9</v>
      </c>
      <c r="AP10" s="79" t="s">
        <v>17</v>
      </c>
      <c r="AQ10" s="79">
        <f t="shared" si="9"/>
        <v>315</v>
      </c>
      <c r="AR10" s="79">
        <f t="shared" si="9"/>
        <v>179</v>
      </c>
      <c r="AS10" s="79">
        <f t="shared" si="9"/>
        <v>442</v>
      </c>
      <c r="AT10" s="79">
        <f t="shared" si="9"/>
        <v>388</v>
      </c>
      <c r="AU10" s="79">
        <f t="shared" si="9"/>
        <v>392</v>
      </c>
      <c r="AV10" s="79">
        <f t="shared" si="9"/>
        <v>449</v>
      </c>
      <c r="AW10" s="79">
        <f t="shared" si="9"/>
        <v>259</v>
      </c>
    </row>
    <row r="11" spans="1:49" ht="18.75" customHeight="1">
      <c r="A11" s="230"/>
      <c r="B11" s="6" t="s">
        <v>14</v>
      </c>
      <c r="C11" s="5"/>
      <c r="D11" s="5"/>
      <c r="E11" s="5"/>
      <c r="F11" s="6">
        <v>7</v>
      </c>
      <c r="G11" s="6">
        <v>9</v>
      </c>
      <c r="H11" s="6">
        <v>9</v>
      </c>
      <c r="I11" s="6">
        <v>8</v>
      </c>
      <c r="J11" s="6">
        <v>8</v>
      </c>
      <c r="K11" s="227"/>
      <c r="L11" s="6" t="s">
        <v>14</v>
      </c>
      <c r="M11" s="6">
        <v>8</v>
      </c>
      <c r="N11" s="6">
        <v>8</v>
      </c>
      <c r="O11" s="6">
        <v>5</v>
      </c>
      <c r="P11" s="51">
        <v>6</v>
      </c>
      <c r="Q11" s="5"/>
      <c r="R11" s="5"/>
      <c r="S11" s="5"/>
      <c r="T11" s="49"/>
      <c r="U11" s="60">
        <f t="shared" si="0"/>
        <v>68</v>
      </c>
      <c r="W11" s="81" t="s">
        <v>11</v>
      </c>
      <c r="X11" s="80">
        <f>SUM(U40:U45)</f>
        <v>120</v>
      </c>
      <c r="AD11" s="81" t="s">
        <v>11</v>
      </c>
      <c r="AE11" s="48">
        <f t="shared" si="1"/>
        <v>523.20000000000005</v>
      </c>
      <c r="AG11" s="97" t="s">
        <v>18</v>
      </c>
      <c r="AH11" s="97">
        <f t="shared" si="2"/>
        <v>92</v>
      </c>
      <c r="AI11" s="97">
        <f t="shared" si="3"/>
        <v>58</v>
      </c>
      <c r="AJ11" s="97">
        <f t="shared" si="4"/>
        <v>97</v>
      </c>
      <c r="AK11" s="97">
        <f t="shared" si="5"/>
        <v>95</v>
      </c>
      <c r="AL11" s="97">
        <f t="shared" si="6"/>
        <v>83</v>
      </c>
      <c r="AM11" s="97">
        <f t="shared" si="7"/>
        <v>71</v>
      </c>
      <c r="AN11" s="97">
        <f t="shared" si="8"/>
        <v>11</v>
      </c>
      <c r="AP11" s="97" t="s">
        <v>18</v>
      </c>
      <c r="AQ11" s="97">
        <f t="shared" si="9"/>
        <v>359</v>
      </c>
      <c r="AR11" s="97">
        <f t="shared" si="9"/>
        <v>172</v>
      </c>
      <c r="AS11" s="97">
        <f t="shared" si="9"/>
        <v>538</v>
      </c>
      <c r="AT11" s="97">
        <f t="shared" si="9"/>
        <v>478</v>
      </c>
      <c r="AU11" s="97">
        <f t="shared" si="9"/>
        <v>528</v>
      </c>
      <c r="AV11" s="97">
        <f t="shared" si="9"/>
        <v>492</v>
      </c>
      <c r="AW11" s="97">
        <f t="shared" si="9"/>
        <v>310</v>
      </c>
    </row>
    <row r="12" spans="1:49" ht="18.75" customHeight="1">
      <c r="A12" s="230"/>
      <c r="B12" s="6" t="s">
        <v>15</v>
      </c>
      <c r="C12" s="5"/>
      <c r="D12" s="5"/>
      <c r="E12" s="5"/>
      <c r="F12" s="6">
        <v>29</v>
      </c>
      <c r="G12" s="6">
        <v>31</v>
      </c>
      <c r="H12" s="6">
        <v>18</v>
      </c>
      <c r="I12" s="6">
        <v>25</v>
      </c>
      <c r="J12" s="6">
        <v>34</v>
      </c>
      <c r="K12" s="227"/>
      <c r="L12" s="6" t="s">
        <v>15</v>
      </c>
      <c r="M12" s="6">
        <v>12</v>
      </c>
      <c r="N12" s="6">
        <v>20</v>
      </c>
      <c r="O12" s="6">
        <v>18</v>
      </c>
      <c r="P12" s="51">
        <v>19</v>
      </c>
      <c r="Q12" s="5"/>
      <c r="R12" s="5"/>
      <c r="S12" s="5"/>
      <c r="T12" s="49"/>
      <c r="U12" s="60">
        <f t="shared" si="0"/>
        <v>206</v>
      </c>
      <c r="W12" s="79" t="s">
        <v>63</v>
      </c>
      <c r="X12" s="82">
        <f>SUM(X5:X11)</f>
        <v>5062</v>
      </c>
      <c r="AD12" s="79" t="s">
        <v>40</v>
      </c>
      <c r="AE12" s="82">
        <f>AVERAGE(AE5:AE11)</f>
        <v>770.6</v>
      </c>
    </row>
    <row r="13" spans="1:49" ht="18.75" customHeight="1">
      <c r="A13" s="230"/>
      <c r="B13" s="6" t="s">
        <v>16</v>
      </c>
      <c r="C13" s="5"/>
      <c r="D13" s="5"/>
      <c r="E13" s="5"/>
      <c r="F13" s="6">
        <v>8</v>
      </c>
      <c r="G13" s="6">
        <v>11</v>
      </c>
      <c r="H13" s="6">
        <v>10</v>
      </c>
      <c r="I13" s="6">
        <v>6</v>
      </c>
      <c r="J13" s="6">
        <v>7</v>
      </c>
      <c r="K13" s="227"/>
      <c r="L13" s="6" t="s">
        <v>16</v>
      </c>
      <c r="M13" s="6">
        <v>1</v>
      </c>
      <c r="N13" s="6">
        <v>2</v>
      </c>
      <c r="O13" s="6">
        <v>1</v>
      </c>
      <c r="P13" s="51">
        <v>3</v>
      </c>
      <c r="Q13" s="5"/>
      <c r="R13" s="5"/>
      <c r="S13" s="5"/>
      <c r="T13" s="49"/>
      <c r="U13" s="60">
        <f t="shared" si="0"/>
        <v>49</v>
      </c>
    </row>
    <row r="14" spans="1:49" ht="18.75" customHeight="1">
      <c r="A14" s="230"/>
      <c r="B14" s="6" t="s">
        <v>17</v>
      </c>
      <c r="C14" s="5"/>
      <c r="D14" s="5"/>
      <c r="E14" s="5"/>
      <c r="F14" s="6">
        <v>4</v>
      </c>
      <c r="G14" s="6">
        <v>12</v>
      </c>
      <c r="H14" s="6">
        <v>10</v>
      </c>
      <c r="I14" s="6">
        <v>9</v>
      </c>
      <c r="J14" s="6">
        <v>10</v>
      </c>
      <c r="K14" s="227"/>
      <c r="L14" s="6" t="s">
        <v>17</v>
      </c>
      <c r="M14" s="6">
        <v>2</v>
      </c>
      <c r="N14" s="6">
        <v>4</v>
      </c>
      <c r="O14" s="6">
        <v>0</v>
      </c>
      <c r="P14" s="51">
        <v>3</v>
      </c>
      <c r="Q14" s="5"/>
      <c r="R14" s="5"/>
      <c r="S14" s="5"/>
      <c r="T14" s="49"/>
      <c r="U14" s="60">
        <f t="shared" si="0"/>
        <v>54</v>
      </c>
    </row>
    <row r="15" spans="1:49" ht="18.75" customHeight="1">
      <c r="A15" s="230"/>
      <c r="B15" s="47" t="s">
        <v>18</v>
      </c>
      <c r="C15" s="64"/>
      <c r="D15" s="64"/>
      <c r="E15" s="64"/>
      <c r="F15" s="47">
        <v>7</v>
      </c>
      <c r="G15" s="47">
        <v>4</v>
      </c>
      <c r="H15" s="47">
        <v>6</v>
      </c>
      <c r="I15" s="47">
        <v>12</v>
      </c>
      <c r="J15" s="47">
        <v>6</v>
      </c>
      <c r="K15" s="227"/>
      <c r="L15" s="47" t="s">
        <v>18</v>
      </c>
      <c r="M15" s="47">
        <v>7</v>
      </c>
      <c r="N15" s="47">
        <v>3</v>
      </c>
      <c r="O15" s="47">
        <v>8</v>
      </c>
      <c r="P15" s="70">
        <v>5</v>
      </c>
      <c r="Q15" s="64"/>
      <c r="R15" s="64"/>
      <c r="S15" s="64"/>
      <c r="T15" s="65"/>
      <c r="U15" s="66">
        <f t="shared" si="0"/>
        <v>58</v>
      </c>
    </row>
    <row r="16" spans="1:49" ht="18.75" customHeight="1">
      <c r="A16" s="195" t="s">
        <v>7</v>
      </c>
      <c r="B16" s="56" t="s">
        <v>13</v>
      </c>
      <c r="C16" s="56">
        <v>16</v>
      </c>
      <c r="D16" s="56">
        <v>24</v>
      </c>
      <c r="E16" s="56">
        <v>32</v>
      </c>
      <c r="F16" s="56">
        <v>21</v>
      </c>
      <c r="G16" s="56">
        <v>36</v>
      </c>
      <c r="H16" s="56">
        <v>33</v>
      </c>
      <c r="I16" s="56">
        <v>25</v>
      </c>
      <c r="J16" s="56">
        <v>13</v>
      </c>
      <c r="K16" s="196" t="s">
        <v>7</v>
      </c>
      <c r="L16" s="56" t="s">
        <v>13</v>
      </c>
      <c r="M16" s="56">
        <v>28</v>
      </c>
      <c r="N16" s="56">
        <v>19</v>
      </c>
      <c r="O16" s="56">
        <v>20</v>
      </c>
      <c r="P16" s="56">
        <v>24</v>
      </c>
      <c r="Q16" s="56">
        <v>28</v>
      </c>
      <c r="R16" s="56">
        <v>31</v>
      </c>
      <c r="S16" s="56">
        <v>19</v>
      </c>
      <c r="T16" s="67">
        <v>32</v>
      </c>
      <c r="U16" s="59">
        <f t="shared" si="0"/>
        <v>279</v>
      </c>
    </row>
    <row r="17" spans="1:33" ht="18.75" customHeight="1">
      <c r="A17" s="230"/>
      <c r="B17" s="4" t="s">
        <v>14</v>
      </c>
      <c r="C17" s="4">
        <v>5</v>
      </c>
      <c r="D17" s="4">
        <v>10</v>
      </c>
      <c r="E17" s="4">
        <v>12</v>
      </c>
      <c r="F17" s="4">
        <v>12</v>
      </c>
      <c r="G17" s="4">
        <v>17</v>
      </c>
      <c r="H17" s="4">
        <v>12</v>
      </c>
      <c r="I17" s="4">
        <v>8</v>
      </c>
      <c r="J17" s="4">
        <v>8</v>
      </c>
      <c r="K17" s="227"/>
      <c r="L17" s="4" t="s">
        <v>14</v>
      </c>
      <c r="M17" s="4">
        <v>14</v>
      </c>
      <c r="N17" s="4">
        <v>9</v>
      </c>
      <c r="O17" s="4">
        <v>11</v>
      </c>
      <c r="P17" s="4">
        <v>8</v>
      </c>
      <c r="Q17" s="4">
        <v>14</v>
      </c>
      <c r="R17" s="4">
        <v>9</v>
      </c>
      <c r="S17" s="4">
        <v>4</v>
      </c>
      <c r="T17" s="50">
        <v>5</v>
      </c>
      <c r="U17" s="60">
        <f t="shared" si="0"/>
        <v>125</v>
      </c>
    </row>
    <row r="18" spans="1:33" ht="18.75" customHeight="1">
      <c r="A18" s="230"/>
      <c r="B18" s="4" t="s">
        <v>15</v>
      </c>
      <c r="C18" s="4">
        <v>14</v>
      </c>
      <c r="D18" s="4">
        <v>23</v>
      </c>
      <c r="E18" s="4">
        <v>33</v>
      </c>
      <c r="F18" s="4">
        <v>26</v>
      </c>
      <c r="G18" s="4">
        <v>22</v>
      </c>
      <c r="H18" s="4">
        <v>15</v>
      </c>
      <c r="I18" s="4">
        <v>30</v>
      </c>
      <c r="J18" s="4">
        <v>24</v>
      </c>
      <c r="K18" s="227"/>
      <c r="L18" s="4" t="s">
        <v>15</v>
      </c>
      <c r="M18" s="4">
        <v>22</v>
      </c>
      <c r="N18" s="4">
        <v>31</v>
      </c>
      <c r="O18" s="4">
        <v>18</v>
      </c>
      <c r="P18" s="4">
        <v>44</v>
      </c>
      <c r="Q18" s="4">
        <v>44</v>
      </c>
      <c r="R18" s="4">
        <v>53</v>
      </c>
      <c r="S18" s="4">
        <v>31</v>
      </c>
      <c r="T18" s="50">
        <v>24</v>
      </c>
      <c r="U18" s="60">
        <f t="shared" si="0"/>
        <v>309</v>
      </c>
    </row>
    <row r="19" spans="1:33" ht="18.75" customHeight="1">
      <c r="A19" s="230"/>
      <c r="B19" s="4" t="s">
        <v>16</v>
      </c>
      <c r="C19" s="4">
        <v>7</v>
      </c>
      <c r="D19" s="4">
        <v>9</v>
      </c>
      <c r="E19" s="4">
        <v>11</v>
      </c>
      <c r="F19" s="4">
        <v>15</v>
      </c>
      <c r="G19" s="4">
        <v>15</v>
      </c>
      <c r="H19" s="4">
        <v>7</v>
      </c>
      <c r="I19" s="4">
        <v>4</v>
      </c>
      <c r="J19" s="4">
        <v>5</v>
      </c>
      <c r="K19" s="227"/>
      <c r="L19" s="4" t="s">
        <v>16</v>
      </c>
      <c r="M19" s="4">
        <v>7</v>
      </c>
      <c r="N19" s="4">
        <v>10</v>
      </c>
      <c r="O19" s="4">
        <v>8</v>
      </c>
      <c r="P19" s="4">
        <v>5</v>
      </c>
      <c r="Q19" s="4">
        <v>3</v>
      </c>
      <c r="R19" s="4">
        <v>6</v>
      </c>
      <c r="S19" s="4">
        <v>4</v>
      </c>
      <c r="T19" s="50">
        <v>4</v>
      </c>
      <c r="U19" s="60">
        <f t="shared" si="0"/>
        <v>90</v>
      </c>
    </row>
    <row r="20" spans="1:33" ht="18.75" customHeight="1">
      <c r="A20" s="230"/>
      <c r="B20" s="4" t="s">
        <v>17</v>
      </c>
      <c r="C20" s="4">
        <v>2</v>
      </c>
      <c r="D20" s="4">
        <v>2</v>
      </c>
      <c r="E20" s="4">
        <v>5</v>
      </c>
      <c r="F20" s="4">
        <v>6</v>
      </c>
      <c r="G20" s="4">
        <v>8</v>
      </c>
      <c r="H20" s="4">
        <v>6</v>
      </c>
      <c r="I20" s="4">
        <v>5</v>
      </c>
      <c r="J20" s="4">
        <v>6</v>
      </c>
      <c r="K20" s="227"/>
      <c r="L20" s="4" t="s">
        <v>17</v>
      </c>
      <c r="M20" s="4">
        <v>5</v>
      </c>
      <c r="N20" s="4">
        <v>6</v>
      </c>
      <c r="O20" s="4">
        <v>4</v>
      </c>
      <c r="P20" s="4">
        <v>9</v>
      </c>
      <c r="Q20" s="4">
        <v>12</v>
      </c>
      <c r="R20" s="4">
        <v>10</v>
      </c>
      <c r="S20" s="4">
        <v>10</v>
      </c>
      <c r="T20" s="50">
        <v>5</v>
      </c>
      <c r="U20" s="60">
        <f t="shared" si="0"/>
        <v>72</v>
      </c>
    </row>
    <row r="21" spans="1:33" ht="18.75" customHeight="1">
      <c r="A21" s="230"/>
      <c r="B21" s="46" t="s">
        <v>18</v>
      </c>
      <c r="C21" s="46">
        <v>13</v>
      </c>
      <c r="D21" s="46">
        <v>8</v>
      </c>
      <c r="E21" s="46">
        <v>11</v>
      </c>
      <c r="F21" s="46">
        <v>6</v>
      </c>
      <c r="G21" s="46">
        <v>11</v>
      </c>
      <c r="H21" s="46">
        <v>9</v>
      </c>
      <c r="I21" s="46">
        <v>16</v>
      </c>
      <c r="J21" s="46">
        <v>5</v>
      </c>
      <c r="K21" s="227"/>
      <c r="L21" s="46" t="s">
        <v>18</v>
      </c>
      <c r="M21" s="46">
        <v>5</v>
      </c>
      <c r="N21" s="46">
        <v>4</v>
      </c>
      <c r="O21" s="46">
        <v>11</v>
      </c>
      <c r="P21" s="46">
        <v>11</v>
      </c>
      <c r="Q21" s="46">
        <v>8</v>
      </c>
      <c r="R21" s="46">
        <v>12</v>
      </c>
      <c r="S21" s="46">
        <v>12</v>
      </c>
      <c r="T21" s="69">
        <v>5</v>
      </c>
      <c r="U21" s="66">
        <f t="shared" si="0"/>
        <v>97</v>
      </c>
    </row>
    <row r="22" spans="1:33" ht="18.75" customHeight="1">
      <c r="A22" s="193" t="s">
        <v>8</v>
      </c>
      <c r="B22" s="63" t="s">
        <v>13</v>
      </c>
      <c r="C22" s="63">
        <v>20</v>
      </c>
      <c r="D22" s="63">
        <v>17</v>
      </c>
      <c r="E22" s="63">
        <v>23</v>
      </c>
      <c r="F22" s="63">
        <v>28</v>
      </c>
      <c r="G22" s="63">
        <v>25</v>
      </c>
      <c r="H22" s="63">
        <v>20</v>
      </c>
      <c r="I22" s="63">
        <v>19</v>
      </c>
      <c r="J22" s="63">
        <v>21</v>
      </c>
      <c r="K22" s="194" t="s">
        <v>8</v>
      </c>
      <c r="L22" s="63" t="s">
        <v>13</v>
      </c>
      <c r="M22" s="63">
        <v>20</v>
      </c>
      <c r="N22" s="63">
        <v>12</v>
      </c>
      <c r="O22" s="63">
        <v>13</v>
      </c>
      <c r="P22" s="63">
        <v>18</v>
      </c>
      <c r="Q22" s="63">
        <v>16</v>
      </c>
      <c r="R22" s="63">
        <v>23</v>
      </c>
      <c r="S22" s="63">
        <v>21</v>
      </c>
      <c r="T22" s="68">
        <v>14</v>
      </c>
      <c r="U22" s="59">
        <f t="shared" si="0"/>
        <v>215</v>
      </c>
    </row>
    <row r="23" spans="1:33" ht="18.75" customHeight="1">
      <c r="A23" s="230"/>
      <c r="B23" s="6" t="s">
        <v>14</v>
      </c>
      <c r="C23" s="6">
        <v>7</v>
      </c>
      <c r="D23" s="6">
        <v>6</v>
      </c>
      <c r="E23" s="6">
        <v>12</v>
      </c>
      <c r="F23" s="6">
        <v>7</v>
      </c>
      <c r="G23" s="6">
        <v>12</v>
      </c>
      <c r="H23" s="6">
        <v>17</v>
      </c>
      <c r="I23" s="6">
        <v>11</v>
      </c>
      <c r="J23" s="6">
        <v>14</v>
      </c>
      <c r="K23" s="227"/>
      <c r="L23" s="6" t="s">
        <v>14</v>
      </c>
      <c r="M23" s="6">
        <v>8</v>
      </c>
      <c r="N23" s="6">
        <v>8</v>
      </c>
      <c r="O23" s="6">
        <v>5</v>
      </c>
      <c r="P23" s="6">
        <v>9</v>
      </c>
      <c r="Q23" s="6">
        <v>9</v>
      </c>
      <c r="R23" s="6">
        <v>12</v>
      </c>
      <c r="S23" s="6">
        <v>8</v>
      </c>
      <c r="T23" s="51">
        <v>6</v>
      </c>
      <c r="U23" s="60">
        <f t="shared" si="0"/>
        <v>112</v>
      </c>
    </row>
    <row r="24" spans="1:33" ht="18.75" customHeight="1">
      <c r="A24" s="230"/>
      <c r="B24" s="6" t="s">
        <v>15</v>
      </c>
      <c r="C24" s="6">
        <v>18</v>
      </c>
      <c r="D24" s="6">
        <v>24</v>
      </c>
      <c r="E24" s="6">
        <v>29</v>
      </c>
      <c r="F24" s="6">
        <v>19</v>
      </c>
      <c r="G24" s="6">
        <v>30</v>
      </c>
      <c r="H24" s="6">
        <v>31</v>
      </c>
      <c r="I24" s="6">
        <v>27</v>
      </c>
      <c r="J24" s="6">
        <v>25</v>
      </c>
      <c r="K24" s="227"/>
      <c r="L24" s="6" t="s">
        <v>15</v>
      </c>
      <c r="M24" s="6">
        <v>12</v>
      </c>
      <c r="N24" s="6">
        <v>20</v>
      </c>
      <c r="O24" s="6">
        <v>18</v>
      </c>
      <c r="P24" s="6">
        <v>22</v>
      </c>
      <c r="Q24" s="6">
        <v>28</v>
      </c>
      <c r="R24" s="6">
        <v>32</v>
      </c>
      <c r="S24" s="6">
        <v>25</v>
      </c>
      <c r="T24" s="51">
        <v>19</v>
      </c>
      <c r="U24" s="60">
        <f t="shared" si="0"/>
        <v>261</v>
      </c>
    </row>
    <row r="25" spans="1:33" ht="18.75" customHeight="1">
      <c r="A25" s="230"/>
      <c r="B25" s="6" t="s">
        <v>16</v>
      </c>
      <c r="C25" s="6">
        <v>3</v>
      </c>
      <c r="D25" s="6">
        <v>5</v>
      </c>
      <c r="E25" s="6">
        <v>11</v>
      </c>
      <c r="F25" s="6">
        <v>6</v>
      </c>
      <c r="G25" s="6">
        <v>13</v>
      </c>
      <c r="H25" s="6">
        <v>12</v>
      </c>
      <c r="I25" s="6">
        <v>1</v>
      </c>
      <c r="J25" s="6">
        <v>5</v>
      </c>
      <c r="K25" s="227"/>
      <c r="L25" s="6" t="s">
        <v>16</v>
      </c>
      <c r="M25" s="6">
        <v>1</v>
      </c>
      <c r="N25" s="6">
        <v>2</v>
      </c>
      <c r="O25" s="6">
        <v>1</v>
      </c>
      <c r="P25" s="6">
        <v>2</v>
      </c>
      <c r="Q25" s="6">
        <v>5</v>
      </c>
      <c r="R25" s="6">
        <v>4</v>
      </c>
      <c r="S25" s="6">
        <v>5</v>
      </c>
      <c r="T25" s="51">
        <v>3</v>
      </c>
      <c r="U25" s="60">
        <f t="shared" si="0"/>
        <v>59</v>
      </c>
    </row>
    <row r="26" spans="1:33" ht="18.75" customHeight="1">
      <c r="A26" s="230"/>
      <c r="B26" s="6" t="s">
        <v>17</v>
      </c>
      <c r="C26" s="6">
        <v>4</v>
      </c>
      <c r="D26" s="6">
        <v>11</v>
      </c>
      <c r="E26" s="6">
        <v>8</v>
      </c>
      <c r="F26" s="6">
        <v>10</v>
      </c>
      <c r="G26" s="6">
        <v>14</v>
      </c>
      <c r="H26" s="6">
        <v>9</v>
      </c>
      <c r="I26" s="6">
        <v>7</v>
      </c>
      <c r="J26" s="6">
        <v>3</v>
      </c>
      <c r="K26" s="227"/>
      <c r="L26" s="6" t="s">
        <v>17</v>
      </c>
      <c r="M26" s="6">
        <v>2</v>
      </c>
      <c r="N26" s="6">
        <v>4</v>
      </c>
      <c r="O26" s="6">
        <v>0</v>
      </c>
      <c r="P26" s="6">
        <v>6</v>
      </c>
      <c r="Q26" s="6">
        <v>7</v>
      </c>
      <c r="R26" s="6">
        <v>4</v>
      </c>
      <c r="S26" s="6">
        <v>5</v>
      </c>
      <c r="T26" s="51">
        <v>3</v>
      </c>
      <c r="U26" s="60">
        <f t="shared" si="0"/>
        <v>70</v>
      </c>
      <c r="AG26" s="95"/>
    </row>
    <row r="27" spans="1:33" ht="18.75" customHeight="1">
      <c r="A27" s="230"/>
      <c r="B27" s="47" t="s">
        <v>18</v>
      </c>
      <c r="C27" s="47">
        <v>14</v>
      </c>
      <c r="D27" s="47">
        <v>7</v>
      </c>
      <c r="E27" s="47">
        <v>6</v>
      </c>
      <c r="F27" s="47">
        <v>7</v>
      </c>
      <c r="G27" s="47">
        <v>7</v>
      </c>
      <c r="H27" s="47">
        <v>10</v>
      </c>
      <c r="I27" s="47">
        <v>10</v>
      </c>
      <c r="J27" s="47">
        <v>9</v>
      </c>
      <c r="K27" s="227"/>
      <c r="L27" s="47" t="s">
        <v>18</v>
      </c>
      <c r="M27" s="47">
        <v>7</v>
      </c>
      <c r="N27" s="47">
        <v>3</v>
      </c>
      <c r="O27" s="47">
        <v>8</v>
      </c>
      <c r="P27" s="47">
        <v>10</v>
      </c>
      <c r="Q27" s="47">
        <v>18</v>
      </c>
      <c r="R27" s="47">
        <v>9</v>
      </c>
      <c r="S27" s="47">
        <v>7</v>
      </c>
      <c r="T27" s="70">
        <v>5</v>
      </c>
      <c r="U27" s="66">
        <f t="shared" si="0"/>
        <v>95</v>
      </c>
      <c r="AG27" s="96"/>
    </row>
    <row r="28" spans="1:33" ht="18.75" customHeight="1">
      <c r="A28" s="195" t="s">
        <v>9</v>
      </c>
      <c r="B28" s="56" t="s">
        <v>13</v>
      </c>
      <c r="C28" s="56">
        <v>8</v>
      </c>
      <c r="D28" s="56">
        <v>23</v>
      </c>
      <c r="E28" s="56">
        <v>16</v>
      </c>
      <c r="F28" s="56">
        <v>23</v>
      </c>
      <c r="G28" s="56">
        <v>31</v>
      </c>
      <c r="H28" s="56">
        <v>22</v>
      </c>
      <c r="I28" s="56">
        <v>24</v>
      </c>
      <c r="J28" s="56">
        <v>15</v>
      </c>
      <c r="K28" s="196" t="s">
        <v>9</v>
      </c>
      <c r="L28" s="56" t="s">
        <v>13</v>
      </c>
      <c r="M28" s="56">
        <v>13</v>
      </c>
      <c r="N28" s="56">
        <v>7</v>
      </c>
      <c r="O28" s="56">
        <v>9</v>
      </c>
      <c r="P28" s="56">
        <v>11</v>
      </c>
      <c r="Q28" s="56">
        <v>16</v>
      </c>
      <c r="R28" s="56">
        <v>19</v>
      </c>
      <c r="S28" s="56">
        <v>11</v>
      </c>
      <c r="T28" s="67">
        <v>9</v>
      </c>
      <c r="U28" s="59">
        <f t="shared" si="0"/>
        <v>187</v>
      </c>
      <c r="AG28" s="96"/>
    </row>
    <row r="29" spans="1:33" ht="18.75" customHeight="1">
      <c r="A29" s="230"/>
      <c r="B29" s="4" t="s">
        <v>14</v>
      </c>
      <c r="C29" s="4">
        <v>6</v>
      </c>
      <c r="D29" s="4">
        <v>6</v>
      </c>
      <c r="E29" s="4">
        <v>13</v>
      </c>
      <c r="F29" s="4">
        <v>18</v>
      </c>
      <c r="G29" s="4">
        <v>9</v>
      </c>
      <c r="H29" s="4">
        <v>13</v>
      </c>
      <c r="I29" s="4">
        <v>15</v>
      </c>
      <c r="J29" s="4">
        <v>8</v>
      </c>
      <c r="K29" s="227"/>
      <c r="L29" s="4" t="s">
        <v>14</v>
      </c>
      <c r="M29" s="4">
        <v>10</v>
      </c>
      <c r="N29" s="4">
        <v>8</v>
      </c>
      <c r="O29" s="4">
        <v>7</v>
      </c>
      <c r="P29" s="4">
        <v>7</v>
      </c>
      <c r="Q29" s="4">
        <v>7</v>
      </c>
      <c r="R29" s="4">
        <v>8</v>
      </c>
      <c r="S29" s="4">
        <v>2</v>
      </c>
      <c r="T29" s="50">
        <v>4</v>
      </c>
      <c r="U29" s="60">
        <f t="shared" si="0"/>
        <v>115</v>
      </c>
      <c r="AG29" s="96"/>
    </row>
    <row r="30" spans="1:33" ht="18.75" customHeight="1">
      <c r="A30" s="230"/>
      <c r="B30" s="4" t="s">
        <v>15</v>
      </c>
      <c r="C30" s="4">
        <v>82</v>
      </c>
      <c r="D30" s="4">
        <v>14</v>
      </c>
      <c r="E30" s="4">
        <v>13</v>
      </c>
      <c r="F30" s="4">
        <v>20</v>
      </c>
      <c r="G30" s="4">
        <v>17</v>
      </c>
      <c r="H30" s="4">
        <v>29</v>
      </c>
      <c r="I30" s="4">
        <v>14</v>
      </c>
      <c r="J30" s="4">
        <v>12</v>
      </c>
      <c r="K30" s="227"/>
      <c r="L30" s="4" t="s">
        <v>15</v>
      </c>
      <c r="M30" s="4">
        <v>10</v>
      </c>
      <c r="N30" s="4">
        <v>9</v>
      </c>
      <c r="O30" s="4">
        <v>10</v>
      </c>
      <c r="P30" s="4">
        <v>29</v>
      </c>
      <c r="Q30" s="4">
        <v>30</v>
      </c>
      <c r="R30" s="4">
        <v>30</v>
      </c>
      <c r="S30" s="4">
        <v>10</v>
      </c>
      <c r="T30" s="50">
        <v>13</v>
      </c>
      <c r="U30" s="60">
        <f t="shared" si="0"/>
        <v>193</v>
      </c>
      <c r="AG30" s="96"/>
    </row>
    <row r="31" spans="1:33" ht="18.75" customHeight="1">
      <c r="A31" s="230"/>
      <c r="B31" s="4" t="s">
        <v>16</v>
      </c>
      <c r="C31" s="4">
        <v>6</v>
      </c>
      <c r="D31" s="4">
        <v>3</v>
      </c>
      <c r="E31" s="4">
        <v>3</v>
      </c>
      <c r="F31" s="4">
        <v>10</v>
      </c>
      <c r="G31" s="4">
        <v>35</v>
      </c>
      <c r="H31" s="4">
        <v>14</v>
      </c>
      <c r="I31" s="4">
        <v>4</v>
      </c>
      <c r="J31" s="4">
        <v>4</v>
      </c>
      <c r="K31" s="227"/>
      <c r="L31" s="4" t="s">
        <v>16</v>
      </c>
      <c r="M31" s="4">
        <v>3</v>
      </c>
      <c r="N31" s="4">
        <v>3</v>
      </c>
      <c r="O31" s="4">
        <v>5</v>
      </c>
      <c r="P31" s="4">
        <v>2</v>
      </c>
      <c r="Q31" s="4">
        <v>3</v>
      </c>
      <c r="R31" s="4">
        <v>0</v>
      </c>
      <c r="S31" s="4">
        <v>1</v>
      </c>
      <c r="T31" s="50">
        <v>2</v>
      </c>
      <c r="U31" s="60">
        <f t="shared" si="0"/>
        <v>86</v>
      </c>
      <c r="AG31" s="96"/>
    </row>
    <row r="32" spans="1:33" ht="18.75" customHeight="1">
      <c r="A32" s="230"/>
      <c r="B32" s="4" t="s">
        <v>17</v>
      </c>
      <c r="C32" s="4">
        <v>4</v>
      </c>
      <c r="D32" s="4">
        <v>6</v>
      </c>
      <c r="E32" s="4">
        <v>5</v>
      </c>
      <c r="F32" s="4">
        <v>11</v>
      </c>
      <c r="G32" s="4">
        <v>2</v>
      </c>
      <c r="H32" s="4">
        <v>12</v>
      </c>
      <c r="I32" s="4">
        <v>5</v>
      </c>
      <c r="J32" s="4">
        <v>4</v>
      </c>
      <c r="K32" s="227"/>
      <c r="L32" s="4" t="s">
        <v>17</v>
      </c>
      <c r="M32" s="4">
        <v>4</v>
      </c>
      <c r="N32" s="4">
        <v>3</v>
      </c>
      <c r="O32" s="4">
        <v>4</v>
      </c>
      <c r="P32" s="4">
        <v>6</v>
      </c>
      <c r="Q32" s="4">
        <v>6</v>
      </c>
      <c r="R32" s="4">
        <v>5</v>
      </c>
      <c r="S32" s="4">
        <v>6</v>
      </c>
      <c r="T32" s="50">
        <v>4</v>
      </c>
      <c r="U32" s="60">
        <f t="shared" si="0"/>
        <v>62</v>
      </c>
      <c r="AG32" s="96"/>
    </row>
    <row r="33" spans="1:33" ht="18.75" customHeight="1">
      <c r="A33" s="230"/>
      <c r="B33" s="46" t="s">
        <v>18</v>
      </c>
      <c r="C33" s="46">
        <v>21</v>
      </c>
      <c r="D33" s="46">
        <v>14</v>
      </c>
      <c r="E33" s="46">
        <v>5</v>
      </c>
      <c r="F33" s="46">
        <v>6</v>
      </c>
      <c r="G33" s="46">
        <v>7</v>
      </c>
      <c r="H33" s="46">
        <v>14</v>
      </c>
      <c r="I33" s="46">
        <v>6</v>
      </c>
      <c r="J33" s="46">
        <v>3</v>
      </c>
      <c r="K33" s="227"/>
      <c r="L33" s="46" t="s">
        <v>18</v>
      </c>
      <c r="M33" s="46">
        <v>5</v>
      </c>
      <c r="N33" s="46">
        <v>7</v>
      </c>
      <c r="O33" s="46">
        <v>6</v>
      </c>
      <c r="P33" s="46">
        <v>9</v>
      </c>
      <c r="Q33" s="46">
        <v>15</v>
      </c>
      <c r="R33" s="46">
        <v>3</v>
      </c>
      <c r="S33" s="46">
        <v>2</v>
      </c>
      <c r="T33" s="69">
        <v>2</v>
      </c>
      <c r="U33" s="66">
        <f t="shared" si="0"/>
        <v>83</v>
      </c>
      <c r="AG33" s="95"/>
    </row>
    <row r="34" spans="1:33" ht="18.75" customHeight="1">
      <c r="A34" s="193" t="s">
        <v>10</v>
      </c>
      <c r="B34" s="63" t="s">
        <v>13</v>
      </c>
      <c r="C34" s="121">
        <v>21</v>
      </c>
      <c r="D34" s="121">
        <v>19</v>
      </c>
      <c r="E34" s="121">
        <v>26</v>
      </c>
      <c r="F34" s="121">
        <v>22</v>
      </c>
      <c r="G34" s="121">
        <v>33</v>
      </c>
      <c r="H34" s="121">
        <v>25</v>
      </c>
      <c r="I34" s="121">
        <v>25</v>
      </c>
      <c r="J34" s="121">
        <v>17</v>
      </c>
      <c r="K34" s="194" t="s">
        <v>10</v>
      </c>
      <c r="L34" s="63" t="s">
        <v>13</v>
      </c>
      <c r="M34" s="121">
        <v>7</v>
      </c>
      <c r="N34" s="121">
        <v>12</v>
      </c>
      <c r="O34" s="121">
        <v>17</v>
      </c>
      <c r="P34" s="121">
        <v>14</v>
      </c>
      <c r="Q34" s="121">
        <v>16</v>
      </c>
      <c r="R34" s="121">
        <v>19</v>
      </c>
      <c r="S34" s="121">
        <v>17</v>
      </c>
      <c r="T34" s="124">
        <v>15</v>
      </c>
      <c r="U34" s="59">
        <f t="shared" si="0"/>
        <v>214</v>
      </c>
      <c r="AG34" s="96"/>
    </row>
    <row r="35" spans="1:33" ht="18.75" customHeight="1">
      <c r="A35" s="230"/>
      <c r="B35" s="6" t="s">
        <v>14</v>
      </c>
      <c r="C35" s="122">
        <v>4</v>
      </c>
      <c r="D35" s="122">
        <v>9</v>
      </c>
      <c r="E35" s="122">
        <v>7</v>
      </c>
      <c r="F35" s="122">
        <v>13</v>
      </c>
      <c r="G35" s="122">
        <v>17</v>
      </c>
      <c r="H35" s="122">
        <v>14</v>
      </c>
      <c r="I35" s="122">
        <v>12</v>
      </c>
      <c r="J35" s="122">
        <v>15</v>
      </c>
      <c r="K35" s="227"/>
      <c r="L35" s="6" t="s">
        <v>14</v>
      </c>
      <c r="M35" s="122">
        <v>6</v>
      </c>
      <c r="N35" s="122">
        <v>6</v>
      </c>
      <c r="O35" s="122">
        <v>9</v>
      </c>
      <c r="P35" s="122">
        <v>5</v>
      </c>
      <c r="Q35" s="122">
        <v>4</v>
      </c>
      <c r="R35" s="122">
        <v>8</v>
      </c>
      <c r="S35" s="122">
        <v>9</v>
      </c>
      <c r="T35" s="125">
        <v>7</v>
      </c>
      <c r="U35" s="60">
        <f t="shared" si="0"/>
        <v>108</v>
      </c>
      <c r="AG35" s="96"/>
    </row>
    <row r="36" spans="1:33" ht="18.75" customHeight="1">
      <c r="A36" s="230"/>
      <c r="B36" s="6" t="s">
        <v>15</v>
      </c>
      <c r="C36" s="122">
        <v>18</v>
      </c>
      <c r="D36" s="122">
        <v>21</v>
      </c>
      <c r="E36" s="122">
        <v>20</v>
      </c>
      <c r="F36" s="122">
        <v>15</v>
      </c>
      <c r="G36" s="122">
        <v>25</v>
      </c>
      <c r="H36" s="122">
        <v>28</v>
      </c>
      <c r="I36" s="122">
        <v>20</v>
      </c>
      <c r="J36" s="122">
        <v>15</v>
      </c>
      <c r="K36" s="227"/>
      <c r="L36" s="6" t="s">
        <v>15</v>
      </c>
      <c r="M36" s="122">
        <v>25</v>
      </c>
      <c r="N36" s="122">
        <v>22</v>
      </c>
      <c r="O36" s="122">
        <v>16</v>
      </c>
      <c r="P36" s="122">
        <v>22</v>
      </c>
      <c r="Q36" s="122">
        <v>25</v>
      </c>
      <c r="R36" s="122">
        <v>29</v>
      </c>
      <c r="S36" s="122">
        <v>25</v>
      </c>
      <c r="T36" s="125">
        <v>15</v>
      </c>
      <c r="U36" s="60">
        <f t="shared" si="0"/>
        <v>233</v>
      </c>
      <c r="AG36" s="96"/>
    </row>
    <row r="37" spans="1:33" ht="18.75" customHeight="1">
      <c r="A37" s="230"/>
      <c r="B37" s="6" t="s">
        <v>16</v>
      </c>
      <c r="C37" s="122">
        <v>5</v>
      </c>
      <c r="D37" s="122">
        <v>4</v>
      </c>
      <c r="E37" s="122">
        <v>8</v>
      </c>
      <c r="F37" s="122">
        <v>12</v>
      </c>
      <c r="G37" s="122">
        <v>14</v>
      </c>
      <c r="H37" s="122">
        <v>15</v>
      </c>
      <c r="I37" s="122">
        <v>10</v>
      </c>
      <c r="J37" s="122">
        <v>8</v>
      </c>
      <c r="K37" s="227"/>
      <c r="L37" s="6" t="s">
        <v>16</v>
      </c>
      <c r="M37" s="122">
        <v>2</v>
      </c>
      <c r="N37" s="122">
        <v>3</v>
      </c>
      <c r="O37" s="122">
        <v>3</v>
      </c>
      <c r="P37" s="122">
        <v>0</v>
      </c>
      <c r="Q37" s="122">
        <v>4</v>
      </c>
      <c r="R37" s="122">
        <v>3</v>
      </c>
      <c r="S37" s="122">
        <v>5</v>
      </c>
      <c r="T37" s="125">
        <v>4</v>
      </c>
      <c r="U37" s="60">
        <f t="shared" si="0"/>
        <v>79</v>
      </c>
      <c r="AG37" s="96"/>
    </row>
    <row r="38" spans="1:33" ht="18.75" customHeight="1">
      <c r="A38" s="230"/>
      <c r="B38" s="6" t="s">
        <v>17</v>
      </c>
      <c r="C38" s="122">
        <v>3</v>
      </c>
      <c r="D38" s="122">
        <v>9</v>
      </c>
      <c r="E38" s="122">
        <v>8</v>
      </c>
      <c r="F38" s="122">
        <v>6</v>
      </c>
      <c r="G38" s="122">
        <v>11</v>
      </c>
      <c r="H38" s="122">
        <v>14</v>
      </c>
      <c r="I38" s="122">
        <v>12</v>
      </c>
      <c r="J38" s="122">
        <v>10</v>
      </c>
      <c r="K38" s="227"/>
      <c r="L38" s="6" t="s">
        <v>17</v>
      </c>
      <c r="M38" s="122">
        <v>9</v>
      </c>
      <c r="N38" s="122">
        <v>5</v>
      </c>
      <c r="O38" s="122">
        <v>5</v>
      </c>
      <c r="P38" s="122">
        <v>2</v>
      </c>
      <c r="Q38" s="122">
        <v>8</v>
      </c>
      <c r="R38" s="122">
        <v>7</v>
      </c>
      <c r="S38" s="122">
        <v>5</v>
      </c>
      <c r="T38" s="125">
        <v>4</v>
      </c>
      <c r="U38" s="60">
        <f t="shared" si="0"/>
        <v>90</v>
      </c>
      <c r="AG38" s="96"/>
    </row>
    <row r="39" spans="1:33" ht="18.75" customHeight="1">
      <c r="A39" s="230"/>
      <c r="B39" s="47" t="s">
        <v>18</v>
      </c>
      <c r="C39" s="123">
        <v>15</v>
      </c>
      <c r="D39" s="123">
        <v>6</v>
      </c>
      <c r="E39" s="123">
        <v>9</v>
      </c>
      <c r="F39" s="123">
        <v>8</v>
      </c>
      <c r="G39" s="123">
        <v>9</v>
      </c>
      <c r="H39" s="123">
        <v>5</v>
      </c>
      <c r="I39" s="123">
        <v>7</v>
      </c>
      <c r="J39" s="123">
        <v>3</v>
      </c>
      <c r="K39" s="227"/>
      <c r="L39" s="47" t="s">
        <v>18</v>
      </c>
      <c r="M39" s="123">
        <v>4</v>
      </c>
      <c r="N39" s="123">
        <v>6</v>
      </c>
      <c r="O39" s="123">
        <v>4</v>
      </c>
      <c r="P39" s="123">
        <v>10</v>
      </c>
      <c r="Q39" s="123">
        <v>6</v>
      </c>
      <c r="R39" s="123">
        <v>5</v>
      </c>
      <c r="S39" s="123">
        <v>8</v>
      </c>
      <c r="T39" s="126">
        <v>3</v>
      </c>
      <c r="U39" s="66">
        <f t="shared" si="0"/>
        <v>71</v>
      </c>
      <c r="AG39" s="96"/>
    </row>
    <row r="40" spans="1:33" ht="18.75" customHeight="1">
      <c r="A40" s="195" t="s">
        <v>11</v>
      </c>
      <c r="B40" s="56" t="s">
        <v>13</v>
      </c>
      <c r="C40" s="127"/>
      <c r="D40" s="127"/>
      <c r="E40" s="127"/>
      <c r="F40" s="127"/>
      <c r="G40" s="127"/>
      <c r="H40" s="127"/>
      <c r="I40" s="127"/>
      <c r="J40" s="127"/>
      <c r="K40" s="196" t="s">
        <v>11</v>
      </c>
      <c r="L40" s="56" t="s">
        <v>13</v>
      </c>
      <c r="M40" s="127"/>
      <c r="N40" s="127"/>
      <c r="O40" s="127"/>
      <c r="P40" s="127">
        <v>17</v>
      </c>
      <c r="Q40" s="127">
        <v>19</v>
      </c>
      <c r="R40" s="127">
        <v>12</v>
      </c>
      <c r="S40" s="127">
        <v>10</v>
      </c>
      <c r="T40" s="130">
        <v>8</v>
      </c>
      <c r="U40" s="59">
        <f t="shared" si="0"/>
        <v>36</v>
      </c>
      <c r="AG40" s="95"/>
    </row>
    <row r="41" spans="1:33" ht="18.75" customHeight="1">
      <c r="A41" s="230"/>
      <c r="B41" s="4" t="s">
        <v>14</v>
      </c>
      <c r="C41" s="128"/>
      <c r="D41" s="128"/>
      <c r="E41" s="128"/>
      <c r="F41" s="128"/>
      <c r="G41" s="128"/>
      <c r="H41" s="128"/>
      <c r="I41" s="128"/>
      <c r="J41" s="128"/>
      <c r="K41" s="227"/>
      <c r="L41" s="4" t="s">
        <v>14</v>
      </c>
      <c r="M41" s="128"/>
      <c r="N41" s="128"/>
      <c r="O41" s="128"/>
      <c r="P41" s="128">
        <v>5</v>
      </c>
      <c r="Q41" s="128">
        <v>8</v>
      </c>
      <c r="R41" s="128">
        <v>4</v>
      </c>
      <c r="S41" s="128">
        <v>5</v>
      </c>
      <c r="T41" s="131">
        <v>3</v>
      </c>
      <c r="U41" s="60">
        <f t="shared" si="0"/>
        <v>13</v>
      </c>
      <c r="AG41" s="96"/>
    </row>
    <row r="42" spans="1:33" ht="18.75" customHeight="1">
      <c r="A42" s="230"/>
      <c r="B42" s="4" t="s">
        <v>15</v>
      </c>
      <c r="C42" s="128"/>
      <c r="D42" s="128"/>
      <c r="E42" s="128"/>
      <c r="F42" s="128"/>
      <c r="G42" s="128"/>
      <c r="H42" s="128"/>
      <c r="I42" s="128"/>
      <c r="J42" s="128"/>
      <c r="K42" s="227"/>
      <c r="L42" s="4" t="s">
        <v>15</v>
      </c>
      <c r="M42" s="128"/>
      <c r="N42" s="128"/>
      <c r="O42" s="128"/>
      <c r="P42" s="128">
        <v>24</v>
      </c>
      <c r="Q42" s="128">
        <v>20</v>
      </c>
      <c r="R42" s="128">
        <v>17</v>
      </c>
      <c r="S42" s="128">
        <v>15</v>
      </c>
      <c r="T42" s="131">
        <v>10</v>
      </c>
      <c r="U42" s="60">
        <f t="shared" si="0"/>
        <v>44</v>
      </c>
      <c r="AG42" s="96"/>
    </row>
    <row r="43" spans="1:33" ht="18.75" customHeight="1">
      <c r="A43" s="230"/>
      <c r="B43" s="4" t="s">
        <v>16</v>
      </c>
      <c r="C43" s="128"/>
      <c r="D43" s="128"/>
      <c r="E43" s="128"/>
      <c r="F43" s="128"/>
      <c r="G43" s="128"/>
      <c r="H43" s="128"/>
      <c r="I43" s="128"/>
      <c r="J43" s="128"/>
      <c r="K43" s="227"/>
      <c r="L43" s="4" t="s">
        <v>16</v>
      </c>
      <c r="M43" s="128"/>
      <c r="N43" s="128"/>
      <c r="O43" s="128"/>
      <c r="P43" s="128">
        <v>4</v>
      </c>
      <c r="Q43" s="128">
        <v>3</v>
      </c>
      <c r="R43" s="128">
        <v>0</v>
      </c>
      <c r="S43" s="128">
        <v>2</v>
      </c>
      <c r="T43" s="131">
        <v>1</v>
      </c>
      <c r="U43" s="60">
        <f t="shared" si="0"/>
        <v>7</v>
      </c>
      <c r="AG43" s="96"/>
    </row>
    <row r="44" spans="1:33" ht="18.75" customHeight="1">
      <c r="A44" s="230"/>
      <c r="B44" s="4" t="s">
        <v>17</v>
      </c>
      <c r="C44" s="128"/>
      <c r="D44" s="128"/>
      <c r="E44" s="128"/>
      <c r="F44" s="128"/>
      <c r="G44" s="128"/>
      <c r="H44" s="128"/>
      <c r="I44" s="128"/>
      <c r="J44" s="128"/>
      <c r="K44" s="227"/>
      <c r="L44" s="4" t="s">
        <v>17</v>
      </c>
      <c r="M44" s="128"/>
      <c r="N44" s="128"/>
      <c r="O44" s="128"/>
      <c r="P44" s="128">
        <v>4</v>
      </c>
      <c r="Q44" s="128">
        <v>5</v>
      </c>
      <c r="R44" s="128">
        <v>3</v>
      </c>
      <c r="S44" s="128">
        <v>1</v>
      </c>
      <c r="T44" s="131">
        <v>2</v>
      </c>
      <c r="U44" s="60">
        <f t="shared" si="0"/>
        <v>9</v>
      </c>
      <c r="AG44" s="96"/>
    </row>
    <row r="45" spans="1:33" ht="18.75" customHeight="1">
      <c r="A45" s="231"/>
      <c r="B45" s="61" t="s">
        <v>18</v>
      </c>
      <c r="C45" s="129"/>
      <c r="D45" s="129"/>
      <c r="E45" s="129"/>
      <c r="F45" s="129"/>
      <c r="G45" s="129"/>
      <c r="H45" s="129"/>
      <c r="I45" s="129"/>
      <c r="J45" s="129"/>
      <c r="K45" s="232"/>
      <c r="L45" s="61" t="s">
        <v>18</v>
      </c>
      <c r="M45" s="129"/>
      <c r="N45" s="129"/>
      <c r="O45" s="129"/>
      <c r="P45" s="129">
        <v>5</v>
      </c>
      <c r="Q45" s="129">
        <v>6</v>
      </c>
      <c r="R45" s="129">
        <v>6</v>
      </c>
      <c r="S45" s="129">
        <v>5</v>
      </c>
      <c r="T45" s="132">
        <v>3</v>
      </c>
      <c r="U45" s="62">
        <f t="shared" si="0"/>
        <v>11</v>
      </c>
      <c r="AG45" s="96"/>
    </row>
    <row r="46" spans="1:33" ht="18.75" customHeight="1">
      <c r="C46" s="133"/>
      <c r="D46" s="133"/>
      <c r="E46" s="133"/>
      <c r="F46" s="133"/>
      <c r="G46" s="133"/>
      <c r="H46" s="133"/>
      <c r="I46" s="133"/>
      <c r="J46" s="133"/>
      <c r="AG46" s="96"/>
    </row>
    <row r="47" spans="1:33" ht="18.75" customHeight="1">
      <c r="A47" s="1"/>
      <c r="B47" s="1"/>
      <c r="C47" s="183" t="s">
        <v>0</v>
      </c>
      <c r="D47" s="225"/>
      <c r="E47" s="225"/>
      <c r="F47" s="225"/>
      <c r="G47" s="226"/>
      <c r="H47" s="2"/>
      <c r="I47" s="1"/>
    </row>
    <row r="48" spans="1:33" ht="18.75" customHeight="1">
      <c r="A48" s="1"/>
      <c r="B48" s="183" t="s">
        <v>1</v>
      </c>
      <c r="C48" s="225"/>
      <c r="D48" s="226"/>
      <c r="E48" s="1"/>
      <c r="F48" s="184" t="s">
        <v>82</v>
      </c>
      <c r="G48" s="225"/>
      <c r="H48" s="226"/>
      <c r="I48" s="1"/>
      <c r="K48" s="1"/>
      <c r="L48" s="183" t="s">
        <v>26</v>
      </c>
      <c r="M48" s="225"/>
      <c r="N48" s="226"/>
      <c r="O48" s="1"/>
      <c r="P48" s="184" t="s">
        <v>82</v>
      </c>
      <c r="Q48" s="225"/>
      <c r="R48" s="226"/>
      <c r="S48" s="1"/>
    </row>
    <row r="49" spans="1:40" ht="18.75" customHeight="1">
      <c r="A49" s="54" t="s">
        <v>35</v>
      </c>
      <c r="B49" s="54" t="s">
        <v>4</v>
      </c>
      <c r="C49" s="54" t="s">
        <v>12</v>
      </c>
      <c r="D49" s="54" t="s">
        <v>19</v>
      </c>
      <c r="E49" s="54" t="s">
        <v>20</v>
      </c>
      <c r="F49" s="54" t="s">
        <v>21</v>
      </c>
      <c r="G49" s="54" t="s">
        <v>22</v>
      </c>
      <c r="H49" s="54" t="s">
        <v>23</v>
      </c>
      <c r="I49" s="54" t="s">
        <v>24</v>
      </c>
      <c r="J49" s="54" t="s">
        <v>25</v>
      </c>
      <c r="K49" s="54" t="s">
        <v>35</v>
      </c>
      <c r="L49" s="54" t="s">
        <v>4</v>
      </c>
      <c r="M49" s="54" t="s">
        <v>27</v>
      </c>
      <c r="N49" s="54" t="s">
        <v>28</v>
      </c>
      <c r="O49" s="54" t="s">
        <v>29</v>
      </c>
      <c r="P49" s="54" t="s">
        <v>30</v>
      </c>
      <c r="Q49" s="54" t="s">
        <v>31</v>
      </c>
      <c r="R49" s="54" t="s">
        <v>32</v>
      </c>
      <c r="S49" s="54" t="s">
        <v>33</v>
      </c>
      <c r="T49" s="54" t="s">
        <v>34</v>
      </c>
      <c r="U49" s="54" t="s">
        <v>55</v>
      </c>
    </row>
    <row r="50" spans="1:40" ht="18.75" customHeight="1">
      <c r="A50" s="195" t="s">
        <v>5</v>
      </c>
      <c r="B50" s="56" t="s">
        <v>13</v>
      </c>
      <c r="C50" s="57"/>
      <c r="D50" s="57"/>
      <c r="E50" s="56">
        <v>1</v>
      </c>
      <c r="F50" s="56">
        <v>18</v>
      </c>
      <c r="G50" s="56">
        <v>26</v>
      </c>
      <c r="H50" s="56">
        <v>28</v>
      </c>
      <c r="I50" s="56">
        <v>17</v>
      </c>
      <c r="J50" s="56">
        <v>15</v>
      </c>
      <c r="K50" s="196" t="s">
        <v>5</v>
      </c>
      <c r="L50" s="56" t="s">
        <v>13</v>
      </c>
      <c r="M50" s="56">
        <v>8</v>
      </c>
      <c r="N50" s="56">
        <v>14</v>
      </c>
      <c r="O50" s="56">
        <v>14</v>
      </c>
      <c r="P50" s="56">
        <v>4</v>
      </c>
      <c r="Q50" s="56">
        <v>6</v>
      </c>
      <c r="R50" s="57"/>
      <c r="S50" s="57"/>
      <c r="T50" s="58"/>
      <c r="U50" s="59">
        <f>SUM(M50:T50,C50:J50)</f>
        <v>151</v>
      </c>
      <c r="W50" s="197" t="s">
        <v>82</v>
      </c>
      <c r="X50" s="198"/>
      <c r="AG50" s="190" t="s">
        <v>58</v>
      </c>
      <c r="AH50" s="191"/>
      <c r="AI50" s="191"/>
      <c r="AJ50" s="191"/>
      <c r="AK50" s="191"/>
      <c r="AL50" s="191"/>
      <c r="AM50" s="191"/>
      <c r="AN50" s="192"/>
    </row>
    <row r="51" spans="1:40" ht="18.75" customHeight="1">
      <c r="A51" s="230"/>
      <c r="B51" s="4" t="s">
        <v>14</v>
      </c>
      <c r="C51" s="5"/>
      <c r="D51" s="5"/>
      <c r="E51" s="4">
        <v>2</v>
      </c>
      <c r="F51" s="4">
        <v>7</v>
      </c>
      <c r="G51" s="4">
        <v>7</v>
      </c>
      <c r="H51" s="4">
        <v>5</v>
      </c>
      <c r="I51" s="4">
        <v>10</v>
      </c>
      <c r="J51" s="4">
        <v>7</v>
      </c>
      <c r="K51" s="227"/>
      <c r="L51" s="4" t="s">
        <v>14</v>
      </c>
      <c r="M51" s="4">
        <v>4</v>
      </c>
      <c r="N51" s="4">
        <v>5</v>
      </c>
      <c r="O51" s="4">
        <v>6</v>
      </c>
      <c r="P51" s="4">
        <v>8</v>
      </c>
      <c r="Q51" s="4">
        <v>0</v>
      </c>
      <c r="R51" s="5"/>
      <c r="S51" s="5"/>
      <c r="T51" s="49"/>
      <c r="U51" s="60">
        <f t="shared" ref="U51:U91" si="10">SUM(M51:Q51,E51:J51)</f>
        <v>61</v>
      </c>
      <c r="W51" s="55" t="s">
        <v>5</v>
      </c>
      <c r="X51" s="48">
        <f>SUM(U50:U55)</f>
        <v>531</v>
      </c>
      <c r="AG51" s="98" t="s">
        <v>4</v>
      </c>
      <c r="AH51" s="98" t="s">
        <v>5</v>
      </c>
      <c r="AI51" s="98" t="s">
        <v>6</v>
      </c>
      <c r="AJ51" s="98" t="s">
        <v>7</v>
      </c>
      <c r="AK51" s="98" t="s">
        <v>8</v>
      </c>
      <c r="AL51" s="98" t="s">
        <v>9</v>
      </c>
      <c r="AM51" s="98" t="s">
        <v>10</v>
      </c>
      <c r="AN51" s="98" t="s">
        <v>11</v>
      </c>
    </row>
    <row r="52" spans="1:40" ht="18.75" customHeight="1">
      <c r="A52" s="230"/>
      <c r="B52" s="4" t="s">
        <v>15</v>
      </c>
      <c r="C52" s="5"/>
      <c r="D52" s="5"/>
      <c r="E52" s="4">
        <v>3</v>
      </c>
      <c r="F52" s="4">
        <v>10</v>
      </c>
      <c r="G52" s="4">
        <v>24</v>
      </c>
      <c r="H52" s="4">
        <v>18</v>
      </c>
      <c r="I52" s="4">
        <v>2</v>
      </c>
      <c r="J52" s="4">
        <v>13</v>
      </c>
      <c r="K52" s="227"/>
      <c r="L52" s="4" t="s">
        <v>15</v>
      </c>
      <c r="M52" s="4">
        <v>25</v>
      </c>
      <c r="N52" s="4">
        <v>20</v>
      </c>
      <c r="O52" s="4">
        <v>10</v>
      </c>
      <c r="P52" s="4">
        <v>20</v>
      </c>
      <c r="Q52" s="4">
        <v>12</v>
      </c>
      <c r="R52" s="5"/>
      <c r="S52" s="5"/>
      <c r="T52" s="49"/>
      <c r="U52" s="60">
        <f t="shared" si="10"/>
        <v>157</v>
      </c>
      <c r="W52" s="55" t="s">
        <v>6</v>
      </c>
      <c r="X52" s="48">
        <f>SUM(U56:U61)</f>
        <v>460</v>
      </c>
      <c r="AG52" s="79" t="s">
        <v>13</v>
      </c>
      <c r="AH52" s="79">
        <f t="shared" ref="AH52:AH57" si="11">U50</f>
        <v>151</v>
      </c>
      <c r="AI52" s="79">
        <f t="shared" ref="AI52:AI57" si="12">U56</f>
        <v>149</v>
      </c>
      <c r="AJ52" s="79">
        <f t="shared" ref="AJ52:AJ57" si="13">U62</f>
        <v>324</v>
      </c>
      <c r="AK52" s="79">
        <f t="shared" ref="AK52:AK57" si="14">U68</f>
        <v>262</v>
      </c>
      <c r="AL52" s="79">
        <f t="shared" ref="AL52:AL57" si="15">U74</f>
        <v>237</v>
      </c>
      <c r="AM52" s="79">
        <f t="shared" ref="AM52:AM57" si="16">U80</f>
        <v>186</v>
      </c>
      <c r="AN52" s="79">
        <f t="shared" ref="AN52:AN57" si="17">U86</f>
        <v>209</v>
      </c>
    </row>
    <row r="53" spans="1:40" ht="18.75" customHeight="1">
      <c r="A53" s="230"/>
      <c r="B53" s="4" t="s">
        <v>16</v>
      </c>
      <c r="C53" s="5"/>
      <c r="D53" s="5"/>
      <c r="E53" s="4">
        <v>2</v>
      </c>
      <c r="F53" s="4">
        <v>4</v>
      </c>
      <c r="G53" s="4">
        <v>10</v>
      </c>
      <c r="H53" s="4">
        <v>8</v>
      </c>
      <c r="I53" s="4">
        <v>7</v>
      </c>
      <c r="J53" s="4">
        <v>8</v>
      </c>
      <c r="K53" s="227"/>
      <c r="L53" s="4" t="s">
        <v>16</v>
      </c>
      <c r="M53" s="4">
        <v>7</v>
      </c>
      <c r="N53" s="4">
        <v>7</v>
      </c>
      <c r="O53" s="4">
        <v>2</v>
      </c>
      <c r="P53" s="4">
        <v>1</v>
      </c>
      <c r="Q53" s="4">
        <v>2</v>
      </c>
      <c r="R53" s="5"/>
      <c r="S53" s="5"/>
      <c r="T53" s="49"/>
      <c r="U53" s="60">
        <f t="shared" si="10"/>
        <v>58</v>
      </c>
      <c r="W53" s="55" t="s">
        <v>7</v>
      </c>
      <c r="X53" s="48">
        <f>SUM(U62:U67)</f>
        <v>1037</v>
      </c>
      <c r="AG53" s="97" t="s">
        <v>14</v>
      </c>
      <c r="AH53" s="97">
        <f t="shared" si="11"/>
        <v>61</v>
      </c>
      <c r="AI53" s="97">
        <f t="shared" si="12"/>
        <v>54</v>
      </c>
      <c r="AJ53" s="97">
        <f t="shared" si="13"/>
        <v>149</v>
      </c>
      <c r="AK53" s="97">
        <f t="shared" si="14"/>
        <v>109</v>
      </c>
      <c r="AL53" s="97">
        <f t="shared" si="15"/>
        <v>120</v>
      </c>
      <c r="AM53" s="97">
        <f t="shared" si="16"/>
        <v>111</v>
      </c>
      <c r="AN53" s="97">
        <f t="shared" si="17"/>
        <v>115</v>
      </c>
    </row>
    <row r="54" spans="1:40" ht="18.75" customHeight="1">
      <c r="A54" s="230"/>
      <c r="B54" s="4" t="s">
        <v>17</v>
      </c>
      <c r="C54" s="5"/>
      <c r="D54" s="5"/>
      <c r="E54" s="4">
        <v>0</v>
      </c>
      <c r="F54" s="4">
        <v>7</v>
      </c>
      <c r="G54" s="4">
        <v>7</v>
      </c>
      <c r="H54" s="4">
        <v>8</v>
      </c>
      <c r="I54" s="4">
        <v>9</v>
      </c>
      <c r="J54" s="4">
        <v>2</v>
      </c>
      <c r="K54" s="227"/>
      <c r="L54" s="4" t="s">
        <v>17</v>
      </c>
      <c r="M54" s="4">
        <v>5</v>
      </c>
      <c r="N54" s="4">
        <v>2</v>
      </c>
      <c r="O54" s="4">
        <v>7</v>
      </c>
      <c r="P54" s="4">
        <v>2</v>
      </c>
      <c r="Q54" s="4">
        <v>0</v>
      </c>
      <c r="R54" s="5"/>
      <c r="S54" s="5"/>
      <c r="T54" s="49"/>
      <c r="U54" s="60">
        <f t="shared" si="10"/>
        <v>49</v>
      </c>
      <c r="W54" s="55" t="s">
        <v>61</v>
      </c>
      <c r="X54" s="48">
        <f>SUM(U68:U73)</f>
        <v>859</v>
      </c>
      <c r="AG54" s="79" t="s">
        <v>15</v>
      </c>
      <c r="AH54" s="79">
        <f t="shared" si="11"/>
        <v>157</v>
      </c>
      <c r="AI54" s="79">
        <f t="shared" si="12"/>
        <v>114</v>
      </c>
      <c r="AJ54" s="79">
        <f t="shared" si="13"/>
        <v>274</v>
      </c>
      <c r="AK54" s="79">
        <f t="shared" si="14"/>
        <v>234</v>
      </c>
      <c r="AL54" s="79">
        <f t="shared" si="15"/>
        <v>240</v>
      </c>
      <c r="AM54" s="79">
        <f t="shared" si="16"/>
        <v>211</v>
      </c>
      <c r="AN54" s="79">
        <f t="shared" si="17"/>
        <v>191</v>
      </c>
    </row>
    <row r="55" spans="1:40" ht="18.75" customHeight="1">
      <c r="A55" s="230"/>
      <c r="B55" s="46" t="s">
        <v>18</v>
      </c>
      <c r="C55" s="64"/>
      <c r="D55" s="64"/>
      <c r="E55" s="46">
        <v>2</v>
      </c>
      <c r="F55" s="46">
        <v>5</v>
      </c>
      <c r="G55" s="46">
        <v>10</v>
      </c>
      <c r="H55" s="46">
        <v>7</v>
      </c>
      <c r="I55" s="46">
        <v>4</v>
      </c>
      <c r="J55" s="46">
        <v>3</v>
      </c>
      <c r="K55" s="227"/>
      <c r="L55" s="46" t="s">
        <v>18</v>
      </c>
      <c r="M55" s="46">
        <v>8</v>
      </c>
      <c r="N55" s="46">
        <v>3</v>
      </c>
      <c r="O55" s="46">
        <v>3</v>
      </c>
      <c r="P55" s="46">
        <v>5</v>
      </c>
      <c r="Q55" s="46">
        <v>5</v>
      </c>
      <c r="R55" s="64"/>
      <c r="S55" s="64"/>
      <c r="T55" s="65"/>
      <c r="U55" s="66">
        <f t="shared" si="10"/>
        <v>55</v>
      </c>
      <c r="W55" s="55" t="s">
        <v>9</v>
      </c>
      <c r="X55" s="48">
        <f>SUM(U74:U79)</f>
        <v>849</v>
      </c>
      <c r="AG55" s="97" t="s">
        <v>16</v>
      </c>
      <c r="AH55" s="97">
        <f t="shared" si="11"/>
        <v>58</v>
      </c>
      <c r="AI55" s="97">
        <f t="shared" si="12"/>
        <v>46</v>
      </c>
      <c r="AJ55" s="97">
        <f t="shared" si="13"/>
        <v>115</v>
      </c>
      <c r="AK55" s="97">
        <f t="shared" si="14"/>
        <v>83</v>
      </c>
      <c r="AL55" s="97">
        <f t="shared" si="15"/>
        <v>77</v>
      </c>
      <c r="AM55" s="97">
        <f t="shared" si="16"/>
        <v>84</v>
      </c>
      <c r="AN55" s="97">
        <f t="shared" si="17"/>
        <v>70</v>
      </c>
    </row>
    <row r="56" spans="1:40" ht="18.75" customHeight="1">
      <c r="A56" s="193" t="s">
        <v>6</v>
      </c>
      <c r="B56" s="63" t="s">
        <v>13</v>
      </c>
      <c r="C56" s="57"/>
      <c r="D56" s="57"/>
      <c r="E56" s="57"/>
      <c r="F56" s="63">
        <v>15</v>
      </c>
      <c r="G56" s="63">
        <v>22</v>
      </c>
      <c r="H56" s="63">
        <v>26</v>
      </c>
      <c r="I56" s="63">
        <v>23</v>
      </c>
      <c r="J56" s="63">
        <v>15</v>
      </c>
      <c r="K56" s="194" t="s">
        <v>6</v>
      </c>
      <c r="L56" s="63" t="s">
        <v>13</v>
      </c>
      <c r="M56" s="63">
        <v>14</v>
      </c>
      <c r="N56" s="63">
        <v>11</v>
      </c>
      <c r="O56" s="63">
        <v>16</v>
      </c>
      <c r="P56" s="63">
        <v>7</v>
      </c>
      <c r="Q56" s="57"/>
      <c r="R56" s="57"/>
      <c r="S56" s="57"/>
      <c r="T56" s="58"/>
      <c r="U56" s="59">
        <f t="shared" si="10"/>
        <v>149</v>
      </c>
      <c r="W56" s="55" t="s">
        <v>10</v>
      </c>
      <c r="X56" s="48">
        <f>SUM(U80:U85)</f>
        <v>736</v>
      </c>
      <c r="AG56" s="79" t="s">
        <v>17</v>
      </c>
      <c r="AH56" s="79">
        <f t="shared" si="11"/>
        <v>49</v>
      </c>
      <c r="AI56" s="79">
        <f t="shared" si="12"/>
        <v>41</v>
      </c>
      <c r="AJ56" s="79">
        <f t="shared" si="13"/>
        <v>87</v>
      </c>
      <c r="AK56" s="79">
        <f t="shared" si="14"/>
        <v>79</v>
      </c>
      <c r="AL56" s="79">
        <f t="shared" si="15"/>
        <v>80</v>
      </c>
      <c r="AM56" s="79">
        <f t="shared" si="16"/>
        <v>67</v>
      </c>
      <c r="AN56" s="79">
        <f t="shared" si="17"/>
        <v>76</v>
      </c>
    </row>
    <row r="57" spans="1:40" ht="18.75" customHeight="1">
      <c r="A57" s="230"/>
      <c r="B57" s="6" t="s">
        <v>14</v>
      </c>
      <c r="C57" s="5"/>
      <c r="D57" s="5"/>
      <c r="E57" s="5"/>
      <c r="F57" s="6">
        <v>6</v>
      </c>
      <c r="G57" s="6">
        <v>7</v>
      </c>
      <c r="H57" s="6">
        <v>8</v>
      </c>
      <c r="I57" s="6">
        <v>9</v>
      </c>
      <c r="J57" s="6">
        <v>5</v>
      </c>
      <c r="K57" s="227"/>
      <c r="L57" s="6" t="s">
        <v>14</v>
      </c>
      <c r="M57" s="6">
        <v>7</v>
      </c>
      <c r="N57" s="6">
        <v>6</v>
      </c>
      <c r="O57" s="6">
        <v>3</v>
      </c>
      <c r="P57" s="6">
        <v>3</v>
      </c>
      <c r="Q57" s="5"/>
      <c r="R57" s="5"/>
      <c r="S57" s="5"/>
      <c r="T57" s="49"/>
      <c r="U57" s="60">
        <f t="shared" si="10"/>
        <v>54</v>
      </c>
      <c r="W57" s="81" t="s">
        <v>11</v>
      </c>
      <c r="X57" s="80">
        <f>SUM(U86:U91)</f>
        <v>738</v>
      </c>
      <c r="AG57" s="97" t="s">
        <v>18</v>
      </c>
      <c r="AH57" s="97">
        <f t="shared" si="11"/>
        <v>55</v>
      </c>
      <c r="AI57" s="97">
        <f t="shared" si="12"/>
        <v>56</v>
      </c>
      <c r="AJ57" s="97">
        <f t="shared" si="13"/>
        <v>88</v>
      </c>
      <c r="AK57" s="97">
        <f t="shared" si="14"/>
        <v>92</v>
      </c>
      <c r="AL57" s="97">
        <f t="shared" si="15"/>
        <v>95</v>
      </c>
      <c r="AM57" s="97">
        <f t="shared" si="16"/>
        <v>77</v>
      </c>
      <c r="AN57" s="97">
        <f t="shared" si="17"/>
        <v>77</v>
      </c>
    </row>
    <row r="58" spans="1:40" ht="18.75" customHeight="1">
      <c r="A58" s="230"/>
      <c r="B58" s="6" t="s">
        <v>15</v>
      </c>
      <c r="C58" s="5"/>
      <c r="D58" s="5"/>
      <c r="E58" s="5"/>
      <c r="F58" s="6">
        <v>18</v>
      </c>
      <c r="G58" s="6">
        <v>16</v>
      </c>
      <c r="H58" s="6">
        <v>16</v>
      </c>
      <c r="I58" s="6">
        <v>21</v>
      </c>
      <c r="J58" s="6">
        <v>8</v>
      </c>
      <c r="K58" s="227"/>
      <c r="L58" s="6" t="s">
        <v>15</v>
      </c>
      <c r="M58" s="6">
        <v>14</v>
      </c>
      <c r="N58" s="6">
        <v>8</v>
      </c>
      <c r="O58" s="6">
        <v>8</v>
      </c>
      <c r="P58" s="6">
        <v>5</v>
      </c>
      <c r="Q58" s="5"/>
      <c r="R58" s="5"/>
      <c r="S58" s="5"/>
      <c r="T58" s="49"/>
      <c r="U58" s="60">
        <f t="shared" si="10"/>
        <v>114</v>
      </c>
      <c r="W58" s="79" t="s">
        <v>63</v>
      </c>
      <c r="X58" s="82">
        <f>SUM(X51:X57)</f>
        <v>5210</v>
      </c>
    </row>
    <row r="59" spans="1:40" ht="18.75" customHeight="1">
      <c r="A59" s="230"/>
      <c r="B59" s="6" t="s">
        <v>16</v>
      </c>
      <c r="C59" s="5"/>
      <c r="D59" s="5"/>
      <c r="E59" s="5"/>
      <c r="F59" s="6">
        <v>4</v>
      </c>
      <c r="G59" s="6">
        <v>5</v>
      </c>
      <c r="H59" s="6">
        <v>6</v>
      </c>
      <c r="I59" s="6">
        <v>5</v>
      </c>
      <c r="J59" s="6">
        <v>11</v>
      </c>
      <c r="K59" s="227"/>
      <c r="L59" s="6" t="s">
        <v>16</v>
      </c>
      <c r="M59" s="6">
        <v>3</v>
      </c>
      <c r="N59" s="6">
        <v>5</v>
      </c>
      <c r="O59" s="6">
        <v>3</v>
      </c>
      <c r="P59" s="6">
        <v>4</v>
      </c>
      <c r="Q59" s="5"/>
      <c r="R59" s="5"/>
      <c r="S59" s="5"/>
      <c r="T59" s="49"/>
      <c r="U59" s="60">
        <f t="shared" si="10"/>
        <v>46</v>
      </c>
    </row>
    <row r="60" spans="1:40" ht="18.75" customHeight="1">
      <c r="A60" s="230"/>
      <c r="B60" s="6" t="s">
        <v>17</v>
      </c>
      <c r="C60" s="5"/>
      <c r="D60" s="5"/>
      <c r="E60" s="5"/>
      <c r="F60" s="6">
        <v>7</v>
      </c>
      <c r="G60" s="6">
        <v>7</v>
      </c>
      <c r="H60" s="6">
        <v>7</v>
      </c>
      <c r="I60" s="6">
        <v>5</v>
      </c>
      <c r="J60" s="6">
        <v>2</v>
      </c>
      <c r="K60" s="227"/>
      <c r="L60" s="6" t="s">
        <v>17</v>
      </c>
      <c r="M60" s="6">
        <v>7</v>
      </c>
      <c r="N60" s="6">
        <v>2</v>
      </c>
      <c r="O60" s="6">
        <v>2</v>
      </c>
      <c r="P60" s="6">
        <v>2</v>
      </c>
      <c r="Q60" s="5"/>
      <c r="R60" s="5"/>
      <c r="S60" s="5"/>
      <c r="T60" s="49"/>
      <c r="U60" s="60">
        <f t="shared" si="10"/>
        <v>41</v>
      </c>
    </row>
    <row r="61" spans="1:40" ht="18.75" customHeight="1">
      <c r="A61" s="230"/>
      <c r="B61" s="47" t="s">
        <v>18</v>
      </c>
      <c r="C61" s="64"/>
      <c r="D61" s="64"/>
      <c r="E61" s="64"/>
      <c r="F61" s="47">
        <v>6</v>
      </c>
      <c r="G61" s="47">
        <v>7</v>
      </c>
      <c r="H61" s="47">
        <v>5</v>
      </c>
      <c r="I61" s="47">
        <v>8</v>
      </c>
      <c r="J61" s="47">
        <v>12</v>
      </c>
      <c r="K61" s="227"/>
      <c r="L61" s="47" t="s">
        <v>18</v>
      </c>
      <c r="M61" s="47">
        <v>10</v>
      </c>
      <c r="N61" s="47">
        <v>4</v>
      </c>
      <c r="O61" s="47">
        <v>2</v>
      </c>
      <c r="P61" s="47">
        <v>2</v>
      </c>
      <c r="Q61" s="64"/>
      <c r="R61" s="64"/>
      <c r="S61" s="64"/>
      <c r="T61" s="65"/>
      <c r="U61" s="66">
        <f t="shared" si="10"/>
        <v>56</v>
      </c>
    </row>
    <row r="62" spans="1:40" ht="18.75" customHeight="1">
      <c r="A62" s="195" t="s">
        <v>7</v>
      </c>
      <c r="B62" s="56" t="s">
        <v>13</v>
      </c>
      <c r="C62" s="56">
        <v>14</v>
      </c>
      <c r="D62" s="56">
        <v>23</v>
      </c>
      <c r="E62" s="56">
        <v>25</v>
      </c>
      <c r="F62" s="56">
        <v>27</v>
      </c>
      <c r="G62" s="56">
        <v>47</v>
      </c>
      <c r="H62" s="56">
        <v>25</v>
      </c>
      <c r="I62" s="56">
        <v>29</v>
      </c>
      <c r="J62" s="56">
        <v>33</v>
      </c>
      <c r="K62" s="196" t="s">
        <v>7</v>
      </c>
      <c r="L62" s="56" t="s">
        <v>13</v>
      </c>
      <c r="M62" s="56">
        <v>27</v>
      </c>
      <c r="N62" s="56">
        <v>23</v>
      </c>
      <c r="O62" s="56">
        <v>20</v>
      </c>
      <c r="P62" s="56">
        <v>30</v>
      </c>
      <c r="Q62" s="56">
        <v>38</v>
      </c>
      <c r="R62" s="56">
        <v>48</v>
      </c>
      <c r="S62" s="56">
        <v>42</v>
      </c>
      <c r="T62" s="67">
        <v>21</v>
      </c>
      <c r="U62" s="59">
        <f t="shared" si="10"/>
        <v>324</v>
      </c>
    </row>
    <row r="63" spans="1:40" ht="18.75" customHeight="1">
      <c r="A63" s="230"/>
      <c r="B63" s="4" t="s">
        <v>14</v>
      </c>
      <c r="C63" s="4">
        <v>5</v>
      </c>
      <c r="D63" s="4">
        <v>12</v>
      </c>
      <c r="E63" s="4">
        <v>10</v>
      </c>
      <c r="F63" s="4">
        <v>12</v>
      </c>
      <c r="G63" s="4">
        <v>14</v>
      </c>
      <c r="H63" s="4">
        <v>14</v>
      </c>
      <c r="I63" s="4">
        <v>13</v>
      </c>
      <c r="J63" s="4">
        <v>12</v>
      </c>
      <c r="K63" s="227"/>
      <c r="L63" s="4" t="s">
        <v>14</v>
      </c>
      <c r="M63" s="4">
        <v>19</v>
      </c>
      <c r="N63" s="4">
        <v>14</v>
      </c>
      <c r="O63" s="4">
        <v>15</v>
      </c>
      <c r="P63" s="4">
        <v>12</v>
      </c>
      <c r="Q63" s="4">
        <v>14</v>
      </c>
      <c r="R63" s="4">
        <v>14</v>
      </c>
      <c r="S63" s="4">
        <v>6</v>
      </c>
      <c r="T63" s="50">
        <v>11</v>
      </c>
      <c r="U63" s="60">
        <f t="shared" si="10"/>
        <v>149</v>
      </c>
    </row>
    <row r="64" spans="1:40" ht="18.75" customHeight="1">
      <c r="A64" s="230"/>
      <c r="B64" s="4" t="s">
        <v>15</v>
      </c>
      <c r="C64" s="4">
        <v>17</v>
      </c>
      <c r="D64" s="4">
        <v>21</v>
      </c>
      <c r="E64" s="4">
        <v>19</v>
      </c>
      <c r="F64" s="4">
        <v>17</v>
      </c>
      <c r="G64" s="4">
        <v>29</v>
      </c>
      <c r="H64" s="4">
        <v>18</v>
      </c>
      <c r="I64" s="4">
        <v>23</v>
      </c>
      <c r="J64" s="4">
        <v>27</v>
      </c>
      <c r="K64" s="227"/>
      <c r="L64" s="4" t="s">
        <v>15</v>
      </c>
      <c r="M64" s="4">
        <v>25</v>
      </c>
      <c r="N64" s="4">
        <v>25</v>
      </c>
      <c r="O64" s="4">
        <v>24</v>
      </c>
      <c r="P64" s="4">
        <v>25</v>
      </c>
      <c r="Q64" s="4">
        <v>42</v>
      </c>
      <c r="R64" s="4">
        <v>36</v>
      </c>
      <c r="S64" s="4">
        <v>28</v>
      </c>
      <c r="T64" s="50">
        <v>24</v>
      </c>
      <c r="U64" s="60">
        <f t="shared" si="10"/>
        <v>274</v>
      </c>
    </row>
    <row r="65" spans="1:21" ht="18.75" customHeight="1">
      <c r="A65" s="230"/>
      <c r="B65" s="4" t="s">
        <v>16</v>
      </c>
      <c r="C65" s="4">
        <v>5</v>
      </c>
      <c r="D65" s="4">
        <v>7</v>
      </c>
      <c r="E65" s="4">
        <v>10</v>
      </c>
      <c r="F65" s="4">
        <v>21</v>
      </c>
      <c r="G65" s="4">
        <v>11</v>
      </c>
      <c r="H65" s="4">
        <v>6</v>
      </c>
      <c r="I65" s="4">
        <v>8</v>
      </c>
      <c r="J65" s="4">
        <v>8</v>
      </c>
      <c r="K65" s="227"/>
      <c r="L65" s="4" t="s">
        <v>16</v>
      </c>
      <c r="M65" s="4">
        <v>12</v>
      </c>
      <c r="N65" s="4">
        <v>2</v>
      </c>
      <c r="O65" s="4">
        <v>10</v>
      </c>
      <c r="P65" s="4">
        <v>14</v>
      </c>
      <c r="Q65" s="4">
        <v>13</v>
      </c>
      <c r="R65" s="4">
        <v>12</v>
      </c>
      <c r="S65" s="4">
        <v>6</v>
      </c>
      <c r="T65" s="50">
        <v>7</v>
      </c>
      <c r="U65" s="60">
        <f t="shared" si="10"/>
        <v>115</v>
      </c>
    </row>
    <row r="66" spans="1:21" ht="18.75" customHeight="1">
      <c r="A66" s="230"/>
      <c r="B66" s="4" t="s">
        <v>17</v>
      </c>
      <c r="C66" s="4">
        <v>10</v>
      </c>
      <c r="D66" s="4">
        <v>4</v>
      </c>
      <c r="E66" s="4">
        <v>5</v>
      </c>
      <c r="F66" s="4">
        <v>7</v>
      </c>
      <c r="G66" s="4">
        <v>5</v>
      </c>
      <c r="H66" s="4">
        <v>5</v>
      </c>
      <c r="I66" s="4">
        <v>7</v>
      </c>
      <c r="J66" s="4">
        <v>6</v>
      </c>
      <c r="K66" s="227"/>
      <c r="L66" s="4" t="s">
        <v>17</v>
      </c>
      <c r="M66" s="4">
        <v>10</v>
      </c>
      <c r="N66" s="4">
        <v>5</v>
      </c>
      <c r="O66" s="4">
        <v>10</v>
      </c>
      <c r="P66" s="4">
        <v>13</v>
      </c>
      <c r="Q66" s="4">
        <v>14</v>
      </c>
      <c r="R66" s="4">
        <v>26</v>
      </c>
      <c r="S66" s="4">
        <v>9</v>
      </c>
      <c r="T66" s="50">
        <v>8</v>
      </c>
      <c r="U66" s="60">
        <f t="shared" si="10"/>
        <v>87</v>
      </c>
    </row>
    <row r="67" spans="1:21" ht="18.75" customHeight="1">
      <c r="A67" s="230"/>
      <c r="B67" s="46" t="s">
        <v>18</v>
      </c>
      <c r="C67" s="46">
        <v>22</v>
      </c>
      <c r="D67" s="46">
        <v>155</v>
      </c>
      <c r="E67" s="46">
        <v>13</v>
      </c>
      <c r="F67" s="46">
        <v>7</v>
      </c>
      <c r="G67" s="46">
        <v>6</v>
      </c>
      <c r="H67" s="46">
        <v>10</v>
      </c>
      <c r="I67" s="46">
        <v>13</v>
      </c>
      <c r="J67" s="46">
        <v>7</v>
      </c>
      <c r="K67" s="227"/>
      <c r="L67" s="46" t="s">
        <v>18</v>
      </c>
      <c r="M67" s="46">
        <v>6</v>
      </c>
      <c r="N67" s="46">
        <v>6</v>
      </c>
      <c r="O67" s="46">
        <v>5</v>
      </c>
      <c r="P67" s="46">
        <v>7</v>
      </c>
      <c r="Q67" s="46">
        <v>8</v>
      </c>
      <c r="R67" s="46">
        <v>17</v>
      </c>
      <c r="S67" s="46">
        <v>10</v>
      </c>
      <c r="T67" s="69">
        <v>12</v>
      </c>
      <c r="U67" s="66">
        <f t="shared" si="10"/>
        <v>88</v>
      </c>
    </row>
    <row r="68" spans="1:21" ht="18.75" customHeight="1">
      <c r="A68" s="193" t="s">
        <v>8</v>
      </c>
      <c r="B68" s="63" t="s">
        <v>13</v>
      </c>
      <c r="C68" s="63">
        <v>15</v>
      </c>
      <c r="D68" s="63">
        <v>21</v>
      </c>
      <c r="E68" s="63">
        <v>22</v>
      </c>
      <c r="F68" s="63">
        <v>26</v>
      </c>
      <c r="G68" s="63">
        <v>35</v>
      </c>
      <c r="H68" s="63">
        <v>37</v>
      </c>
      <c r="I68" s="63">
        <v>32</v>
      </c>
      <c r="J68" s="63">
        <v>22</v>
      </c>
      <c r="K68" s="194" t="s">
        <v>8</v>
      </c>
      <c r="L68" s="63" t="s">
        <v>13</v>
      </c>
      <c r="M68" s="63">
        <v>18</v>
      </c>
      <c r="N68" s="63">
        <v>14</v>
      </c>
      <c r="O68" s="63">
        <v>12</v>
      </c>
      <c r="P68" s="63">
        <v>16</v>
      </c>
      <c r="Q68" s="63">
        <v>28</v>
      </c>
      <c r="R68" s="63">
        <v>43</v>
      </c>
      <c r="S68" s="63">
        <v>25</v>
      </c>
      <c r="T68" s="68">
        <v>13</v>
      </c>
      <c r="U68" s="59">
        <f t="shared" si="10"/>
        <v>262</v>
      </c>
    </row>
    <row r="69" spans="1:21" ht="18.75" customHeight="1">
      <c r="A69" s="230"/>
      <c r="B69" s="6" t="s">
        <v>14</v>
      </c>
      <c r="C69" s="6">
        <v>4</v>
      </c>
      <c r="D69" s="6">
        <v>7</v>
      </c>
      <c r="E69" s="6">
        <v>11</v>
      </c>
      <c r="F69" s="6">
        <v>13</v>
      </c>
      <c r="G69" s="6">
        <v>7</v>
      </c>
      <c r="H69" s="6">
        <v>13</v>
      </c>
      <c r="I69" s="6">
        <v>13</v>
      </c>
      <c r="J69" s="6">
        <v>5</v>
      </c>
      <c r="K69" s="227"/>
      <c r="L69" s="6" t="s">
        <v>14</v>
      </c>
      <c r="M69" s="6">
        <v>7</v>
      </c>
      <c r="N69" s="6">
        <v>3</v>
      </c>
      <c r="O69" s="6">
        <v>4</v>
      </c>
      <c r="P69" s="6">
        <v>9</v>
      </c>
      <c r="Q69" s="6">
        <v>24</v>
      </c>
      <c r="R69" s="6">
        <v>9</v>
      </c>
      <c r="S69" s="6">
        <v>7</v>
      </c>
      <c r="T69" s="51">
        <v>4</v>
      </c>
      <c r="U69" s="60">
        <f t="shared" si="10"/>
        <v>109</v>
      </c>
    </row>
    <row r="70" spans="1:21" ht="18.75" customHeight="1">
      <c r="A70" s="230"/>
      <c r="B70" s="6" t="s">
        <v>15</v>
      </c>
      <c r="C70" s="6">
        <v>13</v>
      </c>
      <c r="D70" s="6">
        <v>22</v>
      </c>
      <c r="E70" s="6">
        <v>19</v>
      </c>
      <c r="F70" s="6">
        <v>20</v>
      </c>
      <c r="G70" s="6">
        <v>27</v>
      </c>
      <c r="H70" s="6">
        <v>27</v>
      </c>
      <c r="I70" s="6">
        <v>23</v>
      </c>
      <c r="J70" s="6">
        <v>32</v>
      </c>
      <c r="K70" s="227"/>
      <c r="L70" s="6" t="s">
        <v>15</v>
      </c>
      <c r="M70" s="6">
        <v>13</v>
      </c>
      <c r="N70" s="6">
        <v>21</v>
      </c>
      <c r="O70" s="6">
        <v>17</v>
      </c>
      <c r="P70" s="6">
        <v>26</v>
      </c>
      <c r="Q70" s="6">
        <v>9</v>
      </c>
      <c r="R70" s="6">
        <v>29</v>
      </c>
      <c r="S70" s="6">
        <v>19</v>
      </c>
      <c r="T70" s="51">
        <v>12</v>
      </c>
      <c r="U70" s="60">
        <f t="shared" si="10"/>
        <v>234</v>
      </c>
    </row>
    <row r="71" spans="1:21" ht="18.75" customHeight="1">
      <c r="A71" s="230"/>
      <c r="B71" s="6" t="s">
        <v>16</v>
      </c>
      <c r="C71" s="6">
        <v>3</v>
      </c>
      <c r="D71" s="6">
        <v>7</v>
      </c>
      <c r="E71" s="6">
        <v>6</v>
      </c>
      <c r="F71" s="6">
        <v>5</v>
      </c>
      <c r="G71" s="6">
        <v>17</v>
      </c>
      <c r="H71" s="6">
        <v>19</v>
      </c>
      <c r="I71" s="6">
        <v>5</v>
      </c>
      <c r="J71" s="6">
        <v>8</v>
      </c>
      <c r="K71" s="227"/>
      <c r="L71" s="6" t="s">
        <v>16</v>
      </c>
      <c r="M71" s="6">
        <v>4</v>
      </c>
      <c r="N71" s="6">
        <v>3</v>
      </c>
      <c r="O71" s="6">
        <v>1</v>
      </c>
      <c r="P71" s="6">
        <v>1</v>
      </c>
      <c r="Q71" s="6">
        <v>14</v>
      </c>
      <c r="R71" s="6">
        <v>11</v>
      </c>
      <c r="S71" s="6">
        <v>5</v>
      </c>
      <c r="T71" s="51">
        <v>3</v>
      </c>
      <c r="U71" s="60">
        <f t="shared" si="10"/>
        <v>83</v>
      </c>
    </row>
    <row r="72" spans="1:21" ht="18.75" customHeight="1">
      <c r="A72" s="230"/>
      <c r="B72" s="6" t="s">
        <v>17</v>
      </c>
      <c r="C72" s="6">
        <v>6</v>
      </c>
      <c r="D72" s="6">
        <v>8</v>
      </c>
      <c r="E72" s="6">
        <v>5</v>
      </c>
      <c r="F72" s="6">
        <v>9</v>
      </c>
      <c r="G72" s="6">
        <v>8</v>
      </c>
      <c r="H72" s="6">
        <v>8</v>
      </c>
      <c r="I72" s="6">
        <v>13</v>
      </c>
      <c r="J72" s="6">
        <v>7</v>
      </c>
      <c r="K72" s="227"/>
      <c r="L72" s="6" t="s">
        <v>17</v>
      </c>
      <c r="M72" s="6">
        <v>7</v>
      </c>
      <c r="N72" s="6">
        <v>4</v>
      </c>
      <c r="O72" s="6">
        <v>3</v>
      </c>
      <c r="P72" s="6">
        <v>8</v>
      </c>
      <c r="Q72" s="6">
        <v>7</v>
      </c>
      <c r="R72" s="6">
        <v>8</v>
      </c>
      <c r="S72" s="6">
        <v>4</v>
      </c>
      <c r="T72" s="51">
        <v>1</v>
      </c>
      <c r="U72" s="60">
        <f t="shared" si="10"/>
        <v>79</v>
      </c>
    </row>
    <row r="73" spans="1:21" ht="18.75" customHeight="1">
      <c r="A73" s="230"/>
      <c r="B73" s="47" t="s">
        <v>18</v>
      </c>
      <c r="C73" s="47">
        <v>14</v>
      </c>
      <c r="D73" s="47">
        <v>11</v>
      </c>
      <c r="E73" s="47">
        <v>4</v>
      </c>
      <c r="F73" s="47">
        <v>8</v>
      </c>
      <c r="G73" s="47">
        <v>10</v>
      </c>
      <c r="H73" s="47">
        <v>9</v>
      </c>
      <c r="I73" s="47">
        <v>10</v>
      </c>
      <c r="J73" s="47">
        <v>9</v>
      </c>
      <c r="K73" s="227"/>
      <c r="L73" s="47" t="s">
        <v>18</v>
      </c>
      <c r="M73" s="47">
        <v>4</v>
      </c>
      <c r="N73" s="47">
        <v>4</v>
      </c>
      <c r="O73" s="47">
        <v>4</v>
      </c>
      <c r="P73" s="47">
        <v>9</v>
      </c>
      <c r="Q73" s="47">
        <v>21</v>
      </c>
      <c r="R73" s="47">
        <v>15</v>
      </c>
      <c r="S73" s="47">
        <v>8</v>
      </c>
      <c r="T73" s="70">
        <v>5</v>
      </c>
      <c r="U73" s="66">
        <f t="shared" si="10"/>
        <v>92</v>
      </c>
    </row>
    <row r="74" spans="1:21" ht="18.75" customHeight="1">
      <c r="A74" s="195" t="s">
        <v>9</v>
      </c>
      <c r="B74" s="56" t="s">
        <v>13</v>
      </c>
      <c r="C74" s="56">
        <v>21</v>
      </c>
      <c r="D74" s="56">
        <v>18</v>
      </c>
      <c r="E74" s="56">
        <v>27</v>
      </c>
      <c r="F74" s="56">
        <v>20</v>
      </c>
      <c r="G74" s="56">
        <v>42</v>
      </c>
      <c r="H74" s="56">
        <v>29</v>
      </c>
      <c r="I74" s="56">
        <v>11</v>
      </c>
      <c r="J74" s="56">
        <v>13</v>
      </c>
      <c r="K74" s="196" t="s">
        <v>9</v>
      </c>
      <c r="L74" s="56" t="s">
        <v>13</v>
      </c>
      <c r="M74" s="56">
        <v>21</v>
      </c>
      <c r="N74" s="56">
        <v>17</v>
      </c>
      <c r="O74" s="56">
        <v>15</v>
      </c>
      <c r="P74" s="56">
        <v>21</v>
      </c>
      <c r="Q74" s="56">
        <v>21</v>
      </c>
      <c r="R74" s="56">
        <v>18</v>
      </c>
      <c r="S74" s="56">
        <v>9</v>
      </c>
      <c r="T74" s="67">
        <v>8</v>
      </c>
      <c r="U74" s="59">
        <f t="shared" si="10"/>
        <v>237</v>
      </c>
    </row>
    <row r="75" spans="1:21" ht="18.75" customHeight="1">
      <c r="A75" s="230"/>
      <c r="B75" s="4" t="s">
        <v>14</v>
      </c>
      <c r="C75" s="4">
        <v>9</v>
      </c>
      <c r="D75" s="4">
        <v>9</v>
      </c>
      <c r="E75" s="4">
        <v>12</v>
      </c>
      <c r="F75" s="4">
        <v>13</v>
      </c>
      <c r="G75" s="4">
        <v>16</v>
      </c>
      <c r="H75" s="4">
        <v>14</v>
      </c>
      <c r="I75" s="4">
        <v>10</v>
      </c>
      <c r="J75" s="4">
        <v>12</v>
      </c>
      <c r="K75" s="227"/>
      <c r="L75" s="4" t="s">
        <v>14</v>
      </c>
      <c r="M75" s="4">
        <v>7</v>
      </c>
      <c r="N75" s="4">
        <v>12</v>
      </c>
      <c r="O75" s="4">
        <v>12</v>
      </c>
      <c r="P75" s="4">
        <v>5</v>
      </c>
      <c r="Q75" s="4">
        <v>7</v>
      </c>
      <c r="R75" s="4">
        <v>2</v>
      </c>
      <c r="S75" s="4">
        <v>6</v>
      </c>
      <c r="T75" s="50">
        <v>2</v>
      </c>
      <c r="U75" s="60">
        <f t="shared" si="10"/>
        <v>120</v>
      </c>
    </row>
    <row r="76" spans="1:21" ht="18.75" customHeight="1">
      <c r="A76" s="230"/>
      <c r="B76" s="4" t="s">
        <v>15</v>
      </c>
      <c r="C76" s="4">
        <v>21</v>
      </c>
      <c r="D76" s="4">
        <v>21</v>
      </c>
      <c r="E76" s="4">
        <v>21</v>
      </c>
      <c r="F76" s="4">
        <v>24</v>
      </c>
      <c r="G76" s="4">
        <v>21</v>
      </c>
      <c r="H76" s="4">
        <v>24</v>
      </c>
      <c r="I76" s="4">
        <v>19</v>
      </c>
      <c r="J76" s="4">
        <v>26</v>
      </c>
      <c r="K76" s="227"/>
      <c r="L76" s="4" t="s">
        <v>15</v>
      </c>
      <c r="M76" s="4">
        <v>15</v>
      </c>
      <c r="N76" s="4">
        <v>23</v>
      </c>
      <c r="O76" s="4">
        <v>16</v>
      </c>
      <c r="P76" s="4">
        <v>21</v>
      </c>
      <c r="Q76" s="4">
        <v>30</v>
      </c>
      <c r="R76" s="4">
        <v>31</v>
      </c>
      <c r="S76" s="4">
        <v>17</v>
      </c>
      <c r="T76" s="50">
        <v>10</v>
      </c>
      <c r="U76" s="60">
        <f t="shared" si="10"/>
        <v>240</v>
      </c>
    </row>
    <row r="77" spans="1:21" ht="18.75" customHeight="1">
      <c r="A77" s="230"/>
      <c r="B77" s="4" t="s">
        <v>16</v>
      </c>
      <c r="C77" s="4">
        <v>5</v>
      </c>
      <c r="D77" s="4">
        <v>5</v>
      </c>
      <c r="E77" s="4">
        <v>8</v>
      </c>
      <c r="F77" s="4">
        <v>10</v>
      </c>
      <c r="G77" s="4">
        <v>13</v>
      </c>
      <c r="H77" s="4">
        <v>14</v>
      </c>
      <c r="I77" s="4">
        <v>4</v>
      </c>
      <c r="J77" s="4">
        <v>7</v>
      </c>
      <c r="K77" s="227"/>
      <c r="L77" s="4" t="s">
        <v>16</v>
      </c>
      <c r="M77" s="4">
        <v>7</v>
      </c>
      <c r="N77" s="4">
        <v>3</v>
      </c>
      <c r="O77" s="4">
        <v>2</v>
      </c>
      <c r="P77" s="4">
        <v>7</v>
      </c>
      <c r="Q77" s="4">
        <v>2</v>
      </c>
      <c r="R77" s="4">
        <v>1</v>
      </c>
      <c r="S77" s="4">
        <v>6</v>
      </c>
      <c r="T77" s="50">
        <v>3</v>
      </c>
      <c r="U77" s="60">
        <f t="shared" si="10"/>
        <v>77</v>
      </c>
    </row>
    <row r="78" spans="1:21" ht="18.75" customHeight="1">
      <c r="A78" s="230"/>
      <c r="B78" s="4" t="s">
        <v>17</v>
      </c>
      <c r="C78" s="4">
        <v>8</v>
      </c>
      <c r="D78" s="4">
        <v>9</v>
      </c>
      <c r="E78" s="4">
        <v>13</v>
      </c>
      <c r="F78" s="4">
        <v>9</v>
      </c>
      <c r="G78" s="4">
        <v>8</v>
      </c>
      <c r="H78" s="4">
        <v>10</v>
      </c>
      <c r="I78" s="4">
        <v>7</v>
      </c>
      <c r="J78" s="4">
        <v>7</v>
      </c>
      <c r="K78" s="227"/>
      <c r="L78" s="4" t="s">
        <v>17</v>
      </c>
      <c r="M78" s="4">
        <v>4</v>
      </c>
      <c r="N78" s="4">
        <v>2</v>
      </c>
      <c r="O78" s="4">
        <v>5</v>
      </c>
      <c r="P78" s="4">
        <v>8</v>
      </c>
      <c r="Q78" s="4">
        <v>7</v>
      </c>
      <c r="R78" s="4">
        <v>8</v>
      </c>
      <c r="S78" s="4">
        <v>5</v>
      </c>
      <c r="T78" s="50">
        <v>1</v>
      </c>
      <c r="U78" s="60">
        <f t="shared" si="10"/>
        <v>80</v>
      </c>
    </row>
    <row r="79" spans="1:21" ht="18.75" customHeight="1">
      <c r="A79" s="230"/>
      <c r="B79" s="46" t="s">
        <v>18</v>
      </c>
      <c r="C79" s="46">
        <v>16</v>
      </c>
      <c r="D79" s="46">
        <v>9</v>
      </c>
      <c r="E79" s="46">
        <v>7</v>
      </c>
      <c r="F79" s="46">
        <v>5</v>
      </c>
      <c r="G79" s="46">
        <v>8</v>
      </c>
      <c r="H79" s="46">
        <v>18</v>
      </c>
      <c r="I79" s="46">
        <v>10</v>
      </c>
      <c r="J79" s="46">
        <v>6</v>
      </c>
      <c r="K79" s="227"/>
      <c r="L79" s="46" t="s">
        <v>18</v>
      </c>
      <c r="M79" s="46">
        <v>12</v>
      </c>
      <c r="N79" s="46">
        <v>7</v>
      </c>
      <c r="O79" s="46">
        <v>11</v>
      </c>
      <c r="P79" s="46">
        <v>5</v>
      </c>
      <c r="Q79" s="46">
        <v>6</v>
      </c>
      <c r="R79" s="46">
        <v>5</v>
      </c>
      <c r="S79" s="46">
        <v>4</v>
      </c>
      <c r="T79" s="69">
        <v>3</v>
      </c>
      <c r="U79" s="66">
        <f t="shared" si="10"/>
        <v>95</v>
      </c>
    </row>
    <row r="80" spans="1:21" ht="18.75" customHeight="1">
      <c r="A80" s="193" t="s">
        <v>10</v>
      </c>
      <c r="B80" s="63" t="s">
        <v>13</v>
      </c>
      <c r="C80" s="121">
        <v>19</v>
      </c>
      <c r="D80" s="121">
        <v>10</v>
      </c>
      <c r="E80" s="121">
        <v>21</v>
      </c>
      <c r="F80" s="121">
        <v>15</v>
      </c>
      <c r="G80" s="121">
        <v>29</v>
      </c>
      <c r="H80" s="121">
        <v>28</v>
      </c>
      <c r="I80" s="121">
        <v>17</v>
      </c>
      <c r="J80" s="121">
        <v>12</v>
      </c>
      <c r="K80" s="194" t="s">
        <v>10</v>
      </c>
      <c r="L80" s="63" t="s">
        <v>13</v>
      </c>
      <c r="M80" s="121">
        <v>15</v>
      </c>
      <c r="N80" s="121">
        <v>9</v>
      </c>
      <c r="O80" s="121">
        <v>6</v>
      </c>
      <c r="P80" s="121">
        <v>15</v>
      </c>
      <c r="Q80" s="121">
        <v>19</v>
      </c>
      <c r="R80" s="121">
        <v>17</v>
      </c>
      <c r="S80" s="121">
        <v>11</v>
      </c>
      <c r="T80" s="124">
        <v>7</v>
      </c>
      <c r="U80" s="59">
        <f t="shared" si="10"/>
        <v>186</v>
      </c>
    </row>
    <row r="81" spans="1:40" ht="18.75" customHeight="1">
      <c r="A81" s="230"/>
      <c r="B81" s="6" t="s">
        <v>14</v>
      </c>
      <c r="C81" s="122">
        <v>6</v>
      </c>
      <c r="D81" s="122">
        <v>8</v>
      </c>
      <c r="E81" s="122">
        <v>10</v>
      </c>
      <c r="F81" s="122">
        <v>9</v>
      </c>
      <c r="G81" s="122">
        <v>14</v>
      </c>
      <c r="H81" s="122">
        <v>19</v>
      </c>
      <c r="I81" s="122">
        <v>6</v>
      </c>
      <c r="J81" s="122">
        <v>10</v>
      </c>
      <c r="K81" s="227"/>
      <c r="L81" s="6" t="s">
        <v>14</v>
      </c>
      <c r="M81" s="122">
        <v>4</v>
      </c>
      <c r="N81" s="122">
        <v>8</v>
      </c>
      <c r="O81" s="122">
        <v>11</v>
      </c>
      <c r="P81" s="122">
        <v>9</v>
      </c>
      <c r="Q81" s="122">
        <v>11</v>
      </c>
      <c r="R81" s="122">
        <v>10</v>
      </c>
      <c r="S81" s="122">
        <v>4</v>
      </c>
      <c r="T81" s="125">
        <v>1</v>
      </c>
      <c r="U81" s="60">
        <f t="shared" si="10"/>
        <v>111</v>
      </c>
    </row>
    <row r="82" spans="1:40" ht="18.75" customHeight="1">
      <c r="A82" s="230"/>
      <c r="B82" s="6" t="s">
        <v>15</v>
      </c>
      <c r="C82" s="122">
        <v>12</v>
      </c>
      <c r="D82" s="122">
        <v>14</v>
      </c>
      <c r="E82" s="122">
        <v>17</v>
      </c>
      <c r="F82" s="122">
        <v>14</v>
      </c>
      <c r="G82" s="122">
        <v>17</v>
      </c>
      <c r="H82" s="122">
        <v>25</v>
      </c>
      <c r="I82" s="122">
        <v>20</v>
      </c>
      <c r="J82" s="122">
        <v>15</v>
      </c>
      <c r="K82" s="227"/>
      <c r="L82" s="6" t="s">
        <v>15</v>
      </c>
      <c r="M82" s="122">
        <v>18</v>
      </c>
      <c r="N82" s="122">
        <v>28</v>
      </c>
      <c r="O82" s="122">
        <v>18</v>
      </c>
      <c r="P82" s="122">
        <v>20</v>
      </c>
      <c r="Q82" s="122">
        <v>19</v>
      </c>
      <c r="R82" s="122">
        <v>21</v>
      </c>
      <c r="S82" s="122">
        <v>18</v>
      </c>
      <c r="T82" s="125">
        <v>10</v>
      </c>
      <c r="U82" s="60">
        <f t="shared" si="10"/>
        <v>211</v>
      </c>
    </row>
    <row r="83" spans="1:40" ht="18.75" customHeight="1">
      <c r="A83" s="230"/>
      <c r="B83" s="6" t="s">
        <v>16</v>
      </c>
      <c r="C83" s="122">
        <v>4</v>
      </c>
      <c r="D83" s="122">
        <v>5</v>
      </c>
      <c r="E83" s="122">
        <v>9</v>
      </c>
      <c r="F83" s="122">
        <v>7</v>
      </c>
      <c r="G83" s="122">
        <v>18</v>
      </c>
      <c r="H83" s="122">
        <v>12</v>
      </c>
      <c r="I83" s="122">
        <v>8</v>
      </c>
      <c r="J83" s="122">
        <v>7</v>
      </c>
      <c r="K83" s="227"/>
      <c r="L83" s="6" t="s">
        <v>16</v>
      </c>
      <c r="M83" s="122">
        <v>6</v>
      </c>
      <c r="N83" s="122">
        <v>5</v>
      </c>
      <c r="O83" s="122">
        <v>7</v>
      </c>
      <c r="P83" s="122">
        <v>4</v>
      </c>
      <c r="Q83" s="122">
        <v>1</v>
      </c>
      <c r="R83" s="122">
        <v>4</v>
      </c>
      <c r="S83" s="122">
        <v>3</v>
      </c>
      <c r="T83" s="125">
        <v>1</v>
      </c>
      <c r="U83" s="60">
        <f t="shared" si="10"/>
        <v>84</v>
      </c>
    </row>
    <row r="84" spans="1:40" ht="18.75" customHeight="1">
      <c r="A84" s="230"/>
      <c r="B84" s="6" t="s">
        <v>17</v>
      </c>
      <c r="C84" s="122">
        <v>5</v>
      </c>
      <c r="D84" s="122">
        <v>4</v>
      </c>
      <c r="E84" s="122">
        <v>8</v>
      </c>
      <c r="F84" s="122">
        <v>9</v>
      </c>
      <c r="G84" s="122">
        <v>5</v>
      </c>
      <c r="H84" s="122">
        <v>11</v>
      </c>
      <c r="I84" s="122">
        <v>6</v>
      </c>
      <c r="J84" s="122">
        <v>10</v>
      </c>
      <c r="K84" s="227"/>
      <c r="L84" s="6" t="s">
        <v>17</v>
      </c>
      <c r="M84" s="122">
        <v>2</v>
      </c>
      <c r="N84" s="122">
        <v>2</v>
      </c>
      <c r="O84" s="122">
        <v>3</v>
      </c>
      <c r="P84" s="122">
        <v>6</v>
      </c>
      <c r="Q84" s="122">
        <v>5</v>
      </c>
      <c r="R84" s="122">
        <v>4</v>
      </c>
      <c r="S84" s="122">
        <v>2</v>
      </c>
      <c r="T84" s="125">
        <v>0</v>
      </c>
      <c r="U84" s="60">
        <f t="shared" si="10"/>
        <v>67</v>
      </c>
    </row>
    <row r="85" spans="1:40" ht="18.75" customHeight="1">
      <c r="A85" s="230"/>
      <c r="B85" s="47" t="s">
        <v>18</v>
      </c>
      <c r="C85" s="123">
        <v>14</v>
      </c>
      <c r="D85" s="123">
        <v>6</v>
      </c>
      <c r="E85" s="123">
        <v>7</v>
      </c>
      <c r="F85" s="123">
        <v>5</v>
      </c>
      <c r="G85" s="123">
        <v>9</v>
      </c>
      <c r="H85" s="123">
        <v>9</v>
      </c>
      <c r="I85" s="123">
        <v>10</v>
      </c>
      <c r="J85" s="123">
        <v>7</v>
      </c>
      <c r="K85" s="227"/>
      <c r="L85" s="47" t="s">
        <v>18</v>
      </c>
      <c r="M85" s="123">
        <v>2</v>
      </c>
      <c r="N85" s="123">
        <v>5</v>
      </c>
      <c r="O85" s="123">
        <v>7</v>
      </c>
      <c r="P85" s="123">
        <v>6</v>
      </c>
      <c r="Q85" s="123">
        <v>10</v>
      </c>
      <c r="R85" s="123">
        <v>6</v>
      </c>
      <c r="S85" s="123">
        <v>6</v>
      </c>
      <c r="T85" s="126">
        <v>3</v>
      </c>
      <c r="U85" s="66">
        <f t="shared" si="10"/>
        <v>77</v>
      </c>
    </row>
    <row r="86" spans="1:40" ht="18.75" customHeight="1">
      <c r="A86" s="195" t="s">
        <v>11</v>
      </c>
      <c r="B86" s="56" t="s">
        <v>13</v>
      </c>
      <c r="C86" s="73">
        <v>17</v>
      </c>
      <c r="D86" s="73">
        <v>14</v>
      </c>
      <c r="E86" s="73">
        <v>24</v>
      </c>
      <c r="F86" s="73">
        <v>22</v>
      </c>
      <c r="G86" s="73">
        <v>32</v>
      </c>
      <c r="H86" s="73">
        <v>32</v>
      </c>
      <c r="I86" s="73">
        <v>24</v>
      </c>
      <c r="J86" s="73">
        <v>9</v>
      </c>
      <c r="K86" s="196" t="s">
        <v>11</v>
      </c>
      <c r="L86" s="56" t="s">
        <v>13</v>
      </c>
      <c r="M86" s="73">
        <v>15</v>
      </c>
      <c r="N86" s="73">
        <v>7</v>
      </c>
      <c r="O86" s="73">
        <v>22</v>
      </c>
      <c r="P86" s="73">
        <v>10</v>
      </c>
      <c r="Q86" s="73">
        <v>12</v>
      </c>
      <c r="R86" s="73">
        <v>4</v>
      </c>
      <c r="S86" s="73">
        <v>5</v>
      </c>
      <c r="T86" s="74">
        <v>7</v>
      </c>
      <c r="U86" s="59">
        <f t="shared" si="10"/>
        <v>209</v>
      </c>
    </row>
    <row r="87" spans="1:40" ht="18.75" customHeight="1">
      <c r="A87" s="230"/>
      <c r="B87" s="4" t="s">
        <v>14</v>
      </c>
      <c r="C87" s="9">
        <v>6</v>
      </c>
      <c r="D87" s="9">
        <v>5</v>
      </c>
      <c r="E87" s="9">
        <v>9</v>
      </c>
      <c r="F87" s="9">
        <v>11</v>
      </c>
      <c r="G87" s="9">
        <v>9</v>
      </c>
      <c r="H87" s="9">
        <v>13</v>
      </c>
      <c r="I87" s="9">
        <v>16</v>
      </c>
      <c r="J87" s="9">
        <v>6</v>
      </c>
      <c r="K87" s="227"/>
      <c r="L87" s="4" t="s">
        <v>14</v>
      </c>
      <c r="M87" s="9">
        <v>9</v>
      </c>
      <c r="N87" s="9">
        <v>16</v>
      </c>
      <c r="O87" s="9">
        <v>14</v>
      </c>
      <c r="P87" s="9">
        <v>7</v>
      </c>
      <c r="Q87" s="9">
        <v>5</v>
      </c>
      <c r="R87" s="9">
        <v>5</v>
      </c>
      <c r="S87" s="9">
        <v>6</v>
      </c>
      <c r="T87" s="53">
        <v>4</v>
      </c>
      <c r="U87" s="60">
        <f t="shared" si="10"/>
        <v>115</v>
      </c>
    </row>
    <row r="88" spans="1:40" ht="18.75" customHeight="1">
      <c r="A88" s="230"/>
      <c r="B88" s="4" t="s">
        <v>15</v>
      </c>
      <c r="C88" s="9">
        <v>20</v>
      </c>
      <c r="D88" s="9">
        <v>20</v>
      </c>
      <c r="E88" s="9">
        <v>10</v>
      </c>
      <c r="F88" s="9">
        <v>9</v>
      </c>
      <c r="G88" s="9">
        <v>8</v>
      </c>
      <c r="H88" s="9">
        <v>20</v>
      </c>
      <c r="I88" s="9">
        <v>29</v>
      </c>
      <c r="J88" s="9">
        <v>18</v>
      </c>
      <c r="K88" s="227"/>
      <c r="L88" s="4" t="s">
        <v>15</v>
      </c>
      <c r="M88" s="9">
        <v>28</v>
      </c>
      <c r="N88" s="9">
        <v>18</v>
      </c>
      <c r="O88" s="9">
        <v>12</v>
      </c>
      <c r="P88" s="9">
        <v>22</v>
      </c>
      <c r="Q88" s="9">
        <v>17</v>
      </c>
      <c r="R88" s="9">
        <v>15</v>
      </c>
      <c r="S88" s="9">
        <v>13</v>
      </c>
      <c r="T88" s="53">
        <v>9</v>
      </c>
      <c r="U88" s="60">
        <f t="shared" si="10"/>
        <v>191</v>
      </c>
    </row>
    <row r="89" spans="1:40" ht="18.75" customHeight="1">
      <c r="A89" s="230"/>
      <c r="B89" s="4" t="s">
        <v>16</v>
      </c>
      <c r="C89" s="9">
        <v>2</v>
      </c>
      <c r="D89" s="9">
        <v>3</v>
      </c>
      <c r="E89" s="9">
        <v>9</v>
      </c>
      <c r="F89" s="9">
        <v>8</v>
      </c>
      <c r="G89" s="9">
        <v>7</v>
      </c>
      <c r="H89" s="9">
        <v>9</v>
      </c>
      <c r="I89" s="9">
        <v>11</v>
      </c>
      <c r="J89" s="9">
        <v>8</v>
      </c>
      <c r="K89" s="227"/>
      <c r="L89" s="4" t="s">
        <v>16</v>
      </c>
      <c r="M89" s="9">
        <v>3</v>
      </c>
      <c r="N89" s="9">
        <v>6</v>
      </c>
      <c r="O89" s="9">
        <v>4</v>
      </c>
      <c r="P89" s="9">
        <v>3</v>
      </c>
      <c r="Q89" s="9">
        <v>2</v>
      </c>
      <c r="R89" s="9">
        <v>1</v>
      </c>
      <c r="S89" s="9">
        <v>2</v>
      </c>
      <c r="T89" s="53">
        <v>1</v>
      </c>
      <c r="U89" s="60">
        <f t="shared" si="10"/>
        <v>70</v>
      </c>
    </row>
    <row r="90" spans="1:40" ht="15.75" customHeight="1">
      <c r="A90" s="230"/>
      <c r="B90" s="4" t="s">
        <v>17</v>
      </c>
      <c r="C90" s="9">
        <v>10</v>
      </c>
      <c r="D90" s="9">
        <v>6</v>
      </c>
      <c r="E90" s="9">
        <v>6</v>
      </c>
      <c r="F90" s="9">
        <v>4</v>
      </c>
      <c r="G90" s="9">
        <v>12</v>
      </c>
      <c r="H90" s="9">
        <v>11</v>
      </c>
      <c r="I90" s="9">
        <v>15</v>
      </c>
      <c r="J90" s="9">
        <v>5</v>
      </c>
      <c r="K90" s="227"/>
      <c r="L90" s="4" t="s">
        <v>17</v>
      </c>
      <c r="M90" s="9">
        <v>5</v>
      </c>
      <c r="N90" s="9">
        <v>2</v>
      </c>
      <c r="O90" s="9">
        <v>9</v>
      </c>
      <c r="P90" s="9">
        <v>4</v>
      </c>
      <c r="Q90" s="9">
        <v>3</v>
      </c>
      <c r="R90" s="9">
        <v>3</v>
      </c>
      <c r="S90" s="9">
        <v>4</v>
      </c>
      <c r="T90" s="53">
        <v>2</v>
      </c>
      <c r="U90" s="60">
        <f t="shared" si="10"/>
        <v>76</v>
      </c>
    </row>
    <row r="91" spans="1:40" ht="15.75" customHeight="1">
      <c r="A91" s="231"/>
      <c r="B91" s="61" t="s">
        <v>18</v>
      </c>
      <c r="C91" s="75">
        <v>15</v>
      </c>
      <c r="D91" s="75">
        <v>7</v>
      </c>
      <c r="E91" s="75">
        <v>7</v>
      </c>
      <c r="F91" s="75">
        <v>6</v>
      </c>
      <c r="G91" s="75">
        <v>8</v>
      </c>
      <c r="H91" s="75">
        <v>12</v>
      </c>
      <c r="I91" s="75">
        <v>13</v>
      </c>
      <c r="J91" s="75">
        <v>5</v>
      </c>
      <c r="K91" s="232"/>
      <c r="L91" s="61" t="s">
        <v>18</v>
      </c>
      <c r="M91" s="75">
        <v>4</v>
      </c>
      <c r="N91" s="75">
        <v>4</v>
      </c>
      <c r="O91" s="75">
        <v>6</v>
      </c>
      <c r="P91" s="75">
        <v>7</v>
      </c>
      <c r="Q91" s="75">
        <v>5</v>
      </c>
      <c r="R91" s="75">
        <v>6</v>
      </c>
      <c r="S91" s="75">
        <v>5</v>
      </c>
      <c r="T91" s="76">
        <v>4</v>
      </c>
      <c r="U91" s="62">
        <f t="shared" si="10"/>
        <v>77</v>
      </c>
    </row>
    <row r="93" spans="1:40" ht="15.75" customHeight="1">
      <c r="A93" s="1"/>
      <c r="B93" s="1"/>
      <c r="C93" s="183" t="s">
        <v>0</v>
      </c>
      <c r="D93" s="225"/>
      <c r="E93" s="225"/>
      <c r="F93" s="225"/>
      <c r="G93" s="226"/>
      <c r="H93" s="2"/>
      <c r="I93" s="1"/>
    </row>
    <row r="94" spans="1:40" ht="15.75" customHeight="1">
      <c r="A94" s="1"/>
      <c r="B94" s="183" t="s">
        <v>1</v>
      </c>
      <c r="C94" s="225"/>
      <c r="D94" s="226"/>
      <c r="E94" s="1"/>
      <c r="F94" s="184" t="s">
        <v>83</v>
      </c>
      <c r="G94" s="225"/>
      <c r="H94" s="226"/>
      <c r="I94" s="1"/>
      <c r="K94" s="1"/>
      <c r="L94" s="183" t="s">
        <v>26</v>
      </c>
      <c r="M94" s="225"/>
      <c r="N94" s="226"/>
      <c r="O94" s="1"/>
      <c r="P94" s="184" t="s">
        <v>83</v>
      </c>
      <c r="Q94" s="225"/>
      <c r="R94" s="226"/>
      <c r="S94" s="1"/>
    </row>
    <row r="95" spans="1:40" ht="15.75" customHeight="1">
      <c r="A95" s="54" t="s">
        <v>35</v>
      </c>
      <c r="B95" s="54" t="s">
        <v>4</v>
      </c>
      <c r="C95" s="54" t="s">
        <v>12</v>
      </c>
      <c r="D95" s="54" t="s">
        <v>19</v>
      </c>
      <c r="E95" s="54" t="s">
        <v>20</v>
      </c>
      <c r="F95" s="54" t="s">
        <v>21</v>
      </c>
      <c r="G95" s="54" t="s">
        <v>22</v>
      </c>
      <c r="H95" s="54" t="s">
        <v>23</v>
      </c>
      <c r="I95" s="54" t="s">
        <v>24</v>
      </c>
      <c r="J95" s="54" t="s">
        <v>25</v>
      </c>
      <c r="K95" s="54" t="s">
        <v>35</v>
      </c>
      <c r="L95" s="54" t="s">
        <v>4</v>
      </c>
      <c r="M95" s="54" t="s">
        <v>27</v>
      </c>
      <c r="N95" s="54" t="s">
        <v>28</v>
      </c>
      <c r="O95" s="54" t="s">
        <v>29</v>
      </c>
      <c r="P95" s="54" t="s">
        <v>30</v>
      </c>
      <c r="Q95" s="54" t="s">
        <v>31</v>
      </c>
      <c r="R95" s="54" t="s">
        <v>32</v>
      </c>
      <c r="S95" s="54" t="s">
        <v>33</v>
      </c>
      <c r="T95" s="54" t="s">
        <v>34</v>
      </c>
      <c r="U95" s="54" t="s">
        <v>55</v>
      </c>
    </row>
    <row r="96" spans="1:40" ht="15.75" customHeight="1">
      <c r="A96" s="195" t="s">
        <v>5</v>
      </c>
      <c r="B96" s="56" t="s">
        <v>13</v>
      </c>
      <c r="C96" s="57"/>
      <c r="D96" s="57"/>
      <c r="E96" s="56">
        <v>10</v>
      </c>
      <c r="F96" s="56">
        <v>19</v>
      </c>
      <c r="G96" s="56">
        <v>23</v>
      </c>
      <c r="H96" s="56">
        <v>31</v>
      </c>
      <c r="I96" s="56">
        <v>24</v>
      </c>
      <c r="J96" s="56">
        <v>17</v>
      </c>
      <c r="K96" s="196" t="s">
        <v>5</v>
      </c>
      <c r="L96" s="56" t="s">
        <v>13</v>
      </c>
      <c r="M96" s="56">
        <v>11</v>
      </c>
      <c r="N96" s="56">
        <v>4</v>
      </c>
      <c r="O96" s="56">
        <v>12</v>
      </c>
      <c r="P96" s="56">
        <v>7</v>
      </c>
      <c r="Q96" s="56">
        <v>2</v>
      </c>
      <c r="R96" s="57"/>
      <c r="S96" s="57"/>
      <c r="T96" s="58"/>
      <c r="U96" s="59">
        <f>SUM(M96:T96,C96:J96)</f>
        <v>160</v>
      </c>
      <c r="W96" s="197" t="s">
        <v>83</v>
      </c>
      <c r="X96" s="198"/>
      <c r="AG96" s="190" t="s">
        <v>58</v>
      </c>
      <c r="AH96" s="191"/>
      <c r="AI96" s="191"/>
      <c r="AJ96" s="191"/>
      <c r="AK96" s="191"/>
      <c r="AL96" s="191"/>
      <c r="AM96" s="191"/>
      <c r="AN96" s="192"/>
    </row>
    <row r="97" spans="1:40" ht="15.75" customHeight="1">
      <c r="A97" s="230"/>
      <c r="B97" s="4" t="s">
        <v>14</v>
      </c>
      <c r="C97" s="5"/>
      <c r="D97" s="5"/>
      <c r="E97" s="4">
        <v>3</v>
      </c>
      <c r="F97" s="4">
        <v>9</v>
      </c>
      <c r="G97" s="4">
        <v>9</v>
      </c>
      <c r="H97" s="4">
        <v>10</v>
      </c>
      <c r="I97" s="4">
        <v>5</v>
      </c>
      <c r="J97" s="4">
        <v>9</v>
      </c>
      <c r="K97" s="227"/>
      <c r="L97" s="4" t="s">
        <v>14</v>
      </c>
      <c r="M97" s="4">
        <v>2</v>
      </c>
      <c r="N97" s="4">
        <v>3</v>
      </c>
      <c r="O97" s="4">
        <v>5</v>
      </c>
      <c r="P97" s="4">
        <v>3</v>
      </c>
      <c r="Q97" s="4">
        <v>0</v>
      </c>
      <c r="R97" s="5"/>
      <c r="S97" s="5"/>
      <c r="T97" s="49"/>
      <c r="U97" s="60">
        <f t="shared" ref="U97:U136" si="18">SUM(M97:Q97,E97:J97)</f>
        <v>58</v>
      </c>
      <c r="W97" s="55" t="s">
        <v>5</v>
      </c>
      <c r="X97" s="48">
        <f>SUM(U96:U101)</f>
        <v>564</v>
      </c>
      <c r="AG97" s="98" t="s">
        <v>4</v>
      </c>
      <c r="AH97" s="98" t="s">
        <v>5</v>
      </c>
      <c r="AI97" s="98" t="s">
        <v>6</v>
      </c>
      <c r="AJ97" s="98" t="s">
        <v>7</v>
      </c>
      <c r="AK97" s="98" t="s">
        <v>8</v>
      </c>
      <c r="AL97" s="98" t="s">
        <v>9</v>
      </c>
      <c r="AM97" s="98" t="s">
        <v>10</v>
      </c>
      <c r="AN97" s="98" t="s">
        <v>11</v>
      </c>
    </row>
    <row r="98" spans="1:40" ht="15.75" customHeight="1">
      <c r="A98" s="230"/>
      <c r="B98" s="4" t="s">
        <v>15</v>
      </c>
      <c r="C98" s="5"/>
      <c r="D98" s="5"/>
      <c r="E98" s="4">
        <v>8</v>
      </c>
      <c r="F98" s="4">
        <v>15</v>
      </c>
      <c r="G98" s="4">
        <v>23</v>
      </c>
      <c r="H98" s="4">
        <v>27</v>
      </c>
      <c r="I98" s="4">
        <v>21</v>
      </c>
      <c r="J98" s="4">
        <v>26</v>
      </c>
      <c r="K98" s="227"/>
      <c r="L98" s="4" t="s">
        <v>15</v>
      </c>
      <c r="M98" s="4">
        <v>12</v>
      </c>
      <c r="N98" s="4">
        <v>16</v>
      </c>
      <c r="O98" s="4">
        <v>12</v>
      </c>
      <c r="P98" s="4">
        <v>8</v>
      </c>
      <c r="Q98" s="4">
        <v>3</v>
      </c>
      <c r="R98" s="5"/>
      <c r="S98" s="5"/>
      <c r="T98" s="49"/>
      <c r="U98" s="60">
        <f t="shared" si="18"/>
        <v>171</v>
      </c>
      <c r="W98" s="55" t="s">
        <v>6</v>
      </c>
      <c r="X98" s="48">
        <f>SUM(U102:U107)</f>
        <v>375</v>
      </c>
      <c r="AG98" s="79" t="s">
        <v>13</v>
      </c>
      <c r="AH98" s="79">
        <f t="shared" ref="AH98:AH103" si="19">U96</f>
        <v>160</v>
      </c>
      <c r="AI98" s="79">
        <f t="shared" ref="AI98:AI103" si="20">U102</f>
        <v>128</v>
      </c>
      <c r="AJ98" s="79">
        <f t="shared" ref="AJ98:AJ103" si="21">U108</f>
        <v>277</v>
      </c>
      <c r="AK98" s="79">
        <f t="shared" ref="AK98:AK103" si="22">U114</f>
        <v>234</v>
      </c>
      <c r="AL98" s="79">
        <f t="shared" ref="AL98:AL103" si="23">U120</f>
        <v>252</v>
      </c>
      <c r="AM98" s="79">
        <f t="shared" ref="AM98:AM103" si="24">U126</f>
        <v>279</v>
      </c>
      <c r="AN98" s="79">
        <f t="shared" ref="AN98:AN103" si="25">U132</f>
        <v>216</v>
      </c>
    </row>
    <row r="99" spans="1:40" ht="15.75" customHeight="1">
      <c r="A99" s="230"/>
      <c r="B99" s="4" t="s">
        <v>16</v>
      </c>
      <c r="C99" s="5"/>
      <c r="D99" s="5"/>
      <c r="E99" s="4">
        <v>2</v>
      </c>
      <c r="F99" s="4">
        <v>2</v>
      </c>
      <c r="G99" s="4">
        <v>8</v>
      </c>
      <c r="H99" s="4">
        <v>4</v>
      </c>
      <c r="I99" s="4">
        <v>7</v>
      </c>
      <c r="J99" s="4">
        <v>5</v>
      </c>
      <c r="K99" s="227"/>
      <c r="L99" s="4" t="s">
        <v>16</v>
      </c>
      <c r="M99" s="4">
        <v>4</v>
      </c>
      <c r="N99" s="4">
        <v>3</v>
      </c>
      <c r="O99" s="4">
        <v>1</v>
      </c>
      <c r="P99" s="4">
        <v>2</v>
      </c>
      <c r="Q99" s="4">
        <v>0</v>
      </c>
      <c r="R99" s="5"/>
      <c r="S99" s="5"/>
      <c r="T99" s="49"/>
      <c r="U99" s="60">
        <f t="shared" si="18"/>
        <v>38</v>
      </c>
      <c r="W99" s="55" t="s">
        <v>7</v>
      </c>
      <c r="X99" s="48">
        <f>SUM(U108:U113)</f>
        <v>939</v>
      </c>
      <c r="AG99" s="97" t="s">
        <v>14</v>
      </c>
      <c r="AH99" s="97">
        <f t="shared" si="19"/>
        <v>58</v>
      </c>
      <c r="AI99" s="97">
        <f t="shared" si="20"/>
        <v>43</v>
      </c>
      <c r="AJ99" s="97">
        <f t="shared" si="21"/>
        <v>119</v>
      </c>
      <c r="AK99" s="97">
        <f t="shared" si="22"/>
        <v>87</v>
      </c>
      <c r="AL99" s="97">
        <f t="shared" si="23"/>
        <v>114</v>
      </c>
      <c r="AM99" s="97">
        <f t="shared" si="24"/>
        <v>124</v>
      </c>
      <c r="AN99" s="97">
        <f t="shared" si="25"/>
        <v>110</v>
      </c>
    </row>
    <row r="100" spans="1:40" ht="15.75" customHeight="1">
      <c r="A100" s="230"/>
      <c r="B100" s="4" t="s">
        <v>17</v>
      </c>
      <c r="C100" s="5"/>
      <c r="D100" s="5"/>
      <c r="E100" s="4">
        <v>4</v>
      </c>
      <c r="F100" s="4">
        <v>9</v>
      </c>
      <c r="G100" s="4">
        <v>8</v>
      </c>
      <c r="H100" s="4">
        <v>14</v>
      </c>
      <c r="I100" s="4">
        <v>15</v>
      </c>
      <c r="J100" s="4">
        <v>3</v>
      </c>
      <c r="K100" s="227"/>
      <c r="L100" s="4" t="s">
        <v>17</v>
      </c>
      <c r="M100" s="4">
        <v>6</v>
      </c>
      <c r="N100" s="4">
        <v>2</v>
      </c>
      <c r="O100" s="4">
        <v>3</v>
      </c>
      <c r="P100" s="4">
        <v>1</v>
      </c>
      <c r="Q100" s="4">
        <v>0</v>
      </c>
      <c r="R100" s="5"/>
      <c r="S100" s="5"/>
      <c r="T100" s="49"/>
      <c r="U100" s="60">
        <f t="shared" si="18"/>
        <v>65</v>
      </c>
      <c r="W100" s="55" t="s">
        <v>61</v>
      </c>
      <c r="X100" s="48">
        <f>SUM(U114:U119)</f>
        <v>778</v>
      </c>
      <c r="AG100" s="79" t="s">
        <v>15</v>
      </c>
      <c r="AH100" s="79">
        <f t="shared" si="19"/>
        <v>171</v>
      </c>
      <c r="AI100" s="79">
        <f t="shared" si="20"/>
        <v>114</v>
      </c>
      <c r="AJ100" s="79">
        <f t="shared" si="21"/>
        <v>268</v>
      </c>
      <c r="AK100" s="79">
        <f t="shared" si="22"/>
        <v>261</v>
      </c>
      <c r="AL100" s="79">
        <f t="shared" si="23"/>
        <v>214</v>
      </c>
      <c r="AM100" s="79">
        <f t="shared" si="24"/>
        <v>285</v>
      </c>
      <c r="AN100" s="79">
        <f t="shared" si="25"/>
        <v>216</v>
      </c>
    </row>
    <row r="101" spans="1:40" ht="15.75" customHeight="1">
      <c r="A101" s="230"/>
      <c r="B101" s="46" t="s">
        <v>18</v>
      </c>
      <c r="C101" s="64"/>
      <c r="D101" s="64"/>
      <c r="E101" s="46">
        <v>11</v>
      </c>
      <c r="F101" s="46">
        <v>7</v>
      </c>
      <c r="G101" s="46">
        <v>12</v>
      </c>
      <c r="H101" s="46">
        <v>11</v>
      </c>
      <c r="I101" s="46">
        <v>11</v>
      </c>
      <c r="J101" s="46">
        <v>7</v>
      </c>
      <c r="K101" s="227"/>
      <c r="L101" s="46" t="s">
        <v>18</v>
      </c>
      <c r="M101" s="46">
        <v>2</v>
      </c>
      <c r="N101" s="46">
        <v>2</v>
      </c>
      <c r="O101" s="46">
        <v>4</v>
      </c>
      <c r="P101" s="46">
        <v>3</v>
      </c>
      <c r="Q101" s="46">
        <v>2</v>
      </c>
      <c r="R101" s="64"/>
      <c r="S101" s="64"/>
      <c r="T101" s="65"/>
      <c r="U101" s="66">
        <f t="shared" si="18"/>
        <v>72</v>
      </c>
      <c r="W101" s="55" t="s">
        <v>9</v>
      </c>
      <c r="X101" s="48">
        <f>SUM(U120:U125)</f>
        <v>828</v>
      </c>
      <c r="AG101" s="97" t="s">
        <v>16</v>
      </c>
      <c r="AH101" s="97">
        <f t="shared" si="19"/>
        <v>38</v>
      </c>
      <c r="AI101" s="97">
        <f t="shared" si="20"/>
        <v>20</v>
      </c>
      <c r="AJ101" s="97">
        <f t="shared" si="21"/>
        <v>88</v>
      </c>
      <c r="AK101" s="97">
        <f t="shared" si="22"/>
        <v>46</v>
      </c>
      <c r="AL101" s="97">
        <f t="shared" si="23"/>
        <v>86</v>
      </c>
      <c r="AM101" s="97">
        <f t="shared" si="24"/>
        <v>82</v>
      </c>
      <c r="AN101" s="97">
        <f t="shared" si="25"/>
        <v>48</v>
      </c>
    </row>
    <row r="102" spans="1:40" ht="15.75" customHeight="1">
      <c r="A102" s="193" t="s">
        <v>6</v>
      </c>
      <c r="B102" s="63" t="s">
        <v>13</v>
      </c>
      <c r="C102" s="57"/>
      <c r="D102" s="57"/>
      <c r="E102" s="57"/>
      <c r="F102" s="63">
        <v>18</v>
      </c>
      <c r="G102" s="63">
        <v>20</v>
      </c>
      <c r="H102" s="63">
        <v>24</v>
      </c>
      <c r="I102" s="63">
        <v>20</v>
      </c>
      <c r="J102" s="63">
        <v>16</v>
      </c>
      <c r="K102" s="194" t="s">
        <v>6</v>
      </c>
      <c r="L102" s="63" t="s">
        <v>13</v>
      </c>
      <c r="M102" s="63">
        <v>8</v>
      </c>
      <c r="N102" s="63">
        <v>9</v>
      </c>
      <c r="O102" s="63">
        <v>7</v>
      </c>
      <c r="P102" s="63">
        <v>6</v>
      </c>
      <c r="Q102" s="57"/>
      <c r="R102" s="57"/>
      <c r="S102" s="57"/>
      <c r="T102" s="58"/>
      <c r="U102" s="59">
        <f t="shared" si="18"/>
        <v>128</v>
      </c>
      <c r="W102" s="55" t="s">
        <v>10</v>
      </c>
      <c r="X102" s="48">
        <f>SUM(U126:U131)</f>
        <v>947</v>
      </c>
      <c r="AG102" s="79" t="s">
        <v>17</v>
      </c>
      <c r="AH102" s="79">
        <f t="shared" si="19"/>
        <v>65</v>
      </c>
      <c r="AI102" s="79">
        <f t="shared" si="20"/>
        <v>33</v>
      </c>
      <c r="AJ102" s="79">
        <f t="shared" si="21"/>
        <v>88</v>
      </c>
      <c r="AK102" s="79">
        <f t="shared" si="22"/>
        <v>70</v>
      </c>
      <c r="AL102" s="79">
        <f t="shared" si="23"/>
        <v>62</v>
      </c>
      <c r="AM102" s="79">
        <f t="shared" si="24"/>
        <v>78</v>
      </c>
      <c r="AN102" s="79">
        <f t="shared" si="25"/>
        <v>84</v>
      </c>
    </row>
    <row r="103" spans="1:40" ht="15.75" customHeight="1">
      <c r="A103" s="230"/>
      <c r="B103" s="6" t="s">
        <v>14</v>
      </c>
      <c r="C103" s="5"/>
      <c r="D103" s="5"/>
      <c r="E103" s="5"/>
      <c r="F103" s="6">
        <v>6</v>
      </c>
      <c r="G103" s="6">
        <v>8</v>
      </c>
      <c r="H103" s="6">
        <v>4</v>
      </c>
      <c r="I103" s="6">
        <v>6</v>
      </c>
      <c r="J103" s="6">
        <v>5</v>
      </c>
      <c r="K103" s="227"/>
      <c r="L103" s="6" t="s">
        <v>14</v>
      </c>
      <c r="M103" s="6">
        <v>4</v>
      </c>
      <c r="N103" s="6">
        <v>6</v>
      </c>
      <c r="O103" s="6">
        <v>3</v>
      </c>
      <c r="P103" s="6">
        <v>1</v>
      </c>
      <c r="Q103" s="5"/>
      <c r="R103" s="5"/>
      <c r="S103" s="5"/>
      <c r="T103" s="49"/>
      <c r="U103" s="60">
        <f t="shared" si="18"/>
        <v>43</v>
      </c>
      <c r="W103" s="81" t="s">
        <v>11</v>
      </c>
      <c r="X103" s="80">
        <f>SUM(U132:U137)</f>
        <v>784</v>
      </c>
      <c r="AG103" s="97" t="s">
        <v>18</v>
      </c>
      <c r="AH103" s="97">
        <f t="shared" si="19"/>
        <v>72</v>
      </c>
      <c r="AI103" s="97">
        <f t="shared" si="20"/>
        <v>37</v>
      </c>
      <c r="AJ103" s="97">
        <f t="shared" si="21"/>
        <v>99</v>
      </c>
      <c r="AK103" s="97">
        <f t="shared" si="22"/>
        <v>80</v>
      </c>
      <c r="AL103" s="97">
        <f t="shared" si="23"/>
        <v>100</v>
      </c>
      <c r="AM103" s="97">
        <f t="shared" si="24"/>
        <v>99</v>
      </c>
      <c r="AN103" s="97">
        <f t="shared" si="25"/>
        <v>110</v>
      </c>
    </row>
    <row r="104" spans="1:40" ht="15.75" customHeight="1">
      <c r="A104" s="230"/>
      <c r="B104" s="6" t="s">
        <v>15</v>
      </c>
      <c r="C104" s="5"/>
      <c r="D104" s="5"/>
      <c r="E104" s="5"/>
      <c r="F104" s="6">
        <v>26</v>
      </c>
      <c r="G104" s="6">
        <v>10</v>
      </c>
      <c r="H104" s="6">
        <v>11</v>
      </c>
      <c r="I104" s="6">
        <v>17</v>
      </c>
      <c r="J104" s="6">
        <v>13</v>
      </c>
      <c r="K104" s="227"/>
      <c r="L104" s="6" t="s">
        <v>15</v>
      </c>
      <c r="M104" s="6">
        <v>13</v>
      </c>
      <c r="N104" s="6">
        <v>9</v>
      </c>
      <c r="O104" s="6">
        <v>10</v>
      </c>
      <c r="P104" s="6">
        <v>5</v>
      </c>
      <c r="Q104" s="5"/>
      <c r="R104" s="5"/>
      <c r="S104" s="5"/>
      <c r="T104" s="49"/>
      <c r="U104" s="60">
        <f t="shared" si="18"/>
        <v>114</v>
      </c>
      <c r="W104" s="79" t="s">
        <v>63</v>
      </c>
      <c r="X104" s="82">
        <f>SUM(X97:X103)</f>
        <v>5215</v>
      </c>
    </row>
    <row r="105" spans="1:40" ht="15.75" customHeight="1">
      <c r="A105" s="230"/>
      <c r="B105" s="6" t="s">
        <v>16</v>
      </c>
      <c r="C105" s="5"/>
      <c r="D105" s="5"/>
      <c r="E105" s="5"/>
      <c r="F105" s="6">
        <v>1</v>
      </c>
      <c r="G105" s="6">
        <v>3</v>
      </c>
      <c r="H105" s="6">
        <v>3</v>
      </c>
      <c r="I105" s="6">
        <v>4</v>
      </c>
      <c r="J105" s="6">
        <v>2</v>
      </c>
      <c r="K105" s="227"/>
      <c r="L105" s="6" t="s">
        <v>16</v>
      </c>
      <c r="M105" s="6">
        <v>3</v>
      </c>
      <c r="N105" s="6">
        <v>2</v>
      </c>
      <c r="O105" s="6">
        <v>2</v>
      </c>
      <c r="P105" s="6">
        <v>0</v>
      </c>
      <c r="Q105" s="5"/>
      <c r="R105" s="5"/>
      <c r="S105" s="5"/>
      <c r="T105" s="49"/>
      <c r="U105" s="60">
        <f t="shared" si="18"/>
        <v>20</v>
      </c>
    </row>
    <row r="106" spans="1:40" ht="15.75" customHeight="1">
      <c r="A106" s="230"/>
      <c r="B106" s="6" t="s">
        <v>17</v>
      </c>
      <c r="C106" s="5"/>
      <c r="D106" s="5"/>
      <c r="E106" s="5"/>
      <c r="F106" s="6">
        <v>3</v>
      </c>
      <c r="G106" s="6">
        <v>10</v>
      </c>
      <c r="H106" s="6">
        <v>3</v>
      </c>
      <c r="I106" s="6">
        <v>5</v>
      </c>
      <c r="J106" s="6">
        <v>4</v>
      </c>
      <c r="K106" s="227"/>
      <c r="L106" s="6" t="s">
        <v>17</v>
      </c>
      <c r="M106" s="6">
        <v>1</v>
      </c>
      <c r="N106" s="6">
        <v>3</v>
      </c>
      <c r="O106" s="6">
        <v>3</v>
      </c>
      <c r="P106" s="6">
        <v>1</v>
      </c>
      <c r="Q106" s="5"/>
      <c r="R106" s="5"/>
      <c r="S106" s="5"/>
      <c r="T106" s="49"/>
      <c r="U106" s="60">
        <f t="shared" si="18"/>
        <v>33</v>
      </c>
    </row>
    <row r="107" spans="1:40" ht="15.75" customHeight="1">
      <c r="A107" s="230"/>
      <c r="B107" s="47" t="s">
        <v>18</v>
      </c>
      <c r="C107" s="64"/>
      <c r="D107" s="64"/>
      <c r="E107" s="64"/>
      <c r="F107" s="47">
        <v>8</v>
      </c>
      <c r="G107" s="47">
        <v>6</v>
      </c>
      <c r="H107" s="47">
        <v>3</v>
      </c>
      <c r="I107" s="47">
        <v>4</v>
      </c>
      <c r="J107" s="47">
        <v>6</v>
      </c>
      <c r="K107" s="227"/>
      <c r="L107" s="47" t="s">
        <v>18</v>
      </c>
      <c r="M107" s="47">
        <v>2</v>
      </c>
      <c r="N107" s="47">
        <v>3</v>
      </c>
      <c r="O107" s="47">
        <v>1</v>
      </c>
      <c r="P107" s="47">
        <v>4</v>
      </c>
      <c r="Q107" s="64"/>
      <c r="R107" s="64"/>
      <c r="S107" s="64"/>
      <c r="T107" s="65"/>
      <c r="U107" s="66">
        <f t="shared" si="18"/>
        <v>37</v>
      </c>
    </row>
    <row r="108" spans="1:40" ht="15.75" customHeight="1">
      <c r="A108" s="195" t="s">
        <v>7</v>
      </c>
      <c r="B108" s="56" t="s">
        <v>13</v>
      </c>
      <c r="C108" s="56">
        <v>10</v>
      </c>
      <c r="D108" s="56">
        <v>18</v>
      </c>
      <c r="E108" s="56">
        <v>16</v>
      </c>
      <c r="F108" s="56">
        <v>32</v>
      </c>
      <c r="G108" s="56">
        <v>32</v>
      </c>
      <c r="H108" s="56">
        <v>29</v>
      </c>
      <c r="I108" s="56">
        <v>36</v>
      </c>
      <c r="J108" s="56">
        <v>20</v>
      </c>
      <c r="K108" s="196" t="s">
        <v>7</v>
      </c>
      <c r="L108" s="56" t="s">
        <v>13</v>
      </c>
      <c r="M108" s="56">
        <v>12</v>
      </c>
      <c r="N108" s="56">
        <v>21</v>
      </c>
      <c r="O108" s="56">
        <v>15</v>
      </c>
      <c r="P108" s="56">
        <v>32</v>
      </c>
      <c r="Q108" s="56">
        <v>32</v>
      </c>
      <c r="R108" s="56">
        <v>25</v>
      </c>
      <c r="S108" s="56">
        <v>21</v>
      </c>
      <c r="T108" s="67">
        <v>22</v>
      </c>
      <c r="U108" s="59">
        <f t="shared" si="18"/>
        <v>277</v>
      </c>
    </row>
    <row r="109" spans="1:40" ht="15.75" customHeight="1">
      <c r="A109" s="230"/>
      <c r="B109" s="4" t="s">
        <v>14</v>
      </c>
      <c r="C109" s="4">
        <v>9</v>
      </c>
      <c r="D109" s="4">
        <v>4</v>
      </c>
      <c r="E109" s="4">
        <v>12</v>
      </c>
      <c r="F109" s="4">
        <v>17</v>
      </c>
      <c r="G109" s="4">
        <v>14</v>
      </c>
      <c r="H109" s="4">
        <v>13</v>
      </c>
      <c r="I109" s="4">
        <v>10</v>
      </c>
      <c r="J109" s="4">
        <v>8</v>
      </c>
      <c r="K109" s="227"/>
      <c r="L109" s="4" t="s">
        <v>14</v>
      </c>
      <c r="M109" s="4">
        <v>14</v>
      </c>
      <c r="N109" s="4">
        <v>10</v>
      </c>
      <c r="O109" s="4">
        <v>10</v>
      </c>
      <c r="P109" s="4">
        <v>4</v>
      </c>
      <c r="Q109" s="4">
        <v>7</v>
      </c>
      <c r="R109" s="4">
        <v>9</v>
      </c>
      <c r="S109" s="4">
        <v>4</v>
      </c>
      <c r="T109" s="50">
        <v>5</v>
      </c>
      <c r="U109" s="60">
        <f t="shared" si="18"/>
        <v>119</v>
      </c>
    </row>
    <row r="110" spans="1:40" ht="15.75" customHeight="1">
      <c r="A110" s="230"/>
      <c r="B110" s="4" t="s">
        <v>15</v>
      </c>
      <c r="C110" s="4">
        <v>26</v>
      </c>
      <c r="D110" s="4">
        <v>24</v>
      </c>
      <c r="E110" s="4">
        <v>22</v>
      </c>
      <c r="F110" s="4">
        <v>26</v>
      </c>
      <c r="G110" s="4">
        <v>22</v>
      </c>
      <c r="H110" s="4">
        <v>26</v>
      </c>
      <c r="I110" s="4">
        <v>21</v>
      </c>
      <c r="J110" s="4">
        <v>18</v>
      </c>
      <c r="K110" s="227"/>
      <c r="L110" s="4" t="s">
        <v>15</v>
      </c>
      <c r="M110" s="4">
        <v>15</v>
      </c>
      <c r="N110" s="4">
        <v>21</v>
      </c>
      <c r="O110" s="4">
        <v>19</v>
      </c>
      <c r="P110" s="4">
        <v>32</v>
      </c>
      <c r="Q110" s="4">
        <v>46</v>
      </c>
      <c r="R110" s="4">
        <v>31</v>
      </c>
      <c r="S110" s="4">
        <v>23</v>
      </c>
      <c r="T110" s="50">
        <v>25</v>
      </c>
      <c r="U110" s="60">
        <f t="shared" si="18"/>
        <v>268</v>
      </c>
    </row>
    <row r="111" spans="1:40" ht="15.75" customHeight="1">
      <c r="A111" s="230"/>
      <c r="B111" s="4" t="s">
        <v>16</v>
      </c>
      <c r="C111" s="4">
        <v>3</v>
      </c>
      <c r="D111" s="4">
        <v>6</v>
      </c>
      <c r="E111" s="4">
        <v>10</v>
      </c>
      <c r="F111" s="4">
        <v>22</v>
      </c>
      <c r="G111" s="4">
        <v>8</v>
      </c>
      <c r="H111" s="4">
        <v>7</v>
      </c>
      <c r="I111" s="4">
        <v>7</v>
      </c>
      <c r="J111" s="4">
        <v>6</v>
      </c>
      <c r="K111" s="227"/>
      <c r="L111" s="4" t="s">
        <v>16</v>
      </c>
      <c r="M111" s="4">
        <v>5</v>
      </c>
      <c r="N111" s="4">
        <v>5</v>
      </c>
      <c r="O111" s="4">
        <v>5</v>
      </c>
      <c r="P111" s="4">
        <v>8</v>
      </c>
      <c r="Q111" s="4">
        <v>5</v>
      </c>
      <c r="R111" s="4">
        <v>2</v>
      </c>
      <c r="S111" s="4">
        <v>6</v>
      </c>
      <c r="T111" s="50">
        <v>3</v>
      </c>
      <c r="U111" s="60">
        <f t="shared" si="18"/>
        <v>88</v>
      </c>
    </row>
    <row r="112" spans="1:40" ht="15.75" customHeight="1">
      <c r="A112" s="230"/>
      <c r="B112" s="4" t="s">
        <v>17</v>
      </c>
      <c r="C112" s="4">
        <v>12</v>
      </c>
      <c r="D112" s="4">
        <v>5</v>
      </c>
      <c r="E112" s="4">
        <v>8</v>
      </c>
      <c r="F112" s="4">
        <v>9</v>
      </c>
      <c r="G112" s="4">
        <v>10</v>
      </c>
      <c r="H112" s="4">
        <v>10</v>
      </c>
      <c r="I112" s="4">
        <v>7</v>
      </c>
      <c r="J112" s="4">
        <v>8</v>
      </c>
      <c r="K112" s="227"/>
      <c r="L112" s="4" t="s">
        <v>17</v>
      </c>
      <c r="M112" s="4">
        <v>4</v>
      </c>
      <c r="N112" s="4">
        <v>4</v>
      </c>
      <c r="O112" s="4">
        <v>8</v>
      </c>
      <c r="P112" s="4">
        <v>11</v>
      </c>
      <c r="Q112" s="4">
        <v>9</v>
      </c>
      <c r="R112" s="4">
        <v>4</v>
      </c>
      <c r="S112" s="4">
        <v>7</v>
      </c>
      <c r="T112" s="50">
        <v>5</v>
      </c>
      <c r="U112" s="60">
        <f t="shared" si="18"/>
        <v>88</v>
      </c>
    </row>
    <row r="113" spans="1:21" ht="15.75" customHeight="1">
      <c r="A113" s="230"/>
      <c r="B113" s="46" t="s">
        <v>18</v>
      </c>
      <c r="C113" s="46">
        <v>18</v>
      </c>
      <c r="D113" s="46">
        <v>8</v>
      </c>
      <c r="E113" s="46">
        <v>5</v>
      </c>
      <c r="F113" s="46">
        <v>4</v>
      </c>
      <c r="G113" s="46">
        <v>13</v>
      </c>
      <c r="H113" s="46">
        <v>16</v>
      </c>
      <c r="I113" s="46">
        <v>14</v>
      </c>
      <c r="J113" s="46">
        <v>4</v>
      </c>
      <c r="K113" s="227"/>
      <c r="L113" s="46" t="s">
        <v>18</v>
      </c>
      <c r="M113" s="46">
        <v>9</v>
      </c>
      <c r="N113" s="46">
        <v>8</v>
      </c>
      <c r="O113" s="46">
        <v>4</v>
      </c>
      <c r="P113" s="46">
        <v>12</v>
      </c>
      <c r="Q113" s="46">
        <v>10</v>
      </c>
      <c r="R113" s="46">
        <v>9</v>
      </c>
      <c r="S113" s="46">
        <v>6</v>
      </c>
      <c r="T113" s="69">
        <v>3</v>
      </c>
      <c r="U113" s="66">
        <f t="shared" si="18"/>
        <v>99</v>
      </c>
    </row>
    <row r="114" spans="1:21" ht="15.75" customHeight="1">
      <c r="A114" s="193" t="s">
        <v>8</v>
      </c>
      <c r="B114" s="63" t="s">
        <v>13</v>
      </c>
      <c r="C114" s="63">
        <v>18</v>
      </c>
      <c r="D114" s="63">
        <v>25</v>
      </c>
      <c r="E114" s="63">
        <v>15</v>
      </c>
      <c r="F114" s="63">
        <v>24</v>
      </c>
      <c r="G114" s="63">
        <v>31</v>
      </c>
      <c r="H114" s="63">
        <v>36</v>
      </c>
      <c r="I114" s="63">
        <v>24</v>
      </c>
      <c r="J114" s="63">
        <v>16</v>
      </c>
      <c r="K114" s="194" t="s">
        <v>8</v>
      </c>
      <c r="L114" s="63" t="s">
        <v>13</v>
      </c>
      <c r="M114" s="63">
        <v>16</v>
      </c>
      <c r="N114" s="63">
        <v>16</v>
      </c>
      <c r="O114" s="63">
        <v>15</v>
      </c>
      <c r="P114" s="63">
        <v>15</v>
      </c>
      <c r="Q114" s="63">
        <v>26</v>
      </c>
      <c r="R114" s="63">
        <v>26</v>
      </c>
      <c r="S114" s="63">
        <v>17</v>
      </c>
      <c r="T114" s="68">
        <v>18</v>
      </c>
      <c r="U114" s="59">
        <f t="shared" si="18"/>
        <v>234</v>
      </c>
    </row>
    <row r="115" spans="1:21" ht="15.75" customHeight="1">
      <c r="A115" s="230"/>
      <c r="B115" s="6" t="s">
        <v>14</v>
      </c>
      <c r="C115" s="6">
        <v>5</v>
      </c>
      <c r="D115" s="6">
        <v>10</v>
      </c>
      <c r="E115" s="6">
        <v>6</v>
      </c>
      <c r="F115" s="6">
        <v>9</v>
      </c>
      <c r="G115" s="6">
        <v>10</v>
      </c>
      <c r="H115" s="6">
        <v>16</v>
      </c>
      <c r="I115" s="6">
        <v>10</v>
      </c>
      <c r="J115" s="6">
        <v>7</v>
      </c>
      <c r="K115" s="227"/>
      <c r="L115" s="6" t="s">
        <v>14</v>
      </c>
      <c r="M115" s="6">
        <v>1</v>
      </c>
      <c r="N115" s="6">
        <v>8</v>
      </c>
      <c r="O115" s="6">
        <v>10</v>
      </c>
      <c r="P115" s="6">
        <v>5</v>
      </c>
      <c r="Q115" s="6">
        <v>5</v>
      </c>
      <c r="R115" s="6">
        <v>10</v>
      </c>
      <c r="S115" s="6">
        <v>8</v>
      </c>
      <c r="T115" s="51">
        <v>1</v>
      </c>
      <c r="U115" s="60">
        <f t="shared" si="18"/>
        <v>87</v>
      </c>
    </row>
    <row r="116" spans="1:21" ht="15.75" customHeight="1">
      <c r="A116" s="230"/>
      <c r="B116" s="6" t="s">
        <v>15</v>
      </c>
      <c r="C116" s="6">
        <v>21</v>
      </c>
      <c r="D116" s="6">
        <v>19</v>
      </c>
      <c r="E116" s="6">
        <v>21</v>
      </c>
      <c r="F116" s="6">
        <v>22</v>
      </c>
      <c r="G116" s="6">
        <v>27</v>
      </c>
      <c r="H116" s="6">
        <v>31</v>
      </c>
      <c r="I116" s="6">
        <v>19</v>
      </c>
      <c r="J116" s="6">
        <v>14</v>
      </c>
      <c r="K116" s="227"/>
      <c r="L116" s="6" t="s">
        <v>15</v>
      </c>
      <c r="M116" s="6">
        <v>23</v>
      </c>
      <c r="N116" s="6">
        <v>24</v>
      </c>
      <c r="O116" s="6">
        <v>28</v>
      </c>
      <c r="P116" s="6">
        <v>24</v>
      </c>
      <c r="Q116" s="6">
        <v>28</v>
      </c>
      <c r="R116" s="6">
        <v>28</v>
      </c>
      <c r="S116" s="6">
        <v>31</v>
      </c>
      <c r="T116" s="51">
        <v>23</v>
      </c>
      <c r="U116" s="60">
        <f t="shared" si="18"/>
        <v>261</v>
      </c>
    </row>
    <row r="117" spans="1:21" ht="15.75" customHeight="1">
      <c r="A117" s="230"/>
      <c r="B117" s="6" t="s">
        <v>16</v>
      </c>
      <c r="C117" s="6">
        <v>4</v>
      </c>
      <c r="D117" s="6">
        <v>5</v>
      </c>
      <c r="E117" s="6">
        <v>7</v>
      </c>
      <c r="F117" s="6">
        <v>11</v>
      </c>
      <c r="G117" s="6">
        <v>7</v>
      </c>
      <c r="H117" s="6">
        <v>5</v>
      </c>
      <c r="I117" s="6">
        <v>5</v>
      </c>
      <c r="J117" s="6">
        <v>0</v>
      </c>
      <c r="K117" s="227"/>
      <c r="L117" s="6" t="s">
        <v>16</v>
      </c>
      <c r="M117" s="6">
        <v>1</v>
      </c>
      <c r="N117" s="6">
        <v>3</v>
      </c>
      <c r="O117" s="6">
        <v>1</v>
      </c>
      <c r="P117" s="6">
        <v>2</v>
      </c>
      <c r="Q117" s="6">
        <v>4</v>
      </c>
      <c r="R117" s="6">
        <v>1</v>
      </c>
      <c r="S117" s="6">
        <v>6</v>
      </c>
      <c r="T117" s="51">
        <v>0</v>
      </c>
      <c r="U117" s="60">
        <f t="shared" si="18"/>
        <v>46</v>
      </c>
    </row>
    <row r="118" spans="1:21" ht="15.75" customHeight="1">
      <c r="A118" s="230"/>
      <c r="B118" s="6" t="s">
        <v>17</v>
      </c>
      <c r="C118" s="6">
        <v>6</v>
      </c>
      <c r="D118" s="6">
        <v>8</v>
      </c>
      <c r="E118" s="6">
        <v>7</v>
      </c>
      <c r="F118" s="6">
        <v>10</v>
      </c>
      <c r="G118" s="6">
        <v>6</v>
      </c>
      <c r="H118" s="6">
        <v>8</v>
      </c>
      <c r="I118" s="6">
        <v>6</v>
      </c>
      <c r="J118" s="6">
        <v>5</v>
      </c>
      <c r="K118" s="227"/>
      <c r="L118" s="6" t="s">
        <v>17</v>
      </c>
      <c r="M118" s="6">
        <v>5</v>
      </c>
      <c r="N118" s="6">
        <v>2</v>
      </c>
      <c r="O118" s="6">
        <v>8</v>
      </c>
      <c r="P118" s="6">
        <v>11</v>
      </c>
      <c r="Q118" s="6">
        <v>2</v>
      </c>
      <c r="R118" s="6">
        <v>7</v>
      </c>
      <c r="S118" s="6">
        <v>3</v>
      </c>
      <c r="T118" s="51">
        <v>3</v>
      </c>
      <c r="U118" s="60">
        <f t="shared" si="18"/>
        <v>70</v>
      </c>
    </row>
    <row r="119" spans="1:21" ht="15.75" customHeight="1">
      <c r="A119" s="230"/>
      <c r="B119" s="47" t="s">
        <v>18</v>
      </c>
      <c r="C119" s="47">
        <v>10</v>
      </c>
      <c r="D119" s="47">
        <v>8</v>
      </c>
      <c r="E119" s="47">
        <v>9</v>
      </c>
      <c r="F119" s="47">
        <v>7</v>
      </c>
      <c r="G119" s="47">
        <v>7</v>
      </c>
      <c r="H119" s="47">
        <v>8</v>
      </c>
      <c r="I119" s="47">
        <v>7</v>
      </c>
      <c r="J119" s="47">
        <v>8</v>
      </c>
      <c r="K119" s="227"/>
      <c r="L119" s="47" t="s">
        <v>18</v>
      </c>
      <c r="M119" s="47">
        <v>4</v>
      </c>
      <c r="N119" s="47">
        <v>4</v>
      </c>
      <c r="O119" s="47">
        <v>5</v>
      </c>
      <c r="P119" s="47">
        <v>7</v>
      </c>
      <c r="Q119" s="47">
        <v>14</v>
      </c>
      <c r="R119" s="47">
        <v>7</v>
      </c>
      <c r="S119" s="47">
        <v>9</v>
      </c>
      <c r="T119" s="70">
        <v>6</v>
      </c>
      <c r="U119" s="66">
        <f t="shared" si="18"/>
        <v>80</v>
      </c>
    </row>
    <row r="120" spans="1:21" ht="15.75" customHeight="1">
      <c r="A120" s="195" t="s">
        <v>9</v>
      </c>
      <c r="B120" s="56" t="s">
        <v>13</v>
      </c>
      <c r="C120" s="56">
        <v>10</v>
      </c>
      <c r="D120" s="56">
        <v>18</v>
      </c>
      <c r="E120" s="56">
        <v>16</v>
      </c>
      <c r="F120" s="56">
        <v>32</v>
      </c>
      <c r="G120" s="56">
        <v>33</v>
      </c>
      <c r="H120" s="56">
        <v>30</v>
      </c>
      <c r="I120" s="56">
        <v>23</v>
      </c>
      <c r="J120" s="56">
        <v>16</v>
      </c>
      <c r="K120" s="196" t="s">
        <v>9</v>
      </c>
      <c r="L120" s="56" t="s">
        <v>13</v>
      </c>
      <c r="M120" s="56">
        <v>18</v>
      </c>
      <c r="N120" s="56">
        <v>20</v>
      </c>
      <c r="O120" s="56">
        <v>19</v>
      </c>
      <c r="P120" s="56">
        <v>21</v>
      </c>
      <c r="Q120" s="56">
        <v>24</v>
      </c>
      <c r="R120" s="56">
        <v>28</v>
      </c>
      <c r="S120" s="56">
        <v>21</v>
      </c>
      <c r="T120" s="67">
        <v>13</v>
      </c>
      <c r="U120" s="59">
        <f t="shared" si="18"/>
        <v>252</v>
      </c>
    </row>
    <row r="121" spans="1:21" ht="15.75" customHeight="1">
      <c r="A121" s="230"/>
      <c r="B121" s="4" t="s">
        <v>14</v>
      </c>
      <c r="C121" s="4">
        <v>9</v>
      </c>
      <c r="D121" s="4">
        <v>4</v>
      </c>
      <c r="E121" s="4">
        <v>12</v>
      </c>
      <c r="F121" s="4">
        <v>17</v>
      </c>
      <c r="G121" s="4">
        <v>16</v>
      </c>
      <c r="H121" s="4">
        <v>8</v>
      </c>
      <c r="I121" s="4">
        <v>11</v>
      </c>
      <c r="J121" s="4">
        <v>11</v>
      </c>
      <c r="K121" s="227"/>
      <c r="L121" s="4" t="s">
        <v>14</v>
      </c>
      <c r="M121" s="4">
        <v>8</v>
      </c>
      <c r="N121" s="4">
        <v>10</v>
      </c>
      <c r="O121" s="4">
        <v>11</v>
      </c>
      <c r="P121" s="4">
        <v>5</v>
      </c>
      <c r="Q121" s="4">
        <v>5</v>
      </c>
      <c r="R121" s="4">
        <v>4</v>
      </c>
      <c r="S121" s="4">
        <v>2</v>
      </c>
      <c r="T121" s="50">
        <v>0</v>
      </c>
      <c r="U121" s="60">
        <f t="shared" si="18"/>
        <v>114</v>
      </c>
    </row>
    <row r="122" spans="1:21" ht="15.75" customHeight="1">
      <c r="A122" s="230"/>
      <c r="B122" s="4" t="s">
        <v>15</v>
      </c>
      <c r="C122" s="4">
        <v>26</v>
      </c>
      <c r="D122" s="4">
        <v>24</v>
      </c>
      <c r="E122" s="4">
        <v>22</v>
      </c>
      <c r="F122" s="4">
        <v>26</v>
      </c>
      <c r="G122" s="4">
        <v>19</v>
      </c>
      <c r="H122" s="4">
        <v>19</v>
      </c>
      <c r="I122" s="4">
        <v>16</v>
      </c>
      <c r="J122" s="4">
        <v>22</v>
      </c>
      <c r="K122" s="227"/>
      <c r="L122" s="4" t="s">
        <v>15</v>
      </c>
      <c r="M122" s="4">
        <v>9</v>
      </c>
      <c r="N122" s="4">
        <v>23</v>
      </c>
      <c r="O122" s="4">
        <v>18</v>
      </c>
      <c r="P122" s="4">
        <v>23</v>
      </c>
      <c r="Q122" s="4">
        <v>17</v>
      </c>
      <c r="R122" s="4">
        <v>31</v>
      </c>
      <c r="S122" s="4">
        <v>38</v>
      </c>
      <c r="T122" s="50">
        <v>18</v>
      </c>
      <c r="U122" s="60">
        <f t="shared" si="18"/>
        <v>214</v>
      </c>
    </row>
    <row r="123" spans="1:21" ht="15.75" customHeight="1">
      <c r="A123" s="230"/>
      <c r="B123" s="4" t="s">
        <v>16</v>
      </c>
      <c r="C123" s="4">
        <v>3</v>
      </c>
      <c r="D123" s="4">
        <v>6</v>
      </c>
      <c r="E123" s="4">
        <v>10</v>
      </c>
      <c r="F123" s="4">
        <v>22</v>
      </c>
      <c r="G123" s="4">
        <v>8</v>
      </c>
      <c r="H123" s="4">
        <v>9</v>
      </c>
      <c r="I123" s="4">
        <v>8</v>
      </c>
      <c r="J123" s="4">
        <v>2</v>
      </c>
      <c r="K123" s="227"/>
      <c r="L123" s="4" t="s">
        <v>16</v>
      </c>
      <c r="M123" s="4">
        <v>4</v>
      </c>
      <c r="N123" s="4">
        <v>7</v>
      </c>
      <c r="O123" s="4">
        <v>2</v>
      </c>
      <c r="P123" s="4">
        <v>9</v>
      </c>
      <c r="Q123" s="4">
        <v>5</v>
      </c>
      <c r="R123" s="4">
        <v>7</v>
      </c>
      <c r="S123" s="4">
        <v>9</v>
      </c>
      <c r="T123" s="50">
        <v>0</v>
      </c>
      <c r="U123" s="60">
        <f t="shared" si="18"/>
        <v>86</v>
      </c>
    </row>
    <row r="124" spans="1:21" ht="15.75" customHeight="1">
      <c r="A124" s="230"/>
      <c r="B124" s="4" t="s">
        <v>17</v>
      </c>
      <c r="C124" s="4">
        <v>12</v>
      </c>
      <c r="D124" s="4">
        <v>5</v>
      </c>
      <c r="E124" s="4">
        <v>8</v>
      </c>
      <c r="F124" s="4">
        <v>9</v>
      </c>
      <c r="G124" s="4">
        <v>9</v>
      </c>
      <c r="H124" s="4">
        <v>4</v>
      </c>
      <c r="I124" s="4">
        <v>6</v>
      </c>
      <c r="J124" s="4">
        <v>3</v>
      </c>
      <c r="K124" s="227"/>
      <c r="L124" s="4" t="s">
        <v>17</v>
      </c>
      <c r="M124" s="4">
        <v>6</v>
      </c>
      <c r="N124" s="4">
        <v>3</v>
      </c>
      <c r="O124" s="4">
        <v>3</v>
      </c>
      <c r="P124" s="4">
        <v>5</v>
      </c>
      <c r="Q124" s="4">
        <v>6</v>
      </c>
      <c r="R124" s="4">
        <v>8</v>
      </c>
      <c r="S124" s="4">
        <v>8</v>
      </c>
      <c r="T124" s="50">
        <v>5</v>
      </c>
      <c r="U124" s="60">
        <f t="shared" si="18"/>
        <v>62</v>
      </c>
    </row>
    <row r="125" spans="1:21" ht="15.75" customHeight="1">
      <c r="A125" s="230"/>
      <c r="B125" s="46" t="s">
        <v>18</v>
      </c>
      <c r="C125" s="46">
        <v>18</v>
      </c>
      <c r="D125" s="46">
        <v>8</v>
      </c>
      <c r="E125" s="46">
        <v>5</v>
      </c>
      <c r="F125" s="46">
        <v>4</v>
      </c>
      <c r="G125" s="46">
        <v>10</v>
      </c>
      <c r="H125" s="46">
        <v>14</v>
      </c>
      <c r="I125" s="46">
        <v>9</v>
      </c>
      <c r="J125" s="46">
        <v>7</v>
      </c>
      <c r="K125" s="227"/>
      <c r="L125" s="46" t="s">
        <v>18</v>
      </c>
      <c r="M125" s="46">
        <v>10</v>
      </c>
      <c r="N125" s="46">
        <v>14</v>
      </c>
      <c r="O125" s="46">
        <v>7</v>
      </c>
      <c r="P125" s="46">
        <v>6</v>
      </c>
      <c r="Q125" s="46">
        <v>14</v>
      </c>
      <c r="R125" s="46">
        <v>9</v>
      </c>
      <c r="S125" s="46">
        <v>12</v>
      </c>
      <c r="T125" s="69">
        <v>7</v>
      </c>
      <c r="U125" s="66">
        <f t="shared" si="18"/>
        <v>100</v>
      </c>
    </row>
    <row r="126" spans="1:21" ht="15.75" customHeight="1">
      <c r="A126" s="193" t="s">
        <v>10</v>
      </c>
      <c r="B126" s="63" t="s">
        <v>13</v>
      </c>
      <c r="C126" s="121">
        <v>15</v>
      </c>
      <c r="D126" s="121">
        <v>16</v>
      </c>
      <c r="E126" s="121">
        <v>24</v>
      </c>
      <c r="F126" s="121">
        <v>32</v>
      </c>
      <c r="G126" s="121">
        <v>46</v>
      </c>
      <c r="H126" s="121">
        <v>33</v>
      </c>
      <c r="I126" s="121">
        <v>36</v>
      </c>
      <c r="J126" s="121">
        <v>25</v>
      </c>
      <c r="K126" s="194" t="s">
        <v>10</v>
      </c>
      <c r="L126" s="63" t="s">
        <v>13</v>
      </c>
      <c r="M126" s="121">
        <v>19</v>
      </c>
      <c r="N126" s="121">
        <v>22</v>
      </c>
      <c r="O126" s="121">
        <v>11</v>
      </c>
      <c r="P126" s="121">
        <v>9</v>
      </c>
      <c r="Q126" s="121">
        <v>22</v>
      </c>
      <c r="R126" s="121">
        <v>19</v>
      </c>
      <c r="S126" s="121">
        <v>12</v>
      </c>
      <c r="T126" s="124">
        <v>5</v>
      </c>
      <c r="U126" s="59">
        <f t="shared" si="18"/>
        <v>279</v>
      </c>
    </row>
    <row r="127" spans="1:21" ht="15.75" customHeight="1">
      <c r="A127" s="230"/>
      <c r="B127" s="6" t="s">
        <v>14</v>
      </c>
      <c r="C127" s="122">
        <v>6</v>
      </c>
      <c r="D127" s="122">
        <v>7</v>
      </c>
      <c r="E127" s="122">
        <v>12</v>
      </c>
      <c r="F127" s="122">
        <v>9</v>
      </c>
      <c r="G127" s="122">
        <v>15</v>
      </c>
      <c r="H127" s="122">
        <v>15</v>
      </c>
      <c r="I127" s="122">
        <v>20</v>
      </c>
      <c r="J127" s="122">
        <v>14</v>
      </c>
      <c r="K127" s="227"/>
      <c r="L127" s="6" t="s">
        <v>14</v>
      </c>
      <c r="M127" s="122">
        <v>6</v>
      </c>
      <c r="N127" s="122">
        <v>11</v>
      </c>
      <c r="O127" s="122">
        <v>8</v>
      </c>
      <c r="P127" s="122">
        <v>6</v>
      </c>
      <c r="Q127" s="122">
        <v>8</v>
      </c>
      <c r="R127" s="122">
        <v>9</v>
      </c>
      <c r="S127" s="122">
        <v>6</v>
      </c>
      <c r="T127" s="125">
        <v>2</v>
      </c>
      <c r="U127" s="60">
        <f t="shared" si="18"/>
        <v>124</v>
      </c>
    </row>
    <row r="128" spans="1:21" ht="15.75" customHeight="1">
      <c r="A128" s="230"/>
      <c r="B128" s="6" t="s">
        <v>15</v>
      </c>
      <c r="C128" s="122">
        <v>12</v>
      </c>
      <c r="D128" s="122">
        <v>14</v>
      </c>
      <c r="E128" s="122">
        <v>17</v>
      </c>
      <c r="F128" s="122">
        <v>24</v>
      </c>
      <c r="G128" s="122">
        <v>29</v>
      </c>
      <c r="H128" s="122">
        <v>25</v>
      </c>
      <c r="I128" s="122">
        <v>29</v>
      </c>
      <c r="J128" s="122">
        <v>29</v>
      </c>
      <c r="K128" s="227"/>
      <c r="L128" s="6" t="s">
        <v>15</v>
      </c>
      <c r="M128" s="122">
        <v>24</v>
      </c>
      <c r="N128" s="122">
        <v>32</v>
      </c>
      <c r="O128" s="122">
        <v>26</v>
      </c>
      <c r="P128" s="122">
        <v>27</v>
      </c>
      <c r="Q128" s="122">
        <v>23</v>
      </c>
      <c r="R128" s="122">
        <v>20</v>
      </c>
      <c r="S128" s="122">
        <v>19</v>
      </c>
      <c r="T128" s="125">
        <v>11</v>
      </c>
      <c r="U128" s="60">
        <f t="shared" si="18"/>
        <v>285</v>
      </c>
    </row>
    <row r="129" spans="1:40" ht="15.75" customHeight="1">
      <c r="A129" s="230"/>
      <c r="B129" s="6" t="s">
        <v>16</v>
      </c>
      <c r="C129" s="122">
        <v>5</v>
      </c>
      <c r="D129" s="122">
        <v>7</v>
      </c>
      <c r="E129" s="122">
        <v>6</v>
      </c>
      <c r="F129" s="122">
        <v>9</v>
      </c>
      <c r="G129" s="122">
        <v>12</v>
      </c>
      <c r="H129" s="122">
        <v>10</v>
      </c>
      <c r="I129" s="122">
        <v>8</v>
      </c>
      <c r="J129" s="122">
        <v>9</v>
      </c>
      <c r="K129" s="227"/>
      <c r="L129" s="6" t="s">
        <v>16</v>
      </c>
      <c r="M129" s="122">
        <v>2</v>
      </c>
      <c r="N129" s="122">
        <v>5</v>
      </c>
      <c r="O129" s="122">
        <v>13</v>
      </c>
      <c r="P129" s="122">
        <v>5</v>
      </c>
      <c r="Q129" s="122">
        <v>3</v>
      </c>
      <c r="R129" s="122">
        <v>2</v>
      </c>
      <c r="S129" s="122">
        <v>2</v>
      </c>
      <c r="T129" s="125">
        <v>1</v>
      </c>
      <c r="U129" s="60">
        <f t="shared" si="18"/>
        <v>82</v>
      </c>
    </row>
    <row r="130" spans="1:40" ht="15.75" customHeight="1">
      <c r="A130" s="230"/>
      <c r="B130" s="6" t="s">
        <v>17</v>
      </c>
      <c r="C130" s="122">
        <v>7</v>
      </c>
      <c r="D130" s="122">
        <v>11</v>
      </c>
      <c r="E130" s="122">
        <v>7</v>
      </c>
      <c r="F130" s="122">
        <v>10</v>
      </c>
      <c r="G130" s="122">
        <v>14</v>
      </c>
      <c r="H130" s="122">
        <v>9</v>
      </c>
      <c r="I130" s="122">
        <v>4</v>
      </c>
      <c r="J130" s="122">
        <v>6</v>
      </c>
      <c r="K130" s="227"/>
      <c r="L130" s="6" t="s">
        <v>17</v>
      </c>
      <c r="M130" s="122">
        <v>5</v>
      </c>
      <c r="N130" s="122">
        <v>4</v>
      </c>
      <c r="O130" s="122">
        <v>3</v>
      </c>
      <c r="P130" s="122">
        <v>7</v>
      </c>
      <c r="Q130" s="122">
        <v>9</v>
      </c>
      <c r="R130" s="122">
        <v>7</v>
      </c>
      <c r="S130" s="122">
        <v>5</v>
      </c>
      <c r="T130" s="125">
        <v>2</v>
      </c>
      <c r="U130" s="60">
        <f t="shared" si="18"/>
        <v>78</v>
      </c>
    </row>
    <row r="131" spans="1:40" ht="15.75" customHeight="1">
      <c r="A131" s="230"/>
      <c r="B131" s="47" t="s">
        <v>18</v>
      </c>
      <c r="C131" s="123">
        <v>11</v>
      </c>
      <c r="D131" s="123">
        <v>6</v>
      </c>
      <c r="E131" s="123">
        <v>6</v>
      </c>
      <c r="F131" s="123">
        <v>5</v>
      </c>
      <c r="G131" s="123">
        <v>9</v>
      </c>
      <c r="H131" s="123">
        <v>14</v>
      </c>
      <c r="I131" s="123">
        <v>12</v>
      </c>
      <c r="J131" s="123">
        <v>13</v>
      </c>
      <c r="K131" s="227"/>
      <c r="L131" s="47" t="s">
        <v>18</v>
      </c>
      <c r="M131" s="123">
        <v>14</v>
      </c>
      <c r="N131" s="123">
        <v>8</v>
      </c>
      <c r="O131" s="123">
        <v>1</v>
      </c>
      <c r="P131" s="123">
        <v>7</v>
      </c>
      <c r="Q131" s="123">
        <v>10</v>
      </c>
      <c r="R131" s="123">
        <v>10</v>
      </c>
      <c r="S131" s="123">
        <v>8</v>
      </c>
      <c r="T131" s="126">
        <v>6</v>
      </c>
      <c r="U131" s="66">
        <f t="shared" si="18"/>
        <v>99</v>
      </c>
    </row>
    <row r="132" spans="1:40" ht="15.75" customHeight="1">
      <c r="A132" s="195" t="s">
        <v>11</v>
      </c>
      <c r="B132" s="56" t="s">
        <v>13</v>
      </c>
      <c r="C132" s="127">
        <v>17</v>
      </c>
      <c r="D132" s="127">
        <v>16</v>
      </c>
      <c r="E132" s="127">
        <v>16</v>
      </c>
      <c r="F132" s="127">
        <v>28</v>
      </c>
      <c r="G132" s="127">
        <v>30</v>
      </c>
      <c r="H132" s="127">
        <v>39</v>
      </c>
      <c r="I132" s="127">
        <v>26</v>
      </c>
      <c r="J132" s="127">
        <v>12</v>
      </c>
      <c r="K132" s="196" t="s">
        <v>11</v>
      </c>
      <c r="L132" s="56" t="s">
        <v>13</v>
      </c>
      <c r="M132" s="127">
        <v>16</v>
      </c>
      <c r="N132" s="127">
        <v>12</v>
      </c>
      <c r="O132" s="127">
        <v>11</v>
      </c>
      <c r="P132" s="127">
        <v>15</v>
      </c>
      <c r="Q132" s="127">
        <v>11</v>
      </c>
      <c r="R132" s="127">
        <v>13</v>
      </c>
      <c r="S132" s="127">
        <v>7</v>
      </c>
      <c r="T132" s="130">
        <v>8</v>
      </c>
      <c r="U132" s="59">
        <f t="shared" si="18"/>
        <v>216</v>
      </c>
    </row>
    <row r="133" spans="1:40" ht="15.75" customHeight="1">
      <c r="A133" s="230"/>
      <c r="B133" s="4" t="s">
        <v>14</v>
      </c>
      <c r="C133" s="128">
        <v>3</v>
      </c>
      <c r="D133" s="128">
        <v>3</v>
      </c>
      <c r="E133" s="128">
        <v>7</v>
      </c>
      <c r="F133" s="128">
        <v>12</v>
      </c>
      <c r="G133" s="128">
        <v>12</v>
      </c>
      <c r="H133" s="128">
        <v>21</v>
      </c>
      <c r="I133" s="128">
        <v>16</v>
      </c>
      <c r="J133" s="128">
        <v>14</v>
      </c>
      <c r="K133" s="227"/>
      <c r="L133" s="4" t="s">
        <v>14</v>
      </c>
      <c r="M133" s="128">
        <v>6</v>
      </c>
      <c r="N133" s="128">
        <v>4</v>
      </c>
      <c r="O133" s="128">
        <v>9</v>
      </c>
      <c r="P133" s="128">
        <v>6</v>
      </c>
      <c r="Q133" s="128">
        <v>3</v>
      </c>
      <c r="R133" s="128">
        <v>9</v>
      </c>
      <c r="S133" s="128">
        <v>6</v>
      </c>
      <c r="T133" s="131">
        <v>4</v>
      </c>
      <c r="U133" s="60">
        <f t="shared" si="18"/>
        <v>110</v>
      </c>
    </row>
    <row r="134" spans="1:40" ht="15.75" customHeight="1">
      <c r="A134" s="230"/>
      <c r="B134" s="4" t="s">
        <v>15</v>
      </c>
      <c r="C134" s="128">
        <v>9</v>
      </c>
      <c r="D134" s="128">
        <v>14</v>
      </c>
      <c r="E134" s="128">
        <v>11</v>
      </c>
      <c r="F134" s="128">
        <v>9</v>
      </c>
      <c r="G134" s="128">
        <v>27</v>
      </c>
      <c r="H134" s="128">
        <v>23</v>
      </c>
      <c r="I134" s="128">
        <v>25</v>
      </c>
      <c r="J134" s="128">
        <v>31</v>
      </c>
      <c r="K134" s="227"/>
      <c r="L134" s="4" t="s">
        <v>15</v>
      </c>
      <c r="M134" s="128">
        <v>22</v>
      </c>
      <c r="N134" s="128">
        <v>16</v>
      </c>
      <c r="O134" s="128">
        <v>17</v>
      </c>
      <c r="P134" s="128">
        <v>20</v>
      </c>
      <c r="Q134" s="128">
        <v>15</v>
      </c>
      <c r="R134" s="128">
        <v>20</v>
      </c>
      <c r="S134" s="128">
        <v>22</v>
      </c>
      <c r="T134" s="131">
        <v>12</v>
      </c>
      <c r="U134" s="60">
        <f t="shared" si="18"/>
        <v>216</v>
      </c>
    </row>
    <row r="135" spans="1:40" ht="15.75" customHeight="1">
      <c r="A135" s="230"/>
      <c r="B135" s="4" t="s">
        <v>16</v>
      </c>
      <c r="C135" s="128">
        <v>1</v>
      </c>
      <c r="D135" s="128">
        <v>3</v>
      </c>
      <c r="E135" s="128">
        <v>4</v>
      </c>
      <c r="F135" s="128">
        <v>6</v>
      </c>
      <c r="G135" s="128">
        <v>3</v>
      </c>
      <c r="H135" s="128">
        <v>12</v>
      </c>
      <c r="I135" s="128">
        <v>4</v>
      </c>
      <c r="J135" s="128">
        <v>6</v>
      </c>
      <c r="K135" s="227"/>
      <c r="L135" s="4" t="s">
        <v>16</v>
      </c>
      <c r="M135" s="128">
        <v>3</v>
      </c>
      <c r="N135" s="128">
        <v>2</v>
      </c>
      <c r="O135" s="128">
        <v>4</v>
      </c>
      <c r="P135" s="128">
        <v>3</v>
      </c>
      <c r="Q135" s="128">
        <v>1</v>
      </c>
      <c r="R135" s="128">
        <v>2</v>
      </c>
      <c r="S135" s="128">
        <v>1</v>
      </c>
      <c r="T135" s="131">
        <v>1</v>
      </c>
      <c r="U135" s="60">
        <f t="shared" si="18"/>
        <v>48</v>
      </c>
    </row>
    <row r="136" spans="1:40" ht="15.75" customHeight="1">
      <c r="A136" s="230"/>
      <c r="B136" s="4" t="s">
        <v>17</v>
      </c>
      <c r="C136" s="128">
        <v>3</v>
      </c>
      <c r="D136" s="128">
        <v>7</v>
      </c>
      <c r="E136" s="128">
        <v>4</v>
      </c>
      <c r="F136" s="128">
        <v>12</v>
      </c>
      <c r="G136" s="128">
        <v>12</v>
      </c>
      <c r="H136" s="128">
        <v>4</v>
      </c>
      <c r="I136" s="128">
        <v>16</v>
      </c>
      <c r="J136" s="128">
        <v>9</v>
      </c>
      <c r="K136" s="227"/>
      <c r="L136" s="4" t="s">
        <v>17</v>
      </c>
      <c r="M136" s="128">
        <v>7</v>
      </c>
      <c r="N136" s="128">
        <v>6</v>
      </c>
      <c r="O136" s="128">
        <v>4</v>
      </c>
      <c r="P136" s="128">
        <v>5</v>
      </c>
      <c r="Q136" s="128">
        <v>5</v>
      </c>
      <c r="R136" s="128">
        <v>6</v>
      </c>
      <c r="S136" s="128">
        <v>2</v>
      </c>
      <c r="T136" s="131">
        <v>0</v>
      </c>
      <c r="U136" s="60">
        <f t="shared" si="18"/>
        <v>84</v>
      </c>
    </row>
    <row r="137" spans="1:40" ht="15.75" customHeight="1">
      <c r="A137" s="231"/>
      <c r="B137" s="61" t="s">
        <v>18</v>
      </c>
      <c r="C137" s="129">
        <v>3</v>
      </c>
      <c r="D137" s="129">
        <v>18</v>
      </c>
      <c r="E137" s="129">
        <v>7</v>
      </c>
      <c r="F137" s="129">
        <v>4</v>
      </c>
      <c r="G137" s="129">
        <v>5</v>
      </c>
      <c r="H137" s="129">
        <v>16</v>
      </c>
      <c r="I137" s="129">
        <v>14</v>
      </c>
      <c r="J137" s="129">
        <v>6</v>
      </c>
      <c r="K137" s="232"/>
      <c r="L137" s="61" t="s">
        <v>18</v>
      </c>
      <c r="M137" s="129">
        <v>9</v>
      </c>
      <c r="N137" s="129">
        <v>5</v>
      </c>
      <c r="O137" s="129">
        <v>7</v>
      </c>
      <c r="P137" s="129">
        <v>4</v>
      </c>
      <c r="Q137" s="129">
        <v>4</v>
      </c>
      <c r="R137" s="129">
        <v>4</v>
      </c>
      <c r="S137" s="129">
        <v>1</v>
      </c>
      <c r="T137" s="132">
        <v>3</v>
      </c>
      <c r="U137" s="62">
        <f>SUM(M137:T137,C137:J137)</f>
        <v>110</v>
      </c>
    </row>
    <row r="139" spans="1:40" ht="15.75" customHeight="1">
      <c r="A139" s="1"/>
      <c r="B139" s="1"/>
      <c r="C139" s="183" t="s">
        <v>0</v>
      </c>
      <c r="D139" s="225"/>
      <c r="E139" s="225"/>
      <c r="F139" s="225"/>
      <c r="G139" s="226"/>
      <c r="H139" s="2"/>
      <c r="I139" s="1"/>
    </row>
    <row r="140" spans="1:40" ht="15.75" customHeight="1">
      <c r="A140" s="1"/>
      <c r="B140" s="183" t="s">
        <v>1</v>
      </c>
      <c r="C140" s="225"/>
      <c r="D140" s="226"/>
      <c r="E140" s="1"/>
      <c r="F140" s="184" t="s">
        <v>84</v>
      </c>
      <c r="G140" s="225"/>
      <c r="H140" s="226"/>
      <c r="I140" s="1"/>
      <c r="K140" s="1"/>
      <c r="L140" s="183" t="s">
        <v>26</v>
      </c>
      <c r="M140" s="225"/>
      <c r="N140" s="226"/>
      <c r="O140" s="1"/>
      <c r="P140" s="184" t="s">
        <v>84</v>
      </c>
      <c r="Q140" s="225"/>
      <c r="R140" s="226"/>
      <c r="S140" s="1"/>
    </row>
    <row r="141" spans="1:40" ht="15.75" customHeight="1">
      <c r="A141" s="54" t="s">
        <v>35</v>
      </c>
      <c r="B141" s="54" t="s">
        <v>4</v>
      </c>
      <c r="C141" s="54" t="s">
        <v>12</v>
      </c>
      <c r="D141" s="54" t="s">
        <v>19</v>
      </c>
      <c r="E141" s="54" t="s">
        <v>20</v>
      </c>
      <c r="F141" s="54" t="s">
        <v>21</v>
      </c>
      <c r="G141" s="54" t="s">
        <v>22</v>
      </c>
      <c r="H141" s="54" t="s">
        <v>23</v>
      </c>
      <c r="I141" s="54" t="s">
        <v>24</v>
      </c>
      <c r="J141" s="54" t="s">
        <v>25</v>
      </c>
      <c r="K141" s="54" t="s">
        <v>35</v>
      </c>
      <c r="L141" s="54" t="s">
        <v>4</v>
      </c>
      <c r="M141" s="54" t="s">
        <v>27</v>
      </c>
      <c r="N141" s="54" t="s">
        <v>28</v>
      </c>
      <c r="O141" s="54" t="s">
        <v>29</v>
      </c>
      <c r="P141" s="54" t="s">
        <v>30</v>
      </c>
      <c r="Q141" s="54" t="s">
        <v>31</v>
      </c>
      <c r="R141" s="54" t="s">
        <v>32</v>
      </c>
      <c r="S141" s="54" t="s">
        <v>33</v>
      </c>
      <c r="T141" s="54" t="s">
        <v>34</v>
      </c>
      <c r="U141" s="54" t="s">
        <v>55</v>
      </c>
    </row>
    <row r="142" spans="1:40" ht="15.75" customHeight="1">
      <c r="A142" s="195" t="s">
        <v>5</v>
      </c>
      <c r="B142" s="56" t="s">
        <v>13</v>
      </c>
      <c r="C142" s="57"/>
      <c r="D142" s="57"/>
      <c r="E142" s="56">
        <v>6</v>
      </c>
      <c r="F142" s="56">
        <v>20</v>
      </c>
      <c r="G142" s="56">
        <v>29</v>
      </c>
      <c r="H142" s="56">
        <v>25</v>
      </c>
      <c r="I142" s="56">
        <v>19</v>
      </c>
      <c r="J142" s="56">
        <v>12</v>
      </c>
      <c r="K142" s="196" t="s">
        <v>5</v>
      </c>
      <c r="L142" s="56" t="s">
        <v>13</v>
      </c>
      <c r="M142" s="56">
        <v>12</v>
      </c>
      <c r="N142" s="56">
        <v>17</v>
      </c>
      <c r="O142" s="56">
        <v>13</v>
      </c>
      <c r="P142" s="56">
        <v>9</v>
      </c>
      <c r="Q142" s="56">
        <v>13</v>
      </c>
      <c r="R142" s="57"/>
      <c r="S142" s="57"/>
      <c r="T142" s="58"/>
      <c r="U142" s="59">
        <f>SUM(M142:T142,C142:J142)</f>
        <v>175</v>
      </c>
      <c r="W142" s="197" t="s">
        <v>84</v>
      </c>
      <c r="X142" s="198"/>
      <c r="AG142" s="190" t="s">
        <v>58</v>
      </c>
      <c r="AH142" s="191"/>
      <c r="AI142" s="191"/>
      <c r="AJ142" s="191"/>
      <c r="AK142" s="191"/>
      <c r="AL142" s="191"/>
      <c r="AM142" s="191"/>
      <c r="AN142" s="192"/>
    </row>
    <row r="143" spans="1:40" ht="15.75" customHeight="1">
      <c r="A143" s="230"/>
      <c r="B143" s="4" t="s">
        <v>14</v>
      </c>
      <c r="C143" s="5"/>
      <c r="D143" s="5"/>
      <c r="E143" s="4">
        <v>3</v>
      </c>
      <c r="F143" s="4">
        <v>9</v>
      </c>
      <c r="G143" s="4">
        <v>8</v>
      </c>
      <c r="H143" s="4">
        <v>9</v>
      </c>
      <c r="I143" s="4">
        <v>7</v>
      </c>
      <c r="J143" s="4">
        <v>5</v>
      </c>
      <c r="K143" s="227"/>
      <c r="L143" s="4" t="s">
        <v>14</v>
      </c>
      <c r="M143" s="4">
        <v>5</v>
      </c>
      <c r="N143" s="4">
        <v>9</v>
      </c>
      <c r="O143" s="4">
        <v>2</v>
      </c>
      <c r="P143" s="4">
        <v>9</v>
      </c>
      <c r="Q143" s="4">
        <v>0</v>
      </c>
      <c r="R143" s="5"/>
      <c r="S143" s="5"/>
      <c r="T143" s="49"/>
      <c r="U143" s="60">
        <f t="shared" ref="U143:U165" si="26">SUM(M143:Q143,E143:J143)</f>
        <v>66</v>
      </c>
      <c r="W143" s="55" t="s">
        <v>5</v>
      </c>
      <c r="X143" s="48">
        <f>SUM(U142:U147)</f>
        <v>564</v>
      </c>
      <c r="AG143" s="98" t="s">
        <v>4</v>
      </c>
      <c r="AH143" s="98" t="s">
        <v>5</v>
      </c>
      <c r="AI143" s="98" t="s">
        <v>6</v>
      </c>
      <c r="AJ143" s="98" t="s">
        <v>7</v>
      </c>
      <c r="AK143" s="98" t="s">
        <v>8</v>
      </c>
      <c r="AL143" s="98" t="s">
        <v>9</v>
      </c>
      <c r="AM143" s="98" t="s">
        <v>10</v>
      </c>
      <c r="AN143" s="98" t="s">
        <v>11</v>
      </c>
    </row>
    <row r="144" spans="1:40" ht="15.75" customHeight="1">
      <c r="A144" s="230"/>
      <c r="B144" s="4" t="s">
        <v>15</v>
      </c>
      <c r="C144" s="5"/>
      <c r="D144" s="5"/>
      <c r="E144" s="4">
        <v>3</v>
      </c>
      <c r="F144" s="4">
        <v>15</v>
      </c>
      <c r="G144" s="4">
        <v>26</v>
      </c>
      <c r="H144" s="4">
        <v>15</v>
      </c>
      <c r="I144" s="4">
        <v>20</v>
      </c>
      <c r="J144" s="4">
        <v>18</v>
      </c>
      <c r="K144" s="227"/>
      <c r="L144" s="4" t="s">
        <v>15</v>
      </c>
      <c r="M144" s="4">
        <v>18</v>
      </c>
      <c r="N144" s="4">
        <v>15</v>
      </c>
      <c r="O144" s="4">
        <v>13</v>
      </c>
      <c r="P144" s="4">
        <v>13</v>
      </c>
      <c r="Q144" s="4">
        <v>8</v>
      </c>
      <c r="R144" s="5"/>
      <c r="S144" s="5"/>
      <c r="T144" s="49"/>
      <c r="U144" s="60">
        <f t="shared" si="26"/>
        <v>164</v>
      </c>
      <c r="W144" s="55" t="s">
        <v>6</v>
      </c>
      <c r="X144" s="48">
        <f>SUM(U148:U153)</f>
        <v>0</v>
      </c>
      <c r="AG144" s="79" t="s">
        <v>13</v>
      </c>
      <c r="AH144" s="79">
        <f t="shared" ref="AH144:AH149" si="27">U142</f>
        <v>175</v>
      </c>
      <c r="AI144" s="79">
        <f t="shared" ref="AI144:AI149" si="28">U148</f>
        <v>0</v>
      </c>
      <c r="AJ144" s="79">
        <f t="shared" ref="AJ144:AJ149" si="29">U154</f>
        <v>302</v>
      </c>
      <c r="AK144" s="79">
        <f t="shared" ref="AK144:AK149" si="30">U160</f>
        <v>239</v>
      </c>
      <c r="AL144" s="79">
        <f t="shared" ref="AL144:AL149" si="31">U166</f>
        <v>314</v>
      </c>
      <c r="AM144" s="79">
        <f t="shared" ref="AM144:AM149" si="32">U172</f>
        <v>312</v>
      </c>
      <c r="AN144" s="79">
        <f t="shared" ref="AN144:AN149" si="33">U178</f>
        <v>288</v>
      </c>
    </row>
    <row r="145" spans="1:40" ht="15.75" customHeight="1">
      <c r="A145" s="230"/>
      <c r="B145" s="4" t="s">
        <v>16</v>
      </c>
      <c r="C145" s="5"/>
      <c r="D145" s="5"/>
      <c r="E145" s="4">
        <v>2</v>
      </c>
      <c r="F145" s="4">
        <v>5</v>
      </c>
      <c r="G145" s="4">
        <v>7</v>
      </c>
      <c r="H145" s="4">
        <v>5</v>
      </c>
      <c r="I145" s="4">
        <v>7</v>
      </c>
      <c r="J145" s="4">
        <v>2</v>
      </c>
      <c r="K145" s="227"/>
      <c r="L145" s="4" t="s">
        <v>16</v>
      </c>
      <c r="M145" s="4">
        <v>2</v>
      </c>
      <c r="N145" s="4">
        <v>1</v>
      </c>
      <c r="O145" s="4">
        <v>2</v>
      </c>
      <c r="P145" s="4">
        <v>1</v>
      </c>
      <c r="Q145" s="4">
        <v>3</v>
      </c>
      <c r="R145" s="5"/>
      <c r="S145" s="5"/>
      <c r="T145" s="49"/>
      <c r="U145" s="60">
        <f t="shared" si="26"/>
        <v>37</v>
      </c>
      <c r="W145" s="55" t="s">
        <v>7</v>
      </c>
      <c r="X145" s="48">
        <f>SUM(U154:U159)</f>
        <v>984</v>
      </c>
      <c r="AG145" s="97" t="s">
        <v>14</v>
      </c>
      <c r="AH145" s="97">
        <f t="shared" si="27"/>
        <v>66</v>
      </c>
      <c r="AI145" s="97">
        <f t="shared" si="28"/>
        <v>0</v>
      </c>
      <c r="AJ145" s="97">
        <f t="shared" si="29"/>
        <v>119</v>
      </c>
      <c r="AK145" s="97">
        <f t="shared" si="30"/>
        <v>102</v>
      </c>
      <c r="AL145" s="97">
        <f t="shared" si="31"/>
        <v>106</v>
      </c>
      <c r="AM145" s="97">
        <f t="shared" si="32"/>
        <v>125</v>
      </c>
      <c r="AN145" s="97">
        <f t="shared" si="33"/>
        <v>130</v>
      </c>
    </row>
    <row r="146" spans="1:40" ht="15.75" customHeight="1">
      <c r="A146" s="230"/>
      <c r="B146" s="4" t="s">
        <v>17</v>
      </c>
      <c r="C146" s="5"/>
      <c r="D146" s="5"/>
      <c r="E146" s="4">
        <v>0</v>
      </c>
      <c r="F146" s="4">
        <v>8</v>
      </c>
      <c r="G146" s="4">
        <v>13</v>
      </c>
      <c r="H146" s="4">
        <v>6</v>
      </c>
      <c r="I146" s="4">
        <v>8</v>
      </c>
      <c r="J146" s="4">
        <v>5</v>
      </c>
      <c r="K146" s="227"/>
      <c r="L146" s="4" t="s">
        <v>17</v>
      </c>
      <c r="M146" s="4">
        <v>5</v>
      </c>
      <c r="N146" s="4">
        <v>6</v>
      </c>
      <c r="O146" s="4">
        <v>2</v>
      </c>
      <c r="P146" s="4">
        <v>6</v>
      </c>
      <c r="Q146" s="4">
        <v>2</v>
      </c>
      <c r="R146" s="5"/>
      <c r="S146" s="5"/>
      <c r="T146" s="49"/>
      <c r="U146" s="60">
        <f t="shared" si="26"/>
        <v>61</v>
      </c>
      <c r="W146" s="55" t="s">
        <v>61</v>
      </c>
      <c r="X146" s="48">
        <f>SUM(U160:U165)</f>
        <v>773</v>
      </c>
      <c r="AG146" s="79" t="s">
        <v>15</v>
      </c>
      <c r="AH146" s="79">
        <f t="shared" si="27"/>
        <v>164</v>
      </c>
      <c r="AI146" s="79">
        <f t="shared" si="28"/>
        <v>0</v>
      </c>
      <c r="AJ146" s="79">
        <f t="shared" si="29"/>
        <v>292</v>
      </c>
      <c r="AK146" s="79">
        <f t="shared" si="30"/>
        <v>237</v>
      </c>
      <c r="AL146" s="79">
        <f t="shared" si="31"/>
        <v>334</v>
      </c>
      <c r="AM146" s="79">
        <f t="shared" si="32"/>
        <v>367</v>
      </c>
      <c r="AN146" s="79">
        <f t="shared" si="33"/>
        <v>274</v>
      </c>
    </row>
    <row r="147" spans="1:40" ht="15.75" customHeight="1">
      <c r="A147" s="230"/>
      <c r="B147" s="46" t="s">
        <v>18</v>
      </c>
      <c r="C147" s="64"/>
      <c r="D147" s="64"/>
      <c r="E147" s="46">
        <v>3</v>
      </c>
      <c r="F147" s="46">
        <v>7</v>
      </c>
      <c r="G147" s="46">
        <v>8</v>
      </c>
      <c r="H147" s="46">
        <v>6</v>
      </c>
      <c r="I147" s="46">
        <v>5</v>
      </c>
      <c r="J147" s="46">
        <v>8</v>
      </c>
      <c r="K147" s="227"/>
      <c r="L147" s="46" t="s">
        <v>18</v>
      </c>
      <c r="M147" s="46">
        <v>8</v>
      </c>
      <c r="N147" s="46">
        <v>7</v>
      </c>
      <c r="O147" s="46">
        <v>3</v>
      </c>
      <c r="P147" s="46">
        <v>4</v>
      </c>
      <c r="Q147" s="46">
        <v>2</v>
      </c>
      <c r="R147" s="64"/>
      <c r="S147" s="64"/>
      <c r="T147" s="65"/>
      <c r="U147" s="66">
        <f t="shared" si="26"/>
        <v>61</v>
      </c>
      <c r="W147" s="55" t="s">
        <v>9</v>
      </c>
      <c r="X147" s="48">
        <f>SUM(U166:U171)</f>
        <v>1058</v>
      </c>
      <c r="AG147" s="97" t="s">
        <v>16</v>
      </c>
      <c r="AH147" s="97">
        <f t="shared" si="27"/>
        <v>37</v>
      </c>
      <c r="AI147" s="97">
        <f t="shared" si="28"/>
        <v>0</v>
      </c>
      <c r="AJ147" s="97">
        <f t="shared" si="29"/>
        <v>85</v>
      </c>
      <c r="AK147" s="97">
        <f t="shared" si="30"/>
        <v>65</v>
      </c>
      <c r="AL147" s="97">
        <f t="shared" si="31"/>
        <v>96</v>
      </c>
      <c r="AM147" s="97">
        <f t="shared" si="32"/>
        <v>119</v>
      </c>
      <c r="AN147" s="97">
        <f t="shared" si="33"/>
        <v>80</v>
      </c>
    </row>
    <row r="148" spans="1:40" ht="15.75" customHeight="1">
      <c r="A148" s="193" t="s">
        <v>6</v>
      </c>
      <c r="B148" s="63" t="s">
        <v>13</v>
      </c>
      <c r="C148" s="57"/>
      <c r="D148" s="57"/>
      <c r="E148" s="57"/>
      <c r="F148" s="63"/>
      <c r="G148" s="63"/>
      <c r="H148" s="63"/>
      <c r="I148" s="63"/>
      <c r="J148" s="63"/>
      <c r="K148" s="194" t="s">
        <v>6</v>
      </c>
      <c r="L148" s="63" t="s">
        <v>13</v>
      </c>
      <c r="M148" s="63"/>
      <c r="N148" s="63"/>
      <c r="O148" s="63"/>
      <c r="P148" s="63"/>
      <c r="Q148" s="57"/>
      <c r="R148" s="57"/>
      <c r="S148" s="57"/>
      <c r="T148" s="58"/>
      <c r="U148" s="59">
        <f t="shared" si="26"/>
        <v>0</v>
      </c>
      <c r="W148" s="55" t="s">
        <v>10</v>
      </c>
      <c r="X148" s="48">
        <f>SUM(U172:U177)</f>
        <v>1167</v>
      </c>
      <c r="AG148" s="79" t="s">
        <v>17</v>
      </c>
      <c r="AH148" s="79">
        <f t="shared" si="27"/>
        <v>61</v>
      </c>
      <c r="AI148" s="79">
        <f t="shared" si="28"/>
        <v>0</v>
      </c>
      <c r="AJ148" s="79">
        <f t="shared" si="29"/>
        <v>84</v>
      </c>
      <c r="AK148" s="79">
        <f t="shared" si="30"/>
        <v>62</v>
      </c>
      <c r="AL148" s="79">
        <f t="shared" si="31"/>
        <v>95</v>
      </c>
      <c r="AM148" s="79">
        <f t="shared" si="32"/>
        <v>114</v>
      </c>
      <c r="AN148" s="79">
        <f t="shared" si="33"/>
        <v>90</v>
      </c>
    </row>
    <row r="149" spans="1:40" ht="15.75" customHeight="1">
      <c r="A149" s="230"/>
      <c r="B149" s="6" t="s">
        <v>14</v>
      </c>
      <c r="C149" s="5"/>
      <c r="D149" s="5"/>
      <c r="E149" s="5"/>
      <c r="F149" s="6"/>
      <c r="G149" s="6"/>
      <c r="H149" s="6"/>
      <c r="I149" s="6"/>
      <c r="J149" s="6"/>
      <c r="K149" s="227"/>
      <c r="L149" s="6" t="s">
        <v>14</v>
      </c>
      <c r="M149" s="6"/>
      <c r="N149" s="6"/>
      <c r="O149" s="6"/>
      <c r="P149" s="6"/>
      <c r="Q149" s="5"/>
      <c r="R149" s="5"/>
      <c r="S149" s="5"/>
      <c r="T149" s="49"/>
      <c r="U149" s="60">
        <f t="shared" si="26"/>
        <v>0</v>
      </c>
      <c r="W149" s="81" t="s">
        <v>11</v>
      </c>
      <c r="X149" s="80">
        <f>SUM(U178:U183)</f>
        <v>974</v>
      </c>
      <c r="AG149" s="97" t="s">
        <v>18</v>
      </c>
      <c r="AH149" s="97">
        <f t="shared" si="27"/>
        <v>61</v>
      </c>
      <c r="AI149" s="97">
        <f t="shared" si="28"/>
        <v>0</v>
      </c>
      <c r="AJ149" s="97">
        <f t="shared" si="29"/>
        <v>102</v>
      </c>
      <c r="AK149" s="97">
        <f t="shared" si="30"/>
        <v>68</v>
      </c>
      <c r="AL149" s="97">
        <f t="shared" si="31"/>
        <v>113</v>
      </c>
      <c r="AM149" s="97">
        <f t="shared" si="32"/>
        <v>130</v>
      </c>
      <c r="AN149" s="97">
        <f t="shared" si="33"/>
        <v>112</v>
      </c>
    </row>
    <row r="150" spans="1:40" ht="15.75" customHeight="1">
      <c r="A150" s="230"/>
      <c r="B150" s="6" t="s">
        <v>15</v>
      </c>
      <c r="C150" s="5"/>
      <c r="D150" s="5"/>
      <c r="E150" s="5"/>
      <c r="F150" s="6"/>
      <c r="G150" s="6"/>
      <c r="H150" s="6"/>
      <c r="I150" s="6"/>
      <c r="J150" s="6"/>
      <c r="K150" s="227"/>
      <c r="L150" s="6" t="s">
        <v>15</v>
      </c>
      <c r="M150" s="6"/>
      <c r="N150" s="6"/>
      <c r="O150" s="6"/>
      <c r="P150" s="6"/>
      <c r="Q150" s="5"/>
      <c r="R150" s="5"/>
      <c r="S150" s="5"/>
      <c r="T150" s="49"/>
      <c r="U150" s="60">
        <f t="shared" si="26"/>
        <v>0</v>
      </c>
      <c r="W150" s="79" t="s">
        <v>63</v>
      </c>
      <c r="X150" s="82">
        <f>SUM(X143:X149)</f>
        <v>5520</v>
      </c>
    </row>
    <row r="151" spans="1:40" ht="15.75" customHeight="1">
      <c r="A151" s="230"/>
      <c r="B151" s="6" t="s">
        <v>16</v>
      </c>
      <c r="C151" s="5"/>
      <c r="D151" s="5"/>
      <c r="E151" s="5"/>
      <c r="F151" s="6"/>
      <c r="G151" s="6"/>
      <c r="H151" s="6"/>
      <c r="I151" s="6"/>
      <c r="J151" s="6"/>
      <c r="K151" s="227"/>
      <c r="L151" s="6" t="s">
        <v>16</v>
      </c>
      <c r="M151" s="6"/>
      <c r="N151" s="6"/>
      <c r="O151" s="6"/>
      <c r="P151" s="6"/>
      <c r="Q151" s="5"/>
      <c r="R151" s="5"/>
      <c r="S151" s="5"/>
      <c r="T151" s="49"/>
      <c r="U151" s="60">
        <f t="shared" si="26"/>
        <v>0</v>
      </c>
    </row>
    <row r="152" spans="1:40" ht="15.75" customHeight="1">
      <c r="A152" s="230"/>
      <c r="B152" s="6" t="s">
        <v>17</v>
      </c>
      <c r="C152" s="5"/>
      <c r="D152" s="5"/>
      <c r="E152" s="5"/>
      <c r="F152" s="6"/>
      <c r="G152" s="6"/>
      <c r="H152" s="6"/>
      <c r="I152" s="6"/>
      <c r="J152" s="6"/>
      <c r="K152" s="227"/>
      <c r="L152" s="6" t="s">
        <v>17</v>
      </c>
      <c r="M152" s="6"/>
      <c r="N152" s="6"/>
      <c r="O152" s="6"/>
      <c r="P152" s="6"/>
      <c r="Q152" s="5"/>
      <c r="R152" s="5"/>
      <c r="S152" s="5"/>
      <c r="T152" s="49"/>
      <c r="U152" s="60">
        <f t="shared" si="26"/>
        <v>0</v>
      </c>
    </row>
    <row r="153" spans="1:40" ht="15.75" customHeight="1">
      <c r="A153" s="230"/>
      <c r="B153" s="47" t="s">
        <v>18</v>
      </c>
      <c r="C153" s="64"/>
      <c r="D153" s="64"/>
      <c r="E153" s="64"/>
      <c r="F153" s="47"/>
      <c r="G153" s="47"/>
      <c r="H153" s="47"/>
      <c r="I153" s="47"/>
      <c r="J153" s="47"/>
      <c r="K153" s="227"/>
      <c r="L153" s="47" t="s">
        <v>18</v>
      </c>
      <c r="M153" s="47"/>
      <c r="N153" s="47"/>
      <c r="O153" s="47"/>
      <c r="P153" s="47"/>
      <c r="Q153" s="64"/>
      <c r="R153" s="64"/>
      <c r="S153" s="64"/>
      <c r="T153" s="65"/>
      <c r="U153" s="66">
        <f t="shared" si="26"/>
        <v>0</v>
      </c>
    </row>
    <row r="154" spans="1:40" ht="15.75" customHeight="1">
      <c r="A154" s="195" t="s">
        <v>7</v>
      </c>
      <c r="B154" s="56" t="s">
        <v>13</v>
      </c>
      <c r="C154" s="56">
        <v>18</v>
      </c>
      <c r="D154" s="56">
        <v>32</v>
      </c>
      <c r="E154" s="56">
        <v>16</v>
      </c>
      <c r="F154" s="56">
        <v>21</v>
      </c>
      <c r="G154" s="56">
        <v>40</v>
      </c>
      <c r="H154" s="56">
        <v>37</v>
      </c>
      <c r="I154" s="56">
        <v>31</v>
      </c>
      <c r="J154" s="56">
        <v>22</v>
      </c>
      <c r="K154" s="196" t="s">
        <v>7</v>
      </c>
      <c r="L154" s="56" t="s">
        <v>13</v>
      </c>
      <c r="M154" s="56">
        <v>19</v>
      </c>
      <c r="N154" s="56">
        <v>22</v>
      </c>
      <c r="O154" s="56">
        <v>41</v>
      </c>
      <c r="P154" s="56">
        <v>25</v>
      </c>
      <c r="Q154" s="56">
        <v>28</v>
      </c>
      <c r="R154" s="56">
        <v>26</v>
      </c>
      <c r="S154" s="56">
        <v>26</v>
      </c>
      <c r="T154" s="67">
        <v>21</v>
      </c>
      <c r="U154" s="59">
        <f t="shared" si="26"/>
        <v>302</v>
      </c>
    </row>
    <row r="155" spans="1:40" ht="15.75" customHeight="1">
      <c r="A155" s="230"/>
      <c r="B155" s="4" t="s">
        <v>14</v>
      </c>
      <c r="C155" s="4">
        <v>7</v>
      </c>
      <c r="D155" s="4">
        <v>9</v>
      </c>
      <c r="E155" s="4">
        <v>11</v>
      </c>
      <c r="F155" s="4">
        <v>11</v>
      </c>
      <c r="G155" s="4">
        <v>13</v>
      </c>
      <c r="H155" s="4">
        <v>13</v>
      </c>
      <c r="I155" s="4">
        <v>8</v>
      </c>
      <c r="J155" s="4">
        <v>11</v>
      </c>
      <c r="K155" s="227"/>
      <c r="L155" s="4" t="s">
        <v>14</v>
      </c>
      <c r="M155" s="4">
        <v>12</v>
      </c>
      <c r="N155" s="4">
        <v>14</v>
      </c>
      <c r="O155" s="4">
        <v>12</v>
      </c>
      <c r="P155" s="4">
        <v>6</v>
      </c>
      <c r="Q155" s="4">
        <v>8</v>
      </c>
      <c r="R155" s="4">
        <v>7</v>
      </c>
      <c r="S155" s="4">
        <v>9</v>
      </c>
      <c r="T155" s="50">
        <v>5</v>
      </c>
      <c r="U155" s="60">
        <f t="shared" si="26"/>
        <v>119</v>
      </c>
    </row>
    <row r="156" spans="1:40" ht="15.75" customHeight="1">
      <c r="A156" s="230"/>
      <c r="B156" s="4" t="s">
        <v>15</v>
      </c>
      <c r="C156" s="4">
        <v>22</v>
      </c>
      <c r="D156" s="4">
        <v>21</v>
      </c>
      <c r="E156" s="4">
        <v>19</v>
      </c>
      <c r="F156" s="4">
        <v>25</v>
      </c>
      <c r="G156" s="4">
        <v>29</v>
      </c>
      <c r="H156" s="4">
        <v>33</v>
      </c>
      <c r="I156" s="4">
        <v>24</v>
      </c>
      <c r="J156" s="4">
        <v>27</v>
      </c>
      <c r="K156" s="227"/>
      <c r="L156" s="4" t="s">
        <v>15</v>
      </c>
      <c r="M156" s="4">
        <v>19</v>
      </c>
      <c r="N156" s="4">
        <v>15</v>
      </c>
      <c r="O156" s="4">
        <v>26</v>
      </c>
      <c r="P156" s="4">
        <v>41</v>
      </c>
      <c r="Q156" s="4">
        <v>34</v>
      </c>
      <c r="R156" s="4">
        <v>28</v>
      </c>
      <c r="S156" s="4">
        <v>32</v>
      </c>
      <c r="T156" s="50">
        <v>26</v>
      </c>
      <c r="U156" s="60">
        <f t="shared" si="26"/>
        <v>292</v>
      </c>
    </row>
    <row r="157" spans="1:40" ht="15.75" customHeight="1">
      <c r="A157" s="230"/>
      <c r="B157" s="4" t="s">
        <v>16</v>
      </c>
      <c r="C157" s="4">
        <v>8</v>
      </c>
      <c r="D157" s="4">
        <v>8</v>
      </c>
      <c r="E157" s="4">
        <v>6</v>
      </c>
      <c r="F157" s="4">
        <v>9</v>
      </c>
      <c r="G157" s="4">
        <v>9</v>
      </c>
      <c r="H157" s="4">
        <v>7</v>
      </c>
      <c r="I157" s="4">
        <v>8</v>
      </c>
      <c r="J157" s="4">
        <v>3</v>
      </c>
      <c r="K157" s="227"/>
      <c r="L157" s="4" t="s">
        <v>16</v>
      </c>
      <c r="M157" s="4">
        <v>9</v>
      </c>
      <c r="N157" s="4">
        <v>4</v>
      </c>
      <c r="O157" s="4">
        <v>20</v>
      </c>
      <c r="P157" s="4">
        <v>7</v>
      </c>
      <c r="Q157" s="4">
        <v>3</v>
      </c>
      <c r="R157" s="4">
        <v>10</v>
      </c>
      <c r="S157" s="4">
        <v>7</v>
      </c>
      <c r="T157" s="50">
        <v>4</v>
      </c>
      <c r="U157" s="60">
        <f t="shared" si="26"/>
        <v>85</v>
      </c>
    </row>
    <row r="158" spans="1:40" ht="15.75" customHeight="1">
      <c r="A158" s="230"/>
      <c r="B158" s="4" t="s">
        <v>17</v>
      </c>
      <c r="C158" s="4">
        <v>17</v>
      </c>
      <c r="D158" s="4">
        <v>9</v>
      </c>
      <c r="E158" s="4">
        <v>7</v>
      </c>
      <c r="F158" s="4">
        <v>7</v>
      </c>
      <c r="G158" s="4">
        <v>7</v>
      </c>
      <c r="H158" s="4">
        <v>8</v>
      </c>
      <c r="I158" s="4">
        <v>5</v>
      </c>
      <c r="J158" s="4">
        <v>6</v>
      </c>
      <c r="K158" s="227"/>
      <c r="L158" s="4" t="s">
        <v>17</v>
      </c>
      <c r="M158" s="4">
        <v>7</v>
      </c>
      <c r="N158" s="4">
        <v>7</v>
      </c>
      <c r="O158" s="4">
        <v>6</v>
      </c>
      <c r="P158" s="4">
        <v>13</v>
      </c>
      <c r="Q158" s="4">
        <v>11</v>
      </c>
      <c r="R158" s="4">
        <v>2</v>
      </c>
      <c r="S158" s="4">
        <v>9</v>
      </c>
      <c r="T158" s="50">
        <v>2</v>
      </c>
      <c r="U158" s="60">
        <f t="shared" si="26"/>
        <v>84</v>
      </c>
    </row>
    <row r="159" spans="1:40" ht="15.75" customHeight="1">
      <c r="A159" s="230"/>
      <c r="B159" s="46" t="s">
        <v>18</v>
      </c>
      <c r="C159" s="46">
        <v>22</v>
      </c>
      <c r="D159" s="46">
        <v>9</v>
      </c>
      <c r="E159" s="46">
        <v>6</v>
      </c>
      <c r="F159" s="46">
        <v>5</v>
      </c>
      <c r="G159" s="46">
        <v>13</v>
      </c>
      <c r="H159" s="46">
        <v>15</v>
      </c>
      <c r="I159" s="46">
        <v>9</v>
      </c>
      <c r="J159" s="46">
        <v>9</v>
      </c>
      <c r="K159" s="227"/>
      <c r="L159" s="46" t="s">
        <v>18</v>
      </c>
      <c r="M159" s="46">
        <v>6</v>
      </c>
      <c r="N159" s="46">
        <v>10</v>
      </c>
      <c r="O159" s="46">
        <v>8</v>
      </c>
      <c r="P159" s="46">
        <v>12</v>
      </c>
      <c r="Q159" s="46">
        <v>9</v>
      </c>
      <c r="R159" s="46">
        <v>10</v>
      </c>
      <c r="S159" s="46">
        <v>9</v>
      </c>
      <c r="T159" s="69">
        <v>7</v>
      </c>
      <c r="U159" s="66">
        <f t="shared" si="26"/>
        <v>102</v>
      </c>
    </row>
    <row r="160" spans="1:40" ht="15.75" customHeight="1">
      <c r="A160" s="193" t="s">
        <v>8</v>
      </c>
      <c r="B160" s="63" t="s">
        <v>13</v>
      </c>
      <c r="C160" s="63">
        <v>26</v>
      </c>
      <c r="D160" s="63">
        <v>21</v>
      </c>
      <c r="E160" s="63">
        <v>18</v>
      </c>
      <c r="F160" s="63">
        <v>32</v>
      </c>
      <c r="G160" s="63">
        <v>29</v>
      </c>
      <c r="H160" s="63">
        <v>21</v>
      </c>
      <c r="I160" s="63">
        <v>25</v>
      </c>
      <c r="J160" s="63">
        <v>15</v>
      </c>
      <c r="K160" s="194" t="s">
        <v>8</v>
      </c>
      <c r="L160" s="63" t="s">
        <v>13</v>
      </c>
      <c r="M160" s="63">
        <v>17</v>
      </c>
      <c r="N160" s="63">
        <v>14</v>
      </c>
      <c r="O160" s="63">
        <v>14</v>
      </c>
      <c r="P160" s="63">
        <v>23</v>
      </c>
      <c r="Q160" s="63">
        <v>31</v>
      </c>
      <c r="R160" s="63">
        <v>19</v>
      </c>
      <c r="S160" s="63">
        <v>11</v>
      </c>
      <c r="T160" s="68">
        <v>18</v>
      </c>
      <c r="U160" s="59">
        <f t="shared" si="26"/>
        <v>239</v>
      </c>
    </row>
    <row r="161" spans="1:21" ht="15.75" customHeight="1">
      <c r="A161" s="230"/>
      <c r="B161" s="6" t="s">
        <v>14</v>
      </c>
      <c r="C161" s="6">
        <v>5</v>
      </c>
      <c r="D161" s="6">
        <v>4</v>
      </c>
      <c r="E161" s="6">
        <v>13</v>
      </c>
      <c r="F161" s="6">
        <v>12</v>
      </c>
      <c r="G161" s="6">
        <v>14</v>
      </c>
      <c r="H161" s="6">
        <v>15</v>
      </c>
      <c r="I161" s="6">
        <v>10</v>
      </c>
      <c r="J161" s="6">
        <v>8</v>
      </c>
      <c r="K161" s="227"/>
      <c r="L161" s="6" t="s">
        <v>14</v>
      </c>
      <c r="M161" s="6">
        <v>8</v>
      </c>
      <c r="N161" s="6">
        <v>7</v>
      </c>
      <c r="O161" s="6">
        <v>6</v>
      </c>
      <c r="P161" s="6">
        <v>4</v>
      </c>
      <c r="Q161" s="6">
        <v>5</v>
      </c>
      <c r="R161" s="6">
        <v>5</v>
      </c>
      <c r="S161" s="6">
        <v>5</v>
      </c>
      <c r="T161" s="51">
        <v>2</v>
      </c>
      <c r="U161" s="60">
        <f t="shared" si="26"/>
        <v>102</v>
      </c>
    </row>
    <row r="162" spans="1:21" ht="15.75" customHeight="1">
      <c r="A162" s="230"/>
      <c r="B162" s="6" t="s">
        <v>15</v>
      </c>
      <c r="C162" s="6">
        <v>18</v>
      </c>
      <c r="D162" s="6">
        <v>20</v>
      </c>
      <c r="E162" s="6">
        <v>15</v>
      </c>
      <c r="F162" s="6">
        <v>19</v>
      </c>
      <c r="G162" s="6">
        <v>18</v>
      </c>
      <c r="H162" s="6">
        <v>15</v>
      </c>
      <c r="I162" s="6">
        <v>17</v>
      </c>
      <c r="J162" s="6">
        <v>13</v>
      </c>
      <c r="K162" s="227"/>
      <c r="L162" s="6" t="s">
        <v>15</v>
      </c>
      <c r="M162" s="6">
        <v>25</v>
      </c>
      <c r="N162" s="6">
        <v>25</v>
      </c>
      <c r="O162" s="6">
        <v>24</v>
      </c>
      <c r="P162" s="6">
        <v>34</v>
      </c>
      <c r="Q162" s="6">
        <v>32</v>
      </c>
      <c r="R162" s="6">
        <v>30</v>
      </c>
      <c r="S162" s="6">
        <v>31</v>
      </c>
      <c r="T162" s="51">
        <v>20</v>
      </c>
      <c r="U162" s="60">
        <f t="shared" si="26"/>
        <v>237</v>
      </c>
    </row>
    <row r="163" spans="1:21" ht="15.75" customHeight="1">
      <c r="A163" s="230"/>
      <c r="B163" s="6" t="s">
        <v>16</v>
      </c>
      <c r="C163" s="6">
        <v>5</v>
      </c>
      <c r="D163" s="6">
        <v>6</v>
      </c>
      <c r="E163" s="6">
        <v>4</v>
      </c>
      <c r="F163" s="6">
        <v>11</v>
      </c>
      <c r="G163" s="6">
        <v>10</v>
      </c>
      <c r="H163" s="6">
        <v>13</v>
      </c>
      <c r="I163" s="6">
        <v>3</v>
      </c>
      <c r="J163" s="6">
        <v>3</v>
      </c>
      <c r="K163" s="227"/>
      <c r="L163" s="6" t="s">
        <v>16</v>
      </c>
      <c r="M163" s="6">
        <v>3</v>
      </c>
      <c r="N163" s="6">
        <v>4</v>
      </c>
      <c r="O163" s="6">
        <v>3</v>
      </c>
      <c r="P163" s="6">
        <v>5</v>
      </c>
      <c r="Q163" s="6">
        <v>6</v>
      </c>
      <c r="R163" s="6">
        <v>5</v>
      </c>
      <c r="S163" s="6">
        <v>1</v>
      </c>
      <c r="T163" s="51">
        <v>5</v>
      </c>
      <c r="U163" s="60">
        <f t="shared" si="26"/>
        <v>65</v>
      </c>
    </row>
    <row r="164" spans="1:21" ht="15.75" customHeight="1">
      <c r="A164" s="230"/>
      <c r="B164" s="6" t="s">
        <v>17</v>
      </c>
      <c r="C164" s="6">
        <v>9</v>
      </c>
      <c r="D164" s="6">
        <v>7</v>
      </c>
      <c r="E164" s="6">
        <v>10</v>
      </c>
      <c r="F164" s="6">
        <v>6</v>
      </c>
      <c r="G164" s="6">
        <v>7</v>
      </c>
      <c r="H164" s="6">
        <v>7</v>
      </c>
      <c r="I164" s="6">
        <v>6</v>
      </c>
      <c r="J164" s="6">
        <v>5</v>
      </c>
      <c r="K164" s="227"/>
      <c r="L164" s="6" t="s">
        <v>17</v>
      </c>
      <c r="M164" s="6">
        <v>6</v>
      </c>
      <c r="N164" s="6">
        <v>3</v>
      </c>
      <c r="O164" s="6">
        <v>2</v>
      </c>
      <c r="P164" s="6">
        <v>5</v>
      </c>
      <c r="Q164" s="6">
        <v>5</v>
      </c>
      <c r="R164" s="6">
        <v>5</v>
      </c>
      <c r="S164" s="6">
        <v>7</v>
      </c>
      <c r="T164" s="51">
        <v>6</v>
      </c>
      <c r="U164" s="60">
        <f t="shared" si="26"/>
        <v>62</v>
      </c>
    </row>
    <row r="165" spans="1:21" ht="15.75" customHeight="1">
      <c r="A165" s="230"/>
      <c r="B165" s="47" t="s">
        <v>18</v>
      </c>
      <c r="C165" s="47">
        <v>17</v>
      </c>
      <c r="D165" s="47">
        <v>6</v>
      </c>
      <c r="E165" s="47">
        <v>5</v>
      </c>
      <c r="F165" s="47">
        <v>8</v>
      </c>
      <c r="G165" s="47">
        <v>5</v>
      </c>
      <c r="H165" s="47">
        <v>6</v>
      </c>
      <c r="I165" s="47">
        <v>5</v>
      </c>
      <c r="J165" s="47">
        <v>7</v>
      </c>
      <c r="K165" s="227"/>
      <c r="L165" s="47" t="s">
        <v>18</v>
      </c>
      <c r="M165" s="47">
        <v>8</v>
      </c>
      <c r="N165" s="47">
        <v>3</v>
      </c>
      <c r="O165" s="47">
        <v>7</v>
      </c>
      <c r="P165" s="47">
        <v>8</v>
      </c>
      <c r="Q165" s="47">
        <v>6</v>
      </c>
      <c r="R165" s="47">
        <v>10</v>
      </c>
      <c r="S165" s="47">
        <v>6</v>
      </c>
      <c r="T165" s="70">
        <v>3</v>
      </c>
      <c r="U165" s="66">
        <f t="shared" si="26"/>
        <v>68</v>
      </c>
    </row>
    <row r="166" spans="1:21" ht="15.75" customHeight="1">
      <c r="A166" s="195" t="s">
        <v>9</v>
      </c>
      <c r="B166" s="56" t="s">
        <v>13</v>
      </c>
      <c r="C166" s="56">
        <v>18</v>
      </c>
      <c r="D166" s="56">
        <v>32</v>
      </c>
      <c r="E166" s="56">
        <v>16</v>
      </c>
      <c r="F166" s="56">
        <v>21</v>
      </c>
      <c r="G166" s="56">
        <v>41</v>
      </c>
      <c r="H166" s="56">
        <v>31</v>
      </c>
      <c r="I166" s="56">
        <v>36</v>
      </c>
      <c r="J166" s="56">
        <v>17</v>
      </c>
      <c r="K166" s="196" t="s">
        <v>9</v>
      </c>
      <c r="L166" s="56" t="s">
        <v>13</v>
      </c>
      <c r="M166" s="56">
        <v>14</v>
      </c>
      <c r="N166" s="56">
        <v>13</v>
      </c>
      <c r="O166" s="56">
        <v>10</v>
      </c>
      <c r="P166" s="56">
        <v>12</v>
      </c>
      <c r="Q166" s="56">
        <v>15</v>
      </c>
      <c r="R166" s="56">
        <v>17</v>
      </c>
      <c r="S166" s="56">
        <v>12</v>
      </c>
      <c r="T166" s="67">
        <v>9</v>
      </c>
      <c r="U166" s="62">
        <f t="shared" ref="U166:U182" si="34">SUM(M166:T166,C166:J166)</f>
        <v>314</v>
      </c>
    </row>
    <row r="167" spans="1:21" ht="15.75" customHeight="1">
      <c r="A167" s="230"/>
      <c r="B167" s="4" t="s">
        <v>14</v>
      </c>
      <c r="C167" s="4">
        <v>7</v>
      </c>
      <c r="D167" s="4">
        <v>9</v>
      </c>
      <c r="E167" s="4">
        <v>11</v>
      </c>
      <c r="F167" s="4">
        <v>11</v>
      </c>
      <c r="G167" s="4">
        <v>12</v>
      </c>
      <c r="H167" s="4">
        <v>10</v>
      </c>
      <c r="I167" s="4">
        <v>7</v>
      </c>
      <c r="J167" s="4">
        <v>3</v>
      </c>
      <c r="K167" s="227"/>
      <c r="L167" s="4" t="s">
        <v>14</v>
      </c>
      <c r="M167" s="4">
        <v>7</v>
      </c>
      <c r="N167" s="4">
        <v>4</v>
      </c>
      <c r="O167" s="4">
        <v>5</v>
      </c>
      <c r="P167" s="4">
        <v>6</v>
      </c>
      <c r="Q167" s="4">
        <v>4</v>
      </c>
      <c r="R167" s="4">
        <v>4</v>
      </c>
      <c r="S167" s="4">
        <v>5</v>
      </c>
      <c r="T167" s="50">
        <v>1</v>
      </c>
      <c r="U167" s="62">
        <f t="shared" si="34"/>
        <v>106</v>
      </c>
    </row>
    <row r="168" spans="1:21" ht="15.75" customHeight="1">
      <c r="A168" s="230"/>
      <c r="B168" s="4" t="s">
        <v>15</v>
      </c>
      <c r="C168" s="4">
        <v>22</v>
      </c>
      <c r="D168" s="4">
        <v>21</v>
      </c>
      <c r="E168" s="4">
        <v>19</v>
      </c>
      <c r="F168" s="4">
        <v>25</v>
      </c>
      <c r="G168" s="4">
        <v>26</v>
      </c>
      <c r="H168" s="4">
        <v>21</v>
      </c>
      <c r="I168" s="4">
        <v>19</v>
      </c>
      <c r="J168" s="4">
        <v>22</v>
      </c>
      <c r="K168" s="227"/>
      <c r="L168" s="4" t="s">
        <v>15</v>
      </c>
      <c r="M168" s="4">
        <v>24</v>
      </c>
      <c r="N168" s="4">
        <v>26</v>
      </c>
      <c r="O168" s="4">
        <v>25</v>
      </c>
      <c r="P168" s="4">
        <v>13</v>
      </c>
      <c r="Q168" s="4">
        <v>10</v>
      </c>
      <c r="R168" s="4">
        <v>26</v>
      </c>
      <c r="S168" s="4">
        <v>19</v>
      </c>
      <c r="T168" s="50">
        <v>16</v>
      </c>
      <c r="U168" s="62">
        <f t="shared" si="34"/>
        <v>334</v>
      </c>
    </row>
    <row r="169" spans="1:21" ht="15.75" customHeight="1">
      <c r="A169" s="230"/>
      <c r="B169" s="4" t="s">
        <v>16</v>
      </c>
      <c r="C169" s="4">
        <v>8</v>
      </c>
      <c r="D169" s="4">
        <v>8</v>
      </c>
      <c r="E169" s="4">
        <v>6</v>
      </c>
      <c r="F169" s="4">
        <v>9</v>
      </c>
      <c r="G169" s="4">
        <v>20</v>
      </c>
      <c r="H169" s="4">
        <v>10</v>
      </c>
      <c r="I169" s="4">
        <v>12</v>
      </c>
      <c r="J169" s="4">
        <v>2</v>
      </c>
      <c r="K169" s="227"/>
      <c r="L169" s="4" t="s">
        <v>16</v>
      </c>
      <c r="M169" s="4">
        <v>2</v>
      </c>
      <c r="N169" s="4">
        <v>3</v>
      </c>
      <c r="O169" s="4">
        <v>2</v>
      </c>
      <c r="P169" s="4">
        <v>2</v>
      </c>
      <c r="Q169" s="4">
        <v>3</v>
      </c>
      <c r="R169" s="4">
        <v>4</v>
      </c>
      <c r="S169" s="4">
        <v>5</v>
      </c>
      <c r="T169" s="50">
        <v>0</v>
      </c>
      <c r="U169" s="62">
        <f t="shared" si="34"/>
        <v>96</v>
      </c>
    </row>
    <row r="170" spans="1:21" ht="15.75" customHeight="1">
      <c r="A170" s="230"/>
      <c r="B170" s="4" t="s">
        <v>17</v>
      </c>
      <c r="C170" s="4">
        <v>17</v>
      </c>
      <c r="D170" s="4">
        <v>9</v>
      </c>
      <c r="E170" s="4">
        <v>7</v>
      </c>
      <c r="F170" s="4">
        <v>7</v>
      </c>
      <c r="G170" s="4">
        <v>6</v>
      </c>
      <c r="H170" s="4">
        <v>5</v>
      </c>
      <c r="I170" s="4">
        <v>5</v>
      </c>
      <c r="J170" s="4">
        <v>11</v>
      </c>
      <c r="K170" s="227"/>
      <c r="L170" s="4" t="s">
        <v>17</v>
      </c>
      <c r="M170" s="4">
        <v>4</v>
      </c>
      <c r="N170" s="4">
        <v>3</v>
      </c>
      <c r="O170" s="4">
        <v>2</v>
      </c>
      <c r="P170" s="4">
        <v>5</v>
      </c>
      <c r="Q170" s="4">
        <v>5</v>
      </c>
      <c r="R170" s="4">
        <v>3</v>
      </c>
      <c r="S170" s="4">
        <v>6</v>
      </c>
      <c r="T170" s="50">
        <v>0</v>
      </c>
      <c r="U170" s="62">
        <f t="shared" si="34"/>
        <v>95</v>
      </c>
    </row>
    <row r="171" spans="1:21" ht="15.75" customHeight="1">
      <c r="A171" s="230"/>
      <c r="B171" s="46" t="s">
        <v>18</v>
      </c>
      <c r="C171" s="46">
        <v>22</v>
      </c>
      <c r="D171" s="46">
        <v>9</v>
      </c>
      <c r="E171" s="46">
        <v>6</v>
      </c>
      <c r="F171" s="46">
        <v>5</v>
      </c>
      <c r="G171" s="46">
        <v>8</v>
      </c>
      <c r="H171" s="46">
        <v>6</v>
      </c>
      <c r="I171" s="46">
        <v>8</v>
      </c>
      <c r="J171" s="46">
        <v>10</v>
      </c>
      <c r="K171" s="227"/>
      <c r="L171" s="46" t="s">
        <v>18</v>
      </c>
      <c r="M171" s="46">
        <v>3</v>
      </c>
      <c r="N171" s="46">
        <v>4</v>
      </c>
      <c r="O171" s="46">
        <v>4</v>
      </c>
      <c r="P171" s="46">
        <v>5</v>
      </c>
      <c r="Q171" s="46">
        <v>7</v>
      </c>
      <c r="R171" s="46">
        <v>1</v>
      </c>
      <c r="S171" s="46">
        <v>8</v>
      </c>
      <c r="T171" s="69">
        <v>7</v>
      </c>
      <c r="U171" s="62">
        <f t="shared" si="34"/>
        <v>113</v>
      </c>
    </row>
    <row r="172" spans="1:21" ht="15.75" customHeight="1">
      <c r="A172" s="193" t="s">
        <v>10</v>
      </c>
      <c r="B172" s="63" t="s">
        <v>13</v>
      </c>
      <c r="C172" s="121">
        <v>17</v>
      </c>
      <c r="D172" s="121">
        <v>18</v>
      </c>
      <c r="E172" s="121">
        <v>13</v>
      </c>
      <c r="F172" s="121">
        <v>21</v>
      </c>
      <c r="G172" s="121">
        <v>30</v>
      </c>
      <c r="H172" s="121">
        <v>30</v>
      </c>
      <c r="I172" s="121">
        <v>25</v>
      </c>
      <c r="J172" s="121">
        <v>16</v>
      </c>
      <c r="K172" s="194" t="s">
        <v>10</v>
      </c>
      <c r="L172" s="63" t="s">
        <v>13</v>
      </c>
      <c r="M172" s="121">
        <v>24</v>
      </c>
      <c r="N172" s="121">
        <v>19</v>
      </c>
      <c r="O172" s="121">
        <v>22</v>
      </c>
      <c r="P172" s="121">
        <v>11</v>
      </c>
      <c r="Q172" s="121">
        <v>18</v>
      </c>
      <c r="R172" s="121">
        <v>19</v>
      </c>
      <c r="S172" s="121">
        <v>21</v>
      </c>
      <c r="T172" s="124">
        <v>8</v>
      </c>
      <c r="U172" s="62">
        <f t="shared" si="34"/>
        <v>312</v>
      </c>
    </row>
    <row r="173" spans="1:21" ht="15.75" customHeight="1">
      <c r="A173" s="230"/>
      <c r="B173" s="6" t="s">
        <v>14</v>
      </c>
      <c r="C173" s="122">
        <v>4</v>
      </c>
      <c r="D173" s="122">
        <v>5</v>
      </c>
      <c r="E173" s="122">
        <v>6</v>
      </c>
      <c r="F173" s="122">
        <v>10</v>
      </c>
      <c r="G173" s="122">
        <v>12</v>
      </c>
      <c r="H173" s="122">
        <v>15</v>
      </c>
      <c r="I173" s="122">
        <v>10</v>
      </c>
      <c r="J173" s="122">
        <v>9</v>
      </c>
      <c r="K173" s="227"/>
      <c r="L173" s="6" t="s">
        <v>14</v>
      </c>
      <c r="M173" s="122">
        <v>8</v>
      </c>
      <c r="N173" s="122">
        <v>10</v>
      </c>
      <c r="O173" s="122">
        <v>7</v>
      </c>
      <c r="P173" s="122">
        <v>6</v>
      </c>
      <c r="Q173" s="122">
        <v>6</v>
      </c>
      <c r="R173" s="122">
        <v>7</v>
      </c>
      <c r="S173" s="122">
        <v>6</v>
      </c>
      <c r="T173" s="125">
        <v>4</v>
      </c>
      <c r="U173" s="62">
        <f t="shared" si="34"/>
        <v>125</v>
      </c>
    </row>
    <row r="174" spans="1:21" ht="15.75" customHeight="1">
      <c r="A174" s="230"/>
      <c r="B174" s="6" t="s">
        <v>15</v>
      </c>
      <c r="C174" s="122">
        <v>13</v>
      </c>
      <c r="D174" s="122">
        <v>14</v>
      </c>
      <c r="E174" s="122">
        <v>19</v>
      </c>
      <c r="F174" s="122">
        <v>18</v>
      </c>
      <c r="G174" s="122">
        <v>22</v>
      </c>
      <c r="H174" s="122">
        <v>20</v>
      </c>
      <c r="I174" s="122">
        <v>22</v>
      </c>
      <c r="J174" s="122">
        <v>32</v>
      </c>
      <c r="K174" s="227"/>
      <c r="L174" s="6" t="s">
        <v>15</v>
      </c>
      <c r="M174" s="122">
        <v>31</v>
      </c>
      <c r="N174" s="122">
        <v>30</v>
      </c>
      <c r="O174" s="122">
        <v>28</v>
      </c>
      <c r="P174" s="122">
        <v>27</v>
      </c>
      <c r="Q174" s="122">
        <v>20</v>
      </c>
      <c r="R174" s="122">
        <v>22</v>
      </c>
      <c r="S174" s="122">
        <v>25</v>
      </c>
      <c r="T174" s="125">
        <v>24</v>
      </c>
      <c r="U174" s="62">
        <f t="shared" si="34"/>
        <v>367</v>
      </c>
    </row>
    <row r="175" spans="1:21" ht="15.75" customHeight="1">
      <c r="A175" s="230"/>
      <c r="B175" s="6" t="s">
        <v>16</v>
      </c>
      <c r="C175" s="122">
        <v>5</v>
      </c>
      <c r="D175" s="122">
        <v>7</v>
      </c>
      <c r="E175" s="122">
        <v>4</v>
      </c>
      <c r="F175" s="122">
        <v>11</v>
      </c>
      <c r="G175" s="122">
        <v>19</v>
      </c>
      <c r="H175" s="122">
        <v>15</v>
      </c>
      <c r="I175" s="122">
        <v>12</v>
      </c>
      <c r="J175" s="122">
        <v>8</v>
      </c>
      <c r="K175" s="227"/>
      <c r="L175" s="6" t="s">
        <v>16</v>
      </c>
      <c r="M175" s="122">
        <v>6</v>
      </c>
      <c r="N175" s="122">
        <v>2</v>
      </c>
      <c r="O175" s="122">
        <v>7</v>
      </c>
      <c r="P175" s="122">
        <v>4</v>
      </c>
      <c r="Q175" s="122">
        <v>8</v>
      </c>
      <c r="R175" s="122">
        <v>7</v>
      </c>
      <c r="S175" s="122">
        <v>2</v>
      </c>
      <c r="T175" s="125">
        <v>2</v>
      </c>
      <c r="U175" s="62">
        <f t="shared" si="34"/>
        <v>119</v>
      </c>
    </row>
    <row r="176" spans="1:21" ht="15.75" customHeight="1">
      <c r="A176" s="230"/>
      <c r="B176" s="6" t="s">
        <v>17</v>
      </c>
      <c r="C176" s="122">
        <v>4</v>
      </c>
      <c r="D176" s="122">
        <v>8</v>
      </c>
      <c r="E176" s="122">
        <v>6</v>
      </c>
      <c r="F176" s="122">
        <v>7</v>
      </c>
      <c r="G176" s="122">
        <v>12</v>
      </c>
      <c r="H176" s="122">
        <v>10</v>
      </c>
      <c r="I176" s="122">
        <v>11</v>
      </c>
      <c r="J176" s="122">
        <v>7</v>
      </c>
      <c r="K176" s="227"/>
      <c r="L176" s="6" t="s">
        <v>17</v>
      </c>
      <c r="M176" s="122">
        <v>9</v>
      </c>
      <c r="N176" s="122">
        <v>6</v>
      </c>
      <c r="O176" s="122">
        <v>8</v>
      </c>
      <c r="P176" s="122">
        <v>7</v>
      </c>
      <c r="Q176" s="122">
        <v>6</v>
      </c>
      <c r="R176" s="122">
        <v>8</v>
      </c>
      <c r="S176" s="122">
        <v>3</v>
      </c>
      <c r="T176" s="125">
        <v>2</v>
      </c>
      <c r="U176" s="62">
        <f t="shared" si="34"/>
        <v>114</v>
      </c>
    </row>
    <row r="177" spans="1:40" ht="15.75" customHeight="1">
      <c r="A177" s="230"/>
      <c r="B177" s="47" t="s">
        <v>18</v>
      </c>
      <c r="C177" s="123">
        <v>16</v>
      </c>
      <c r="D177" s="123">
        <v>4</v>
      </c>
      <c r="E177" s="123">
        <v>7</v>
      </c>
      <c r="F177" s="123">
        <v>5</v>
      </c>
      <c r="G177" s="123">
        <v>8</v>
      </c>
      <c r="H177" s="123">
        <v>10</v>
      </c>
      <c r="I177" s="123">
        <v>9</v>
      </c>
      <c r="J177" s="123">
        <v>9</v>
      </c>
      <c r="K177" s="227"/>
      <c r="L177" s="47" t="s">
        <v>18</v>
      </c>
      <c r="M177" s="123">
        <v>15</v>
      </c>
      <c r="N177" s="123">
        <v>7</v>
      </c>
      <c r="O177" s="123">
        <v>5</v>
      </c>
      <c r="P177" s="123">
        <v>6</v>
      </c>
      <c r="Q177" s="123">
        <v>10</v>
      </c>
      <c r="R177" s="123">
        <v>9</v>
      </c>
      <c r="S177" s="123">
        <v>8</v>
      </c>
      <c r="T177" s="126">
        <v>2</v>
      </c>
      <c r="U177" s="62">
        <f t="shared" si="34"/>
        <v>130</v>
      </c>
    </row>
    <row r="178" spans="1:40" ht="15.75" customHeight="1">
      <c r="A178" s="195" t="s">
        <v>11</v>
      </c>
      <c r="B178" s="56" t="s">
        <v>13</v>
      </c>
      <c r="C178" s="73">
        <v>6</v>
      </c>
      <c r="D178" s="73">
        <v>21</v>
      </c>
      <c r="E178" s="73">
        <v>17</v>
      </c>
      <c r="F178" s="73">
        <v>31</v>
      </c>
      <c r="G178" s="73">
        <v>32</v>
      </c>
      <c r="H178" s="73">
        <v>25</v>
      </c>
      <c r="I178" s="73">
        <v>34</v>
      </c>
      <c r="J178" s="73">
        <v>17</v>
      </c>
      <c r="K178" s="196" t="s">
        <v>11</v>
      </c>
      <c r="L178" s="56" t="s">
        <v>13</v>
      </c>
      <c r="M178" s="73">
        <v>6</v>
      </c>
      <c r="N178" s="73">
        <v>17</v>
      </c>
      <c r="O178" s="73">
        <v>17</v>
      </c>
      <c r="P178" s="73">
        <v>18</v>
      </c>
      <c r="Q178" s="73">
        <v>17</v>
      </c>
      <c r="R178" s="73">
        <v>15</v>
      </c>
      <c r="S178" s="73">
        <v>7</v>
      </c>
      <c r="T178" s="74">
        <v>8</v>
      </c>
      <c r="U178" s="62">
        <f t="shared" si="34"/>
        <v>288</v>
      </c>
    </row>
    <row r="179" spans="1:40" ht="15.75" customHeight="1">
      <c r="A179" s="230"/>
      <c r="B179" s="4" t="s">
        <v>14</v>
      </c>
      <c r="C179" s="9">
        <v>6</v>
      </c>
      <c r="D179" s="9">
        <v>6</v>
      </c>
      <c r="E179" s="9">
        <v>10</v>
      </c>
      <c r="F179" s="9">
        <v>5</v>
      </c>
      <c r="G179" s="9">
        <v>8</v>
      </c>
      <c r="H179" s="9">
        <v>14</v>
      </c>
      <c r="I179" s="9">
        <v>18</v>
      </c>
      <c r="J179" s="9">
        <v>14</v>
      </c>
      <c r="K179" s="227"/>
      <c r="L179" s="4" t="s">
        <v>14</v>
      </c>
      <c r="M179" s="9">
        <v>12</v>
      </c>
      <c r="N179" s="9">
        <v>10</v>
      </c>
      <c r="O179" s="9">
        <v>8</v>
      </c>
      <c r="P179" s="9">
        <v>7</v>
      </c>
      <c r="Q179" s="9">
        <v>4</v>
      </c>
      <c r="R179" s="9">
        <v>4</v>
      </c>
      <c r="S179" s="9">
        <v>4</v>
      </c>
      <c r="T179" s="53">
        <v>0</v>
      </c>
      <c r="U179" s="62">
        <f t="shared" si="34"/>
        <v>130</v>
      </c>
    </row>
    <row r="180" spans="1:40" ht="15.75" customHeight="1">
      <c r="A180" s="230"/>
      <c r="B180" s="4" t="s">
        <v>15</v>
      </c>
      <c r="C180" s="9">
        <v>12</v>
      </c>
      <c r="D180" s="9">
        <v>15</v>
      </c>
      <c r="E180" s="9">
        <v>16</v>
      </c>
      <c r="F180" s="9">
        <v>16</v>
      </c>
      <c r="G180" s="9">
        <v>12</v>
      </c>
      <c r="H180" s="9">
        <v>25</v>
      </c>
      <c r="I180" s="9">
        <v>24</v>
      </c>
      <c r="J180" s="9">
        <v>14</v>
      </c>
      <c r="K180" s="227"/>
      <c r="L180" s="4" t="s">
        <v>15</v>
      </c>
      <c r="M180" s="9">
        <v>17</v>
      </c>
      <c r="N180" s="9">
        <v>20</v>
      </c>
      <c r="O180" s="9">
        <v>24</v>
      </c>
      <c r="P180" s="9">
        <v>29</v>
      </c>
      <c r="Q180" s="9">
        <v>23</v>
      </c>
      <c r="R180" s="9">
        <v>6</v>
      </c>
      <c r="S180" s="9">
        <v>16</v>
      </c>
      <c r="T180" s="53">
        <v>5</v>
      </c>
      <c r="U180" s="62">
        <f t="shared" si="34"/>
        <v>274</v>
      </c>
    </row>
    <row r="181" spans="1:40" ht="15.75" customHeight="1">
      <c r="A181" s="230"/>
      <c r="B181" s="4" t="s">
        <v>16</v>
      </c>
      <c r="C181" s="9">
        <v>2</v>
      </c>
      <c r="D181" s="9">
        <v>4</v>
      </c>
      <c r="E181" s="9">
        <v>2</v>
      </c>
      <c r="F181" s="9">
        <v>12</v>
      </c>
      <c r="G181" s="9">
        <v>6</v>
      </c>
      <c r="H181" s="9">
        <v>16</v>
      </c>
      <c r="I181" s="9">
        <v>7</v>
      </c>
      <c r="J181" s="9">
        <v>4</v>
      </c>
      <c r="K181" s="227"/>
      <c r="L181" s="4" t="s">
        <v>16</v>
      </c>
      <c r="M181" s="9">
        <v>7</v>
      </c>
      <c r="N181" s="9">
        <v>7</v>
      </c>
      <c r="O181" s="9">
        <v>5</v>
      </c>
      <c r="P181" s="9">
        <v>4</v>
      </c>
      <c r="Q181" s="9">
        <v>1</v>
      </c>
      <c r="R181" s="9">
        <v>0</v>
      </c>
      <c r="S181" s="9">
        <v>1</v>
      </c>
      <c r="T181" s="53">
        <v>2</v>
      </c>
      <c r="U181" s="62">
        <f t="shared" si="34"/>
        <v>80</v>
      </c>
    </row>
    <row r="182" spans="1:40" ht="15.75" customHeight="1">
      <c r="A182" s="230"/>
      <c r="B182" s="4" t="s">
        <v>17</v>
      </c>
      <c r="C182" s="9">
        <v>3</v>
      </c>
      <c r="D182" s="9">
        <v>7</v>
      </c>
      <c r="E182" s="9">
        <v>5</v>
      </c>
      <c r="F182" s="9">
        <v>6</v>
      </c>
      <c r="G182" s="9">
        <v>12</v>
      </c>
      <c r="H182" s="9">
        <v>11</v>
      </c>
      <c r="I182" s="9">
        <v>11</v>
      </c>
      <c r="J182" s="9">
        <v>4</v>
      </c>
      <c r="K182" s="227"/>
      <c r="L182" s="4" t="s">
        <v>17</v>
      </c>
      <c r="M182" s="9">
        <v>5</v>
      </c>
      <c r="N182" s="9">
        <v>7</v>
      </c>
      <c r="O182" s="9">
        <v>4</v>
      </c>
      <c r="P182" s="9">
        <v>2</v>
      </c>
      <c r="Q182" s="9">
        <v>3</v>
      </c>
      <c r="R182" s="9">
        <v>2</v>
      </c>
      <c r="S182" s="9">
        <v>3</v>
      </c>
      <c r="T182" s="53">
        <v>5</v>
      </c>
      <c r="U182" s="62">
        <f t="shared" si="34"/>
        <v>90</v>
      </c>
    </row>
    <row r="183" spans="1:40" ht="15.75" customHeight="1">
      <c r="A183" s="231"/>
      <c r="B183" s="61" t="s">
        <v>18</v>
      </c>
      <c r="C183" s="75">
        <v>6</v>
      </c>
      <c r="D183" s="75">
        <v>6</v>
      </c>
      <c r="E183" s="75">
        <v>3</v>
      </c>
      <c r="F183" s="75">
        <v>4</v>
      </c>
      <c r="G183" s="75">
        <v>13</v>
      </c>
      <c r="H183" s="75">
        <v>15</v>
      </c>
      <c r="I183" s="75">
        <v>13</v>
      </c>
      <c r="J183" s="75">
        <v>5</v>
      </c>
      <c r="K183" s="232"/>
      <c r="L183" s="61" t="s">
        <v>18</v>
      </c>
      <c r="M183" s="75">
        <v>10</v>
      </c>
      <c r="N183" s="75">
        <v>5</v>
      </c>
      <c r="O183" s="75">
        <v>6</v>
      </c>
      <c r="P183" s="75">
        <v>8</v>
      </c>
      <c r="Q183" s="75">
        <v>3</v>
      </c>
      <c r="R183" s="75">
        <v>3</v>
      </c>
      <c r="S183" s="75">
        <v>7</v>
      </c>
      <c r="T183" s="76">
        <v>5</v>
      </c>
      <c r="U183" s="62">
        <f>SUM(M183:T183,C183:J183)</f>
        <v>112</v>
      </c>
    </row>
    <row r="185" spans="1:40" ht="15.75" customHeight="1">
      <c r="A185" s="1"/>
      <c r="B185" s="1"/>
      <c r="C185" s="183" t="s">
        <v>0</v>
      </c>
      <c r="D185" s="225"/>
      <c r="E185" s="225"/>
      <c r="F185" s="225"/>
      <c r="G185" s="226"/>
      <c r="H185" s="2"/>
      <c r="I185" s="1"/>
    </row>
    <row r="186" spans="1:40" ht="15.75" customHeight="1">
      <c r="A186" s="1"/>
      <c r="B186" s="183" t="s">
        <v>1</v>
      </c>
      <c r="C186" s="225"/>
      <c r="D186" s="226"/>
      <c r="E186" s="1"/>
      <c r="F186" s="184" t="s">
        <v>85</v>
      </c>
      <c r="G186" s="225"/>
      <c r="H186" s="226"/>
      <c r="I186" s="1"/>
      <c r="K186" s="1"/>
      <c r="L186" s="183" t="s">
        <v>26</v>
      </c>
      <c r="M186" s="225"/>
      <c r="N186" s="226"/>
      <c r="O186" s="1"/>
      <c r="P186" s="184" t="s">
        <v>86</v>
      </c>
      <c r="Q186" s="225"/>
      <c r="R186" s="226"/>
      <c r="S186" s="1"/>
    </row>
    <row r="187" spans="1:40" ht="15.75" customHeight="1">
      <c r="A187" s="54" t="s">
        <v>35</v>
      </c>
      <c r="B187" s="54" t="s">
        <v>4</v>
      </c>
      <c r="C187" s="54" t="s">
        <v>12</v>
      </c>
      <c r="D187" s="54" t="s">
        <v>19</v>
      </c>
      <c r="E187" s="54" t="s">
        <v>20</v>
      </c>
      <c r="F187" s="54" t="s">
        <v>21</v>
      </c>
      <c r="G187" s="54" t="s">
        <v>22</v>
      </c>
      <c r="H187" s="54" t="s">
        <v>23</v>
      </c>
      <c r="I187" s="54" t="s">
        <v>24</v>
      </c>
      <c r="J187" s="54" t="s">
        <v>25</v>
      </c>
      <c r="K187" s="54" t="s">
        <v>35</v>
      </c>
      <c r="L187" s="54" t="s">
        <v>4</v>
      </c>
      <c r="M187" s="54" t="s">
        <v>27</v>
      </c>
      <c r="N187" s="54" t="s">
        <v>28</v>
      </c>
      <c r="O187" s="54" t="s">
        <v>29</v>
      </c>
      <c r="P187" s="54" t="s">
        <v>30</v>
      </c>
      <c r="Q187" s="54" t="s">
        <v>31</v>
      </c>
      <c r="R187" s="54" t="s">
        <v>32</v>
      </c>
      <c r="S187" s="54" t="s">
        <v>33</v>
      </c>
      <c r="T187" s="54" t="s">
        <v>34</v>
      </c>
      <c r="U187" s="54" t="s">
        <v>55</v>
      </c>
    </row>
    <row r="188" spans="1:40" ht="15.75" customHeight="1">
      <c r="A188" s="195" t="s">
        <v>5</v>
      </c>
      <c r="B188" s="56" t="s">
        <v>13</v>
      </c>
      <c r="C188" s="57"/>
      <c r="D188" s="57"/>
      <c r="E188" s="56">
        <v>15</v>
      </c>
      <c r="F188" s="56">
        <v>22</v>
      </c>
      <c r="G188" s="56">
        <v>34</v>
      </c>
      <c r="H188" s="56">
        <v>28</v>
      </c>
      <c r="I188" s="56">
        <v>20</v>
      </c>
      <c r="J188" s="56">
        <v>19</v>
      </c>
      <c r="K188" s="196" t="s">
        <v>5</v>
      </c>
      <c r="L188" s="56" t="s">
        <v>13</v>
      </c>
      <c r="M188" s="56">
        <v>14</v>
      </c>
      <c r="N188" s="56">
        <v>8</v>
      </c>
      <c r="O188" s="56">
        <v>14</v>
      </c>
      <c r="P188" s="56">
        <v>10</v>
      </c>
      <c r="Q188" s="56">
        <v>15</v>
      </c>
      <c r="R188" s="57"/>
      <c r="S188" s="57"/>
      <c r="T188" s="58"/>
      <c r="U188" s="59">
        <f>SUM(M188:T188,C188:J188)</f>
        <v>199</v>
      </c>
      <c r="W188" s="197" t="s">
        <v>86</v>
      </c>
      <c r="X188" s="198"/>
      <c r="AG188" s="190" t="s">
        <v>58</v>
      </c>
      <c r="AH188" s="191"/>
      <c r="AI188" s="191"/>
      <c r="AJ188" s="191"/>
      <c r="AK188" s="191"/>
      <c r="AL188" s="191"/>
      <c r="AM188" s="191"/>
      <c r="AN188" s="192"/>
    </row>
    <row r="189" spans="1:40" ht="15.75" customHeight="1">
      <c r="A189" s="230"/>
      <c r="B189" s="4" t="s">
        <v>14</v>
      </c>
      <c r="C189" s="5"/>
      <c r="D189" s="5"/>
      <c r="E189" s="4">
        <v>4</v>
      </c>
      <c r="F189" s="4">
        <v>6</v>
      </c>
      <c r="G189" s="4">
        <v>4</v>
      </c>
      <c r="H189" s="4">
        <v>6</v>
      </c>
      <c r="I189" s="4">
        <v>12</v>
      </c>
      <c r="J189" s="4">
        <v>7</v>
      </c>
      <c r="K189" s="227"/>
      <c r="L189" s="4" t="s">
        <v>14</v>
      </c>
      <c r="M189" s="4">
        <v>3</v>
      </c>
      <c r="N189" s="4">
        <v>5</v>
      </c>
      <c r="O189" s="4">
        <v>3</v>
      </c>
      <c r="P189" s="4">
        <v>4</v>
      </c>
      <c r="Q189" s="4">
        <v>4</v>
      </c>
      <c r="R189" s="5"/>
      <c r="S189" s="5"/>
      <c r="T189" s="49"/>
      <c r="U189" s="60">
        <f t="shared" ref="U189:U199" si="35">SUM(M189:Q189,E189:J189)</f>
        <v>58</v>
      </c>
      <c r="W189" s="55" t="s">
        <v>5</v>
      </c>
      <c r="X189" s="48">
        <f>SUM(U188:U193)</f>
        <v>645</v>
      </c>
      <c r="AG189" s="98" t="s">
        <v>4</v>
      </c>
      <c r="AH189" s="98" t="s">
        <v>5</v>
      </c>
      <c r="AI189" s="98" t="s">
        <v>6</v>
      </c>
      <c r="AJ189" s="98" t="s">
        <v>7</v>
      </c>
      <c r="AK189" s="98" t="s">
        <v>8</v>
      </c>
      <c r="AL189" s="98" t="s">
        <v>9</v>
      </c>
      <c r="AM189" s="98" t="s">
        <v>10</v>
      </c>
      <c r="AN189" s="98" t="s">
        <v>11</v>
      </c>
    </row>
    <row r="190" spans="1:40" ht="15.75" customHeight="1">
      <c r="A190" s="230"/>
      <c r="B190" s="4" t="s">
        <v>15</v>
      </c>
      <c r="C190" s="5"/>
      <c r="D190" s="5"/>
      <c r="E190" s="4">
        <v>12</v>
      </c>
      <c r="F190" s="4">
        <v>20</v>
      </c>
      <c r="G190" s="4">
        <v>17</v>
      </c>
      <c r="H190" s="4">
        <v>36</v>
      </c>
      <c r="I190" s="4">
        <v>25</v>
      </c>
      <c r="J190" s="4">
        <v>13</v>
      </c>
      <c r="K190" s="227"/>
      <c r="L190" s="4" t="s">
        <v>15</v>
      </c>
      <c r="M190" s="4">
        <v>20</v>
      </c>
      <c r="N190" s="4">
        <v>13</v>
      </c>
      <c r="O190" s="4">
        <v>12</v>
      </c>
      <c r="P190" s="4">
        <v>20</v>
      </c>
      <c r="Q190" s="4">
        <v>11</v>
      </c>
      <c r="R190" s="5"/>
      <c r="S190" s="5"/>
      <c r="T190" s="49"/>
      <c r="U190" s="60">
        <f t="shared" si="35"/>
        <v>199</v>
      </c>
      <c r="W190" s="55" t="s">
        <v>6</v>
      </c>
      <c r="X190" s="48">
        <f>SUM(U194:U199)</f>
        <v>496</v>
      </c>
      <c r="AG190" s="79" t="s">
        <v>13</v>
      </c>
      <c r="AH190" s="79">
        <f t="shared" ref="AH190:AH195" si="36">U188</f>
        <v>199</v>
      </c>
      <c r="AI190" s="79">
        <f t="shared" ref="AI190:AI195" si="37">U194</f>
        <v>163</v>
      </c>
      <c r="AJ190" s="79">
        <f t="shared" ref="AJ190:AJ195" si="38">U200</f>
        <v>364</v>
      </c>
      <c r="AK190" s="79">
        <f t="shared" ref="AK190:AK195" si="39">U206</f>
        <v>371</v>
      </c>
      <c r="AL190" s="79">
        <f t="shared" ref="AL190:AL195" si="40">U212</f>
        <v>303</v>
      </c>
      <c r="AM190" s="79">
        <f t="shared" ref="AM190:AM195" si="41">U218</f>
        <v>325</v>
      </c>
      <c r="AN190" s="79">
        <f t="shared" ref="AN190:AN195" si="42">U224</f>
        <v>0</v>
      </c>
    </row>
    <row r="191" spans="1:40" ht="15.75" customHeight="1">
      <c r="A191" s="230"/>
      <c r="B191" s="4" t="s">
        <v>16</v>
      </c>
      <c r="C191" s="5"/>
      <c r="D191" s="5"/>
      <c r="E191" s="4">
        <v>3</v>
      </c>
      <c r="F191" s="4">
        <v>6</v>
      </c>
      <c r="G191" s="4">
        <v>5</v>
      </c>
      <c r="H191" s="4">
        <v>10</v>
      </c>
      <c r="I191" s="4">
        <v>3</v>
      </c>
      <c r="J191" s="4">
        <v>4</v>
      </c>
      <c r="K191" s="227"/>
      <c r="L191" s="4" t="s">
        <v>16</v>
      </c>
      <c r="M191" s="4">
        <v>3</v>
      </c>
      <c r="N191" s="4">
        <v>9</v>
      </c>
      <c r="O191" s="4">
        <v>3</v>
      </c>
      <c r="P191" s="4">
        <v>2</v>
      </c>
      <c r="Q191" s="4">
        <v>2</v>
      </c>
      <c r="R191" s="5"/>
      <c r="S191" s="5"/>
      <c r="T191" s="49"/>
      <c r="U191" s="60">
        <f t="shared" si="35"/>
        <v>50</v>
      </c>
      <c r="W191" s="55" t="s">
        <v>7</v>
      </c>
      <c r="X191" s="48">
        <f>SUM(U200:U205)</f>
        <v>1302</v>
      </c>
      <c r="AG191" s="97" t="s">
        <v>14</v>
      </c>
      <c r="AH191" s="97">
        <f t="shared" si="36"/>
        <v>58</v>
      </c>
      <c r="AI191" s="97">
        <f t="shared" si="37"/>
        <v>75</v>
      </c>
      <c r="AJ191" s="97">
        <f t="shared" si="38"/>
        <v>159</v>
      </c>
      <c r="AK191" s="97">
        <f t="shared" si="39"/>
        <v>135</v>
      </c>
      <c r="AL191" s="97">
        <f t="shared" si="40"/>
        <v>115</v>
      </c>
      <c r="AM191" s="97">
        <f t="shared" si="41"/>
        <v>148</v>
      </c>
      <c r="AN191" s="97">
        <f t="shared" si="42"/>
        <v>0</v>
      </c>
    </row>
    <row r="192" spans="1:40" ht="15.75" customHeight="1">
      <c r="A192" s="230"/>
      <c r="B192" s="4" t="s">
        <v>17</v>
      </c>
      <c r="C192" s="5"/>
      <c r="D192" s="5"/>
      <c r="E192" s="4">
        <v>3</v>
      </c>
      <c r="F192" s="4">
        <v>3</v>
      </c>
      <c r="G192" s="4">
        <v>14</v>
      </c>
      <c r="H192" s="4">
        <v>9</v>
      </c>
      <c r="I192" s="4">
        <v>13</v>
      </c>
      <c r="J192" s="4">
        <v>3</v>
      </c>
      <c r="K192" s="227"/>
      <c r="L192" s="4" t="s">
        <v>17</v>
      </c>
      <c r="M192" s="4">
        <v>2</v>
      </c>
      <c r="N192" s="4">
        <v>4</v>
      </c>
      <c r="O192" s="4">
        <v>5</v>
      </c>
      <c r="P192" s="4">
        <v>3</v>
      </c>
      <c r="Q192" s="4">
        <v>1</v>
      </c>
      <c r="R192" s="5"/>
      <c r="S192" s="5"/>
      <c r="T192" s="49"/>
      <c r="U192" s="60">
        <f t="shared" si="35"/>
        <v>60</v>
      </c>
      <c r="W192" s="55" t="s">
        <v>61</v>
      </c>
      <c r="X192" s="48">
        <f>SUM(U206:U211)</f>
        <v>1241</v>
      </c>
      <c r="AG192" s="79" t="s">
        <v>15</v>
      </c>
      <c r="AH192" s="79">
        <f t="shared" si="36"/>
        <v>199</v>
      </c>
      <c r="AI192" s="79">
        <f t="shared" si="37"/>
        <v>142</v>
      </c>
      <c r="AJ192" s="79">
        <f t="shared" si="38"/>
        <v>388</v>
      </c>
      <c r="AK192" s="79">
        <f t="shared" si="39"/>
        <v>386</v>
      </c>
      <c r="AL192" s="79">
        <f t="shared" si="40"/>
        <v>368</v>
      </c>
      <c r="AM192" s="79">
        <f t="shared" si="41"/>
        <v>401</v>
      </c>
      <c r="AN192" s="79">
        <f t="shared" si="42"/>
        <v>0</v>
      </c>
    </row>
    <row r="193" spans="1:40" ht="15.75" customHeight="1">
      <c r="A193" s="230"/>
      <c r="B193" s="46" t="s">
        <v>18</v>
      </c>
      <c r="C193" s="64"/>
      <c r="D193" s="64"/>
      <c r="E193" s="46">
        <v>14</v>
      </c>
      <c r="F193" s="46">
        <v>2</v>
      </c>
      <c r="G193" s="46">
        <v>10</v>
      </c>
      <c r="H193" s="46">
        <v>7</v>
      </c>
      <c r="I193" s="46">
        <v>10</v>
      </c>
      <c r="J193" s="46">
        <v>8</v>
      </c>
      <c r="K193" s="227"/>
      <c r="L193" s="46" t="s">
        <v>18</v>
      </c>
      <c r="M193" s="46">
        <v>2</v>
      </c>
      <c r="N193" s="46">
        <v>4</v>
      </c>
      <c r="O193" s="46">
        <v>11</v>
      </c>
      <c r="P193" s="46">
        <v>5</v>
      </c>
      <c r="Q193" s="46">
        <v>6</v>
      </c>
      <c r="R193" s="64"/>
      <c r="S193" s="64"/>
      <c r="T193" s="65"/>
      <c r="U193" s="66">
        <f t="shared" si="35"/>
        <v>79</v>
      </c>
      <c r="W193" s="55" t="s">
        <v>9</v>
      </c>
      <c r="X193" s="48">
        <f>SUM(U212:U217)</f>
        <v>1100</v>
      </c>
      <c r="AG193" s="97" t="s">
        <v>16</v>
      </c>
      <c r="AH193" s="97">
        <f t="shared" si="36"/>
        <v>50</v>
      </c>
      <c r="AI193" s="97">
        <f t="shared" si="37"/>
        <v>44</v>
      </c>
      <c r="AJ193" s="97">
        <f t="shared" si="38"/>
        <v>128</v>
      </c>
      <c r="AK193" s="97">
        <f t="shared" si="39"/>
        <v>99</v>
      </c>
      <c r="AL193" s="97">
        <f t="shared" si="40"/>
        <v>84</v>
      </c>
      <c r="AM193" s="97">
        <f t="shared" si="41"/>
        <v>91</v>
      </c>
      <c r="AN193" s="97">
        <f t="shared" si="42"/>
        <v>0</v>
      </c>
    </row>
    <row r="194" spans="1:40" ht="15.75" customHeight="1">
      <c r="A194" s="193" t="s">
        <v>6</v>
      </c>
      <c r="B194" s="63" t="s">
        <v>13</v>
      </c>
      <c r="C194" s="57"/>
      <c r="D194" s="57"/>
      <c r="E194" s="57"/>
      <c r="F194" s="63">
        <v>16</v>
      </c>
      <c r="G194" s="63">
        <v>26</v>
      </c>
      <c r="H194" s="63">
        <v>24</v>
      </c>
      <c r="I194" s="63">
        <v>25</v>
      </c>
      <c r="J194" s="63">
        <v>23</v>
      </c>
      <c r="K194" s="194" t="s">
        <v>6</v>
      </c>
      <c r="L194" s="63" t="s">
        <v>13</v>
      </c>
      <c r="M194" s="63">
        <v>16</v>
      </c>
      <c r="N194" s="63">
        <v>10</v>
      </c>
      <c r="O194" s="63">
        <v>15</v>
      </c>
      <c r="P194" s="63">
        <v>8</v>
      </c>
      <c r="Q194" s="57"/>
      <c r="R194" s="57"/>
      <c r="S194" s="57"/>
      <c r="T194" s="58"/>
      <c r="U194" s="59">
        <f t="shared" si="35"/>
        <v>163</v>
      </c>
      <c r="W194" s="55" t="s">
        <v>10</v>
      </c>
      <c r="X194" s="48">
        <f>SUM(U218:U223)</f>
        <v>1180</v>
      </c>
      <c r="AG194" s="79" t="s">
        <v>17</v>
      </c>
      <c r="AH194" s="79">
        <f t="shared" si="36"/>
        <v>60</v>
      </c>
      <c r="AI194" s="79">
        <f t="shared" si="37"/>
        <v>51</v>
      </c>
      <c r="AJ194" s="79">
        <f t="shared" si="38"/>
        <v>111</v>
      </c>
      <c r="AK194" s="79">
        <f t="shared" si="39"/>
        <v>107</v>
      </c>
      <c r="AL194" s="79">
        <f t="shared" si="40"/>
        <v>93</v>
      </c>
      <c r="AM194" s="79">
        <f t="shared" si="41"/>
        <v>100</v>
      </c>
      <c r="AN194" s="79">
        <f t="shared" si="42"/>
        <v>0</v>
      </c>
    </row>
    <row r="195" spans="1:40" ht="15.75" customHeight="1">
      <c r="A195" s="230"/>
      <c r="B195" s="6" t="s">
        <v>14</v>
      </c>
      <c r="C195" s="5"/>
      <c r="D195" s="5"/>
      <c r="E195" s="5"/>
      <c r="F195" s="6">
        <v>12</v>
      </c>
      <c r="G195" s="6">
        <v>3</v>
      </c>
      <c r="H195" s="6">
        <v>5</v>
      </c>
      <c r="I195" s="6">
        <v>9</v>
      </c>
      <c r="J195" s="6">
        <v>10</v>
      </c>
      <c r="K195" s="227"/>
      <c r="L195" s="6" t="s">
        <v>14</v>
      </c>
      <c r="M195" s="6">
        <v>5</v>
      </c>
      <c r="N195" s="6">
        <v>4</v>
      </c>
      <c r="O195" s="6">
        <v>8</v>
      </c>
      <c r="P195" s="6">
        <v>19</v>
      </c>
      <c r="Q195" s="5"/>
      <c r="R195" s="5"/>
      <c r="S195" s="5"/>
      <c r="T195" s="49"/>
      <c r="U195" s="60">
        <f t="shared" si="35"/>
        <v>75</v>
      </c>
      <c r="W195" s="81" t="s">
        <v>11</v>
      </c>
      <c r="X195" s="80">
        <f>SUM(U224:U229)</f>
        <v>0</v>
      </c>
      <c r="AG195" s="97" t="s">
        <v>18</v>
      </c>
      <c r="AH195" s="97">
        <f t="shared" si="36"/>
        <v>79</v>
      </c>
      <c r="AI195" s="97">
        <f t="shared" si="37"/>
        <v>21</v>
      </c>
      <c r="AJ195" s="97">
        <f t="shared" si="38"/>
        <v>152</v>
      </c>
      <c r="AK195" s="97">
        <f t="shared" si="39"/>
        <v>143</v>
      </c>
      <c r="AL195" s="97">
        <f t="shared" si="40"/>
        <v>137</v>
      </c>
      <c r="AM195" s="97">
        <f t="shared" si="41"/>
        <v>115</v>
      </c>
      <c r="AN195" s="97">
        <f t="shared" si="42"/>
        <v>0</v>
      </c>
    </row>
    <row r="196" spans="1:40" ht="15.75" customHeight="1">
      <c r="A196" s="230"/>
      <c r="B196" s="6" t="s">
        <v>15</v>
      </c>
      <c r="C196" s="5"/>
      <c r="D196" s="5"/>
      <c r="E196" s="5"/>
      <c r="F196" s="6">
        <v>12</v>
      </c>
      <c r="G196" s="6">
        <v>17</v>
      </c>
      <c r="H196" s="6">
        <v>30</v>
      </c>
      <c r="I196" s="6">
        <v>18</v>
      </c>
      <c r="J196" s="6">
        <v>22</v>
      </c>
      <c r="K196" s="227"/>
      <c r="L196" s="6" t="s">
        <v>15</v>
      </c>
      <c r="M196" s="6">
        <v>4</v>
      </c>
      <c r="N196" s="6">
        <v>13</v>
      </c>
      <c r="O196" s="6">
        <v>23</v>
      </c>
      <c r="P196" s="6">
        <v>3</v>
      </c>
      <c r="Q196" s="5"/>
      <c r="R196" s="5"/>
      <c r="S196" s="5"/>
      <c r="T196" s="49"/>
      <c r="U196" s="60">
        <f t="shared" si="35"/>
        <v>142</v>
      </c>
      <c r="W196" s="79" t="s">
        <v>63</v>
      </c>
      <c r="X196" s="82">
        <f>SUM(X189:X195)</f>
        <v>5964</v>
      </c>
    </row>
    <row r="197" spans="1:40" ht="15.75" customHeight="1">
      <c r="A197" s="230"/>
      <c r="B197" s="6" t="s">
        <v>16</v>
      </c>
      <c r="C197" s="5"/>
      <c r="D197" s="5"/>
      <c r="E197" s="5"/>
      <c r="F197" s="6">
        <v>13</v>
      </c>
      <c r="G197" s="6">
        <v>5</v>
      </c>
      <c r="H197" s="6">
        <v>3</v>
      </c>
      <c r="I197" s="6">
        <v>4</v>
      </c>
      <c r="J197" s="6">
        <v>6</v>
      </c>
      <c r="K197" s="227"/>
      <c r="L197" s="6" t="s">
        <v>16</v>
      </c>
      <c r="M197" s="6">
        <v>3</v>
      </c>
      <c r="N197" s="6">
        <v>4</v>
      </c>
      <c r="O197" s="6">
        <v>4</v>
      </c>
      <c r="P197" s="6">
        <v>2</v>
      </c>
      <c r="Q197" s="5"/>
      <c r="R197" s="5"/>
      <c r="S197" s="5"/>
      <c r="T197" s="49"/>
      <c r="U197" s="60">
        <f t="shared" si="35"/>
        <v>44</v>
      </c>
    </row>
    <row r="198" spans="1:40" ht="15.75" customHeight="1">
      <c r="A198" s="230"/>
      <c r="B198" s="6" t="s">
        <v>17</v>
      </c>
      <c r="C198" s="5"/>
      <c r="D198" s="5"/>
      <c r="E198" s="5"/>
      <c r="F198" s="6">
        <v>5</v>
      </c>
      <c r="G198" s="6">
        <v>9</v>
      </c>
      <c r="H198" s="6">
        <v>9</v>
      </c>
      <c r="I198" s="6">
        <v>7</v>
      </c>
      <c r="J198" s="6">
        <v>3</v>
      </c>
      <c r="K198" s="227"/>
      <c r="L198" s="6" t="s">
        <v>17</v>
      </c>
      <c r="M198" s="6">
        <v>4</v>
      </c>
      <c r="N198" s="6">
        <v>6</v>
      </c>
      <c r="O198" s="6">
        <v>3</v>
      </c>
      <c r="P198" s="6">
        <v>5</v>
      </c>
      <c r="Q198" s="5"/>
      <c r="R198" s="5"/>
      <c r="S198" s="5"/>
      <c r="T198" s="49"/>
      <c r="U198" s="60">
        <f t="shared" si="35"/>
        <v>51</v>
      </c>
    </row>
    <row r="199" spans="1:40" ht="15.75" customHeight="1">
      <c r="A199" s="230"/>
      <c r="B199" s="47" t="s">
        <v>18</v>
      </c>
      <c r="C199" s="64"/>
      <c r="D199" s="64"/>
      <c r="E199" s="64"/>
      <c r="F199" s="47">
        <v>2</v>
      </c>
      <c r="G199" s="47">
        <v>5</v>
      </c>
      <c r="H199" s="47">
        <v>0</v>
      </c>
      <c r="I199" s="47">
        <v>4</v>
      </c>
      <c r="J199" s="47">
        <v>4</v>
      </c>
      <c r="K199" s="227"/>
      <c r="L199" s="47" t="s">
        <v>18</v>
      </c>
      <c r="M199" s="47">
        <v>2</v>
      </c>
      <c r="N199" s="47">
        <v>3</v>
      </c>
      <c r="O199" s="47">
        <v>1</v>
      </c>
      <c r="P199" s="47"/>
      <c r="Q199" s="64"/>
      <c r="R199" s="64"/>
      <c r="S199" s="64"/>
      <c r="T199" s="65"/>
      <c r="U199" s="66">
        <f t="shared" si="35"/>
        <v>21</v>
      </c>
    </row>
    <row r="200" spans="1:40" ht="15.75" customHeight="1">
      <c r="A200" s="195" t="s">
        <v>7</v>
      </c>
      <c r="B200" s="56" t="s">
        <v>13</v>
      </c>
      <c r="C200" s="56">
        <v>18</v>
      </c>
      <c r="D200" s="56">
        <v>24</v>
      </c>
      <c r="E200" s="56">
        <v>24</v>
      </c>
      <c r="F200" s="56">
        <v>19</v>
      </c>
      <c r="G200" s="56">
        <v>35</v>
      </c>
      <c r="H200" s="56">
        <v>31</v>
      </c>
      <c r="I200" s="56">
        <v>19</v>
      </c>
      <c r="J200" s="56">
        <v>23</v>
      </c>
      <c r="K200" s="196" t="s">
        <v>7</v>
      </c>
      <c r="L200" s="56" t="s">
        <v>13</v>
      </c>
      <c r="M200" s="56">
        <v>20</v>
      </c>
      <c r="N200" s="56">
        <v>25</v>
      </c>
      <c r="O200" s="56">
        <v>15</v>
      </c>
      <c r="P200" s="56">
        <v>22</v>
      </c>
      <c r="Q200" s="56">
        <v>28</v>
      </c>
      <c r="R200" s="56">
        <v>24</v>
      </c>
      <c r="S200" s="56">
        <v>25</v>
      </c>
      <c r="T200" s="67">
        <v>12</v>
      </c>
      <c r="U200" s="59">
        <f>SUM(M200:T200,C200:J200)</f>
        <v>364</v>
      </c>
    </row>
    <row r="201" spans="1:40" ht="15.75" customHeight="1">
      <c r="A201" s="230"/>
      <c r="B201" s="4" t="s">
        <v>14</v>
      </c>
      <c r="C201" s="4">
        <v>7</v>
      </c>
      <c r="D201" s="4">
        <v>6</v>
      </c>
      <c r="E201" s="4">
        <v>11</v>
      </c>
      <c r="F201" s="4">
        <v>7</v>
      </c>
      <c r="G201" s="4">
        <v>16</v>
      </c>
      <c r="H201" s="4">
        <v>15</v>
      </c>
      <c r="I201" s="4">
        <v>14</v>
      </c>
      <c r="J201" s="4">
        <v>12</v>
      </c>
      <c r="K201" s="227"/>
      <c r="L201" s="4" t="s">
        <v>14</v>
      </c>
      <c r="M201" s="4">
        <v>20</v>
      </c>
      <c r="N201" s="4">
        <v>12</v>
      </c>
      <c r="O201" s="4">
        <v>10</v>
      </c>
      <c r="P201" s="4">
        <v>6</v>
      </c>
      <c r="Q201" s="4">
        <v>5</v>
      </c>
      <c r="R201" s="4">
        <v>8</v>
      </c>
      <c r="S201" s="4">
        <v>7</v>
      </c>
      <c r="T201" s="50">
        <v>3</v>
      </c>
      <c r="U201" s="59">
        <f t="shared" ref="U201:U229" si="43">SUM(M201:T201,C201:J201)</f>
        <v>159</v>
      </c>
    </row>
    <row r="202" spans="1:40" ht="15.75" customHeight="1">
      <c r="A202" s="230"/>
      <c r="B202" s="4" t="s">
        <v>15</v>
      </c>
      <c r="C202" s="4">
        <v>22</v>
      </c>
      <c r="D202" s="4">
        <v>24</v>
      </c>
      <c r="E202" s="4">
        <v>27</v>
      </c>
      <c r="F202" s="4">
        <v>20</v>
      </c>
      <c r="G202" s="4">
        <v>24</v>
      </c>
      <c r="H202" s="4">
        <v>26</v>
      </c>
      <c r="I202" s="4">
        <v>17</v>
      </c>
      <c r="J202" s="4">
        <v>18</v>
      </c>
      <c r="K202" s="227"/>
      <c r="L202" s="4" t="s">
        <v>15</v>
      </c>
      <c r="M202" s="4">
        <v>22</v>
      </c>
      <c r="N202" s="4">
        <v>31</v>
      </c>
      <c r="O202" s="4">
        <v>25</v>
      </c>
      <c r="P202" s="4">
        <v>36</v>
      </c>
      <c r="Q202" s="4">
        <v>27</v>
      </c>
      <c r="R202" s="4">
        <v>24</v>
      </c>
      <c r="S202" s="4">
        <v>29</v>
      </c>
      <c r="T202" s="50">
        <v>16</v>
      </c>
      <c r="U202" s="59">
        <f t="shared" si="43"/>
        <v>388</v>
      </c>
    </row>
    <row r="203" spans="1:40" ht="15.75" customHeight="1">
      <c r="A203" s="230"/>
      <c r="B203" s="4" t="s">
        <v>16</v>
      </c>
      <c r="C203" s="4">
        <v>3</v>
      </c>
      <c r="D203" s="4">
        <v>4</v>
      </c>
      <c r="E203" s="4">
        <v>6</v>
      </c>
      <c r="F203" s="4">
        <v>10</v>
      </c>
      <c r="G203" s="4">
        <v>10</v>
      </c>
      <c r="H203" s="4">
        <v>13</v>
      </c>
      <c r="I203" s="4">
        <v>14</v>
      </c>
      <c r="J203" s="4">
        <v>6</v>
      </c>
      <c r="K203" s="227"/>
      <c r="L203" s="4" t="s">
        <v>16</v>
      </c>
      <c r="M203" s="4">
        <v>15</v>
      </c>
      <c r="N203" s="4">
        <v>7</v>
      </c>
      <c r="O203" s="4">
        <v>4</v>
      </c>
      <c r="P203" s="4">
        <v>6</v>
      </c>
      <c r="Q203" s="4">
        <v>5</v>
      </c>
      <c r="R203" s="4">
        <v>9</v>
      </c>
      <c r="S203" s="4">
        <v>8</v>
      </c>
      <c r="T203" s="50">
        <v>8</v>
      </c>
      <c r="U203" s="59">
        <f t="shared" si="43"/>
        <v>128</v>
      </c>
    </row>
    <row r="204" spans="1:40" ht="15.75" customHeight="1">
      <c r="A204" s="230"/>
      <c r="B204" s="4" t="s">
        <v>17</v>
      </c>
      <c r="C204" s="4">
        <v>6</v>
      </c>
      <c r="D204" s="4">
        <v>8</v>
      </c>
      <c r="E204" s="4">
        <v>10</v>
      </c>
      <c r="F204" s="4">
        <v>8</v>
      </c>
      <c r="G204" s="4">
        <v>9</v>
      </c>
      <c r="H204" s="4">
        <v>8</v>
      </c>
      <c r="I204" s="4">
        <v>5</v>
      </c>
      <c r="J204" s="4">
        <v>3</v>
      </c>
      <c r="K204" s="227"/>
      <c r="L204" s="4" t="s">
        <v>17</v>
      </c>
      <c r="M204" s="4">
        <v>5</v>
      </c>
      <c r="N204" s="4">
        <v>5</v>
      </c>
      <c r="O204" s="4">
        <v>3</v>
      </c>
      <c r="P204" s="4">
        <v>8</v>
      </c>
      <c r="Q204" s="4">
        <v>8</v>
      </c>
      <c r="R204" s="4">
        <v>8</v>
      </c>
      <c r="S204" s="4">
        <v>8</v>
      </c>
      <c r="T204" s="50">
        <v>9</v>
      </c>
      <c r="U204" s="59">
        <f t="shared" si="43"/>
        <v>111</v>
      </c>
    </row>
    <row r="205" spans="1:40" ht="15.75" customHeight="1">
      <c r="A205" s="230"/>
      <c r="B205" s="46" t="s">
        <v>18</v>
      </c>
      <c r="C205" s="46">
        <v>18</v>
      </c>
      <c r="D205" s="46">
        <v>12</v>
      </c>
      <c r="E205" s="46">
        <v>5</v>
      </c>
      <c r="F205" s="46">
        <v>4</v>
      </c>
      <c r="G205" s="46">
        <v>11</v>
      </c>
      <c r="H205" s="46">
        <v>13</v>
      </c>
      <c r="I205" s="46">
        <v>9</v>
      </c>
      <c r="J205" s="46">
        <v>7</v>
      </c>
      <c r="K205" s="227"/>
      <c r="L205" s="46" t="s">
        <v>18</v>
      </c>
      <c r="M205" s="46">
        <v>10</v>
      </c>
      <c r="N205" s="46">
        <v>9</v>
      </c>
      <c r="O205" s="46">
        <v>8</v>
      </c>
      <c r="P205" s="46">
        <v>12</v>
      </c>
      <c r="Q205" s="46">
        <v>9</v>
      </c>
      <c r="R205" s="46">
        <v>6</v>
      </c>
      <c r="S205" s="46">
        <v>10</v>
      </c>
      <c r="T205" s="69">
        <v>9</v>
      </c>
      <c r="U205" s="59">
        <f t="shared" si="43"/>
        <v>152</v>
      </c>
    </row>
    <row r="206" spans="1:40" ht="15.75" customHeight="1">
      <c r="A206" s="193" t="s">
        <v>8</v>
      </c>
      <c r="B206" s="63" t="s">
        <v>13</v>
      </c>
      <c r="C206" s="63">
        <v>15</v>
      </c>
      <c r="D206" s="63">
        <v>19</v>
      </c>
      <c r="E206" s="63">
        <v>21</v>
      </c>
      <c r="F206" s="63">
        <v>26</v>
      </c>
      <c r="G206" s="63">
        <v>43</v>
      </c>
      <c r="H206" s="63">
        <v>31</v>
      </c>
      <c r="I206" s="63">
        <v>30</v>
      </c>
      <c r="J206" s="63">
        <v>20</v>
      </c>
      <c r="K206" s="194" t="s">
        <v>8</v>
      </c>
      <c r="L206" s="63" t="s">
        <v>13</v>
      </c>
      <c r="M206" s="63">
        <v>23</v>
      </c>
      <c r="N206" s="63">
        <v>19</v>
      </c>
      <c r="O206" s="63">
        <v>15</v>
      </c>
      <c r="P206" s="63">
        <v>29</v>
      </c>
      <c r="Q206" s="63">
        <v>26</v>
      </c>
      <c r="R206" s="63">
        <v>23</v>
      </c>
      <c r="S206" s="63">
        <v>22</v>
      </c>
      <c r="T206" s="68">
        <v>9</v>
      </c>
      <c r="U206" s="59">
        <f t="shared" si="43"/>
        <v>371</v>
      </c>
    </row>
    <row r="207" spans="1:40" ht="15.75" customHeight="1">
      <c r="A207" s="230"/>
      <c r="B207" s="6" t="s">
        <v>14</v>
      </c>
      <c r="C207" s="6">
        <v>3</v>
      </c>
      <c r="D207" s="6">
        <v>11</v>
      </c>
      <c r="E207" s="6">
        <v>12</v>
      </c>
      <c r="F207" s="6">
        <v>11</v>
      </c>
      <c r="G207" s="6">
        <v>15</v>
      </c>
      <c r="H207" s="6">
        <v>13</v>
      </c>
      <c r="I207" s="6">
        <v>14</v>
      </c>
      <c r="J207" s="6">
        <v>9</v>
      </c>
      <c r="K207" s="227"/>
      <c r="L207" s="6" t="s">
        <v>14</v>
      </c>
      <c r="M207" s="6">
        <v>9</v>
      </c>
      <c r="N207" s="6">
        <v>6</v>
      </c>
      <c r="O207" s="6">
        <v>6</v>
      </c>
      <c r="P207" s="6">
        <v>4</v>
      </c>
      <c r="Q207" s="6">
        <v>7</v>
      </c>
      <c r="R207" s="6">
        <v>7</v>
      </c>
      <c r="S207" s="6">
        <v>5</v>
      </c>
      <c r="T207" s="51">
        <v>3</v>
      </c>
      <c r="U207" s="59">
        <f t="shared" si="43"/>
        <v>135</v>
      </c>
    </row>
    <row r="208" spans="1:40" ht="15.75" customHeight="1">
      <c r="A208" s="230"/>
      <c r="B208" s="6" t="s">
        <v>15</v>
      </c>
      <c r="C208" s="6">
        <v>17</v>
      </c>
      <c r="D208" s="6">
        <v>28</v>
      </c>
      <c r="E208" s="6">
        <v>24</v>
      </c>
      <c r="F208" s="6">
        <v>15</v>
      </c>
      <c r="G208" s="6">
        <v>27</v>
      </c>
      <c r="H208" s="6">
        <v>25</v>
      </c>
      <c r="I208" s="6">
        <v>22</v>
      </c>
      <c r="J208" s="6">
        <v>15</v>
      </c>
      <c r="K208" s="227"/>
      <c r="L208" s="6" t="s">
        <v>15</v>
      </c>
      <c r="M208" s="6">
        <v>23</v>
      </c>
      <c r="N208" s="6">
        <v>29</v>
      </c>
      <c r="O208" s="6">
        <v>18</v>
      </c>
      <c r="P208" s="6">
        <v>25</v>
      </c>
      <c r="Q208" s="6">
        <v>38</v>
      </c>
      <c r="R208" s="6">
        <v>30</v>
      </c>
      <c r="S208" s="6">
        <v>23</v>
      </c>
      <c r="T208" s="51">
        <v>27</v>
      </c>
      <c r="U208" s="59">
        <f t="shared" si="43"/>
        <v>386</v>
      </c>
    </row>
    <row r="209" spans="1:21" ht="15.75" customHeight="1">
      <c r="A209" s="230"/>
      <c r="B209" s="6" t="s">
        <v>16</v>
      </c>
      <c r="C209" s="6">
        <v>3</v>
      </c>
      <c r="D209" s="6">
        <v>6</v>
      </c>
      <c r="E209" s="6">
        <v>5</v>
      </c>
      <c r="F209" s="6">
        <v>6</v>
      </c>
      <c r="G209" s="6">
        <v>15</v>
      </c>
      <c r="H209" s="6">
        <v>11</v>
      </c>
      <c r="I209" s="6">
        <v>6</v>
      </c>
      <c r="J209" s="6">
        <v>5</v>
      </c>
      <c r="K209" s="227"/>
      <c r="L209" s="6" t="s">
        <v>16</v>
      </c>
      <c r="M209" s="6">
        <v>6</v>
      </c>
      <c r="N209" s="6">
        <v>10</v>
      </c>
      <c r="O209" s="6">
        <v>4</v>
      </c>
      <c r="P209" s="6">
        <v>4</v>
      </c>
      <c r="Q209" s="6">
        <v>3</v>
      </c>
      <c r="R209" s="6">
        <v>3</v>
      </c>
      <c r="S209" s="6">
        <v>8</v>
      </c>
      <c r="T209" s="51">
        <v>4</v>
      </c>
      <c r="U209" s="59">
        <f t="shared" si="43"/>
        <v>99</v>
      </c>
    </row>
    <row r="210" spans="1:21" ht="15.75" customHeight="1">
      <c r="A210" s="230"/>
      <c r="B210" s="6" t="s">
        <v>17</v>
      </c>
      <c r="C210" s="6">
        <v>6</v>
      </c>
      <c r="D210" s="6">
        <v>8</v>
      </c>
      <c r="E210" s="6">
        <v>6</v>
      </c>
      <c r="F210" s="6">
        <v>11</v>
      </c>
      <c r="G210" s="6">
        <v>10</v>
      </c>
      <c r="H210" s="6">
        <v>10</v>
      </c>
      <c r="I210" s="6">
        <v>12</v>
      </c>
      <c r="J210" s="6">
        <v>5</v>
      </c>
      <c r="K210" s="227"/>
      <c r="L210" s="6" t="s">
        <v>17</v>
      </c>
      <c r="M210" s="6">
        <v>6</v>
      </c>
      <c r="N210" s="6">
        <v>4</v>
      </c>
      <c r="O210" s="6">
        <v>3</v>
      </c>
      <c r="P210" s="6">
        <v>8</v>
      </c>
      <c r="Q210" s="6">
        <v>3</v>
      </c>
      <c r="R210" s="6">
        <v>8</v>
      </c>
      <c r="S210" s="6">
        <v>4</v>
      </c>
      <c r="T210" s="51">
        <v>3</v>
      </c>
      <c r="U210" s="59">
        <f t="shared" si="43"/>
        <v>107</v>
      </c>
    </row>
    <row r="211" spans="1:21" ht="15.75" customHeight="1">
      <c r="A211" s="230"/>
      <c r="B211" s="47" t="s">
        <v>18</v>
      </c>
      <c r="C211" s="47">
        <v>12</v>
      </c>
      <c r="D211" s="47">
        <v>9</v>
      </c>
      <c r="E211" s="47">
        <v>7</v>
      </c>
      <c r="F211" s="47">
        <v>10</v>
      </c>
      <c r="G211" s="47">
        <v>12</v>
      </c>
      <c r="H211" s="47">
        <v>13</v>
      </c>
      <c r="I211" s="47">
        <v>10</v>
      </c>
      <c r="J211" s="47">
        <v>7</v>
      </c>
      <c r="K211" s="227"/>
      <c r="L211" s="47" t="s">
        <v>18</v>
      </c>
      <c r="M211" s="47">
        <v>9</v>
      </c>
      <c r="N211" s="47">
        <v>6</v>
      </c>
      <c r="O211" s="47">
        <v>3</v>
      </c>
      <c r="P211" s="47">
        <v>7</v>
      </c>
      <c r="Q211" s="47">
        <v>6</v>
      </c>
      <c r="R211" s="47">
        <v>13</v>
      </c>
      <c r="S211" s="47">
        <v>12</v>
      </c>
      <c r="T211" s="70">
        <v>7</v>
      </c>
      <c r="U211" s="59">
        <f t="shared" si="43"/>
        <v>143</v>
      </c>
    </row>
    <row r="212" spans="1:21" ht="15.75" customHeight="1">
      <c r="A212" s="195" t="s">
        <v>9</v>
      </c>
      <c r="B212" s="56" t="s">
        <v>13</v>
      </c>
      <c r="C212" s="56">
        <v>18</v>
      </c>
      <c r="D212" s="56">
        <v>24</v>
      </c>
      <c r="E212" s="56">
        <v>24</v>
      </c>
      <c r="F212" s="56">
        <v>19</v>
      </c>
      <c r="G212" s="56">
        <v>34</v>
      </c>
      <c r="H212" s="56">
        <v>25</v>
      </c>
      <c r="I212" s="56">
        <v>17</v>
      </c>
      <c r="J212" s="56">
        <v>27</v>
      </c>
      <c r="K212" s="196" t="s">
        <v>9</v>
      </c>
      <c r="L212" s="56" t="s">
        <v>13</v>
      </c>
      <c r="M212" s="56">
        <v>12</v>
      </c>
      <c r="N212" s="56">
        <v>13</v>
      </c>
      <c r="O212" s="56">
        <v>15</v>
      </c>
      <c r="P212" s="56">
        <v>17</v>
      </c>
      <c r="Q212" s="56">
        <v>21</v>
      </c>
      <c r="R212" s="56">
        <v>16</v>
      </c>
      <c r="S212" s="56">
        <v>11</v>
      </c>
      <c r="T212" s="67">
        <v>10</v>
      </c>
      <c r="U212" s="59">
        <f t="shared" si="43"/>
        <v>303</v>
      </c>
    </row>
    <row r="213" spans="1:21" ht="15.75" customHeight="1">
      <c r="A213" s="230"/>
      <c r="B213" s="4" t="s">
        <v>14</v>
      </c>
      <c r="C213" s="4">
        <v>7</v>
      </c>
      <c r="D213" s="4">
        <v>6</v>
      </c>
      <c r="E213" s="4">
        <v>11</v>
      </c>
      <c r="F213" s="4">
        <v>7</v>
      </c>
      <c r="G213" s="4">
        <v>11</v>
      </c>
      <c r="H213" s="4">
        <v>10</v>
      </c>
      <c r="I213" s="4">
        <v>18</v>
      </c>
      <c r="J213" s="4">
        <v>14</v>
      </c>
      <c r="K213" s="227"/>
      <c r="L213" s="4" t="s">
        <v>14</v>
      </c>
      <c r="M213" s="4">
        <v>6</v>
      </c>
      <c r="N213" s="4">
        <v>4</v>
      </c>
      <c r="O213" s="4">
        <v>5</v>
      </c>
      <c r="P213" s="4">
        <v>3</v>
      </c>
      <c r="Q213" s="4">
        <v>4</v>
      </c>
      <c r="R213" s="4">
        <v>6</v>
      </c>
      <c r="S213" s="4">
        <v>1</v>
      </c>
      <c r="T213" s="50">
        <v>2</v>
      </c>
      <c r="U213" s="59">
        <f t="shared" si="43"/>
        <v>115</v>
      </c>
    </row>
    <row r="214" spans="1:21" ht="15.75" customHeight="1">
      <c r="A214" s="230"/>
      <c r="B214" s="4" t="s">
        <v>15</v>
      </c>
      <c r="C214" s="4">
        <v>22</v>
      </c>
      <c r="D214" s="4">
        <v>24</v>
      </c>
      <c r="E214" s="4">
        <v>27</v>
      </c>
      <c r="F214" s="4">
        <v>20</v>
      </c>
      <c r="G214" s="4">
        <v>26</v>
      </c>
      <c r="H214" s="4">
        <v>28</v>
      </c>
      <c r="I214" s="4">
        <v>22</v>
      </c>
      <c r="J214" s="4">
        <v>20</v>
      </c>
      <c r="K214" s="227"/>
      <c r="L214" s="4" t="s">
        <v>15</v>
      </c>
      <c r="M214" s="4">
        <v>9</v>
      </c>
      <c r="N214" s="4">
        <v>15</v>
      </c>
      <c r="O214" s="4">
        <v>30</v>
      </c>
      <c r="P214" s="4">
        <v>24</v>
      </c>
      <c r="Q214" s="4">
        <v>29</v>
      </c>
      <c r="R214" s="4">
        <v>26</v>
      </c>
      <c r="S214" s="4">
        <v>24</v>
      </c>
      <c r="T214" s="50">
        <v>22</v>
      </c>
      <c r="U214" s="59">
        <f t="shared" si="43"/>
        <v>368</v>
      </c>
    </row>
    <row r="215" spans="1:21" ht="15.75" customHeight="1">
      <c r="A215" s="230"/>
      <c r="B215" s="4" t="s">
        <v>16</v>
      </c>
      <c r="C215" s="4">
        <v>3</v>
      </c>
      <c r="D215" s="4">
        <v>4</v>
      </c>
      <c r="E215" s="4">
        <v>6</v>
      </c>
      <c r="F215" s="4">
        <v>10</v>
      </c>
      <c r="G215" s="4">
        <v>19</v>
      </c>
      <c r="H215" s="4">
        <v>8</v>
      </c>
      <c r="I215" s="4">
        <v>5</v>
      </c>
      <c r="J215" s="4">
        <v>3</v>
      </c>
      <c r="K215" s="227"/>
      <c r="L215" s="4" t="s">
        <v>16</v>
      </c>
      <c r="M215" s="4">
        <v>3</v>
      </c>
      <c r="N215" s="4">
        <v>3</v>
      </c>
      <c r="O215" s="4">
        <v>4</v>
      </c>
      <c r="P215" s="4">
        <v>4</v>
      </c>
      <c r="Q215" s="4">
        <v>4</v>
      </c>
      <c r="R215" s="4">
        <v>6</v>
      </c>
      <c r="S215" s="4">
        <v>0</v>
      </c>
      <c r="T215" s="50">
        <v>2</v>
      </c>
      <c r="U215" s="59">
        <f t="shared" si="43"/>
        <v>84</v>
      </c>
    </row>
    <row r="216" spans="1:21" ht="15.75" customHeight="1">
      <c r="A216" s="230"/>
      <c r="B216" s="4" t="s">
        <v>17</v>
      </c>
      <c r="C216" s="4">
        <v>6</v>
      </c>
      <c r="D216" s="4">
        <v>8</v>
      </c>
      <c r="E216" s="4">
        <v>10</v>
      </c>
      <c r="F216" s="4">
        <v>8</v>
      </c>
      <c r="G216" s="4">
        <v>12</v>
      </c>
      <c r="H216" s="4">
        <v>9</v>
      </c>
      <c r="I216" s="4">
        <v>4</v>
      </c>
      <c r="J216" s="4">
        <v>2</v>
      </c>
      <c r="K216" s="227"/>
      <c r="L216" s="4" t="s">
        <v>17</v>
      </c>
      <c r="M216" s="4">
        <v>2</v>
      </c>
      <c r="N216" s="4">
        <v>4</v>
      </c>
      <c r="O216" s="4">
        <v>1</v>
      </c>
      <c r="P216" s="4">
        <v>6</v>
      </c>
      <c r="Q216" s="4">
        <v>5</v>
      </c>
      <c r="R216" s="4">
        <v>9</v>
      </c>
      <c r="S216" s="4">
        <v>4</v>
      </c>
      <c r="T216" s="50">
        <v>3</v>
      </c>
      <c r="U216" s="59">
        <f t="shared" si="43"/>
        <v>93</v>
      </c>
    </row>
    <row r="217" spans="1:21" ht="15.75" customHeight="1">
      <c r="A217" s="230"/>
      <c r="B217" s="46" t="s">
        <v>18</v>
      </c>
      <c r="C217" s="46">
        <v>18</v>
      </c>
      <c r="D217" s="46">
        <v>12</v>
      </c>
      <c r="E217" s="46">
        <v>5</v>
      </c>
      <c r="F217" s="46">
        <v>4</v>
      </c>
      <c r="G217" s="46">
        <v>11</v>
      </c>
      <c r="H217" s="46">
        <v>8</v>
      </c>
      <c r="I217" s="46">
        <v>6</v>
      </c>
      <c r="J217" s="46">
        <v>5</v>
      </c>
      <c r="K217" s="227"/>
      <c r="L217" s="46" t="s">
        <v>18</v>
      </c>
      <c r="M217" s="46">
        <v>13</v>
      </c>
      <c r="N217" s="46">
        <v>6</v>
      </c>
      <c r="O217" s="46">
        <v>13</v>
      </c>
      <c r="P217" s="46">
        <v>7</v>
      </c>
      <c r="Q217" s="46">
        <v>9</v>
      </c>
      <c r="R217" s="46">
        <v>7</v>
      </c>
      <c r="S217" s="46">
        <v>7</v>
      </c>
      <c r="T217" s="69">
        <v>6</v>
      </c>
      <c r="U217" s="59">
        <f t="shared" si="43"/>
        <v>137</v>
      </c>
    </row>
    <row r="218" spans="1:21" ht="15.75" customHeight="1">
      <c r="A218" s="193" t="s">
        <v>10</v>
      </c>
      <c r="B218" s="63" t="s">
        <v>13</v>
      </c>
      <c r="C218" s="121">
        <v>19</v>
      </c>
      <c r="D218" s="121">
        <v>23</v>
      </c>
      <c r="E218" s="121">
        <v>25</v>
      </c>
      <c r="F218" s="121">
        <v>28</v>
      </c>
      <c r="G218" s="121">
        <v>32</v>
      </c>
      <c r="H218" s="121">
        <v>30</v>
      </c>
      <c r="I218" s="121">
        <v>28</v>
      </c>
      <c r="J218" s="121">
        <v>27</v>
      </c>
      <c r="K218" s="194" t="s">
        <v>10</v>
      </c>
      <c r="L218" s="63" t="s">
        <v>13</v>
      </c>
      <c r="M218" s="121">
        <v>16</v>
      </c>
      <c r="N218" s="121">
        <v>12</v>
      </c>
      <c r="O218" s="121">
        <v>13</v>
      </c>
      <c r="P218" s="121">
        <v>15</v>
      </c>
      <c r="Q218" s="121">
        <v>24</v>
      </c>
      <c r="R218" s="121">
        <v>9</v>
      </c>
      <c r="S218" s="121">
        <v>13</v>
      </c>
      <c r="T218" s="124">
        <v>11</v>
      </c>
      <c r="U218" s="59">
        <f t="shared" si="43"/>
        <v>325</v>
      </c>
    </row>
    <row r="219" spans="1:21" ht="15.75" customHeight="1">
      <c r="A219" s="230"/>
      <c r="B219" s="6" t="s">
        <v>14</v>
      </c>
      <c r="C219" s="122">
        <v>4</v>
      </c>
      <c r="D219" s="122">
        <v>8</v>
      </c>
      <c r="E219" s="122">
        <v>12</v>
      </c>
      <c r="F219" s="122">
        <v>13</v>
      </c>
      <c r="G219" s="122">
        <v>15</v>
      </c>
      <c r="H219" s="122">
        <v>20</v>
      </c>
      <c r="I219" s="122">
        <v>15</v>
      </c>
      <c r="J219" s="122">
        <v>14</v>
      </c>
      <c r="K219" s="227"/>
      <c r="L219" s="6" t="s">
        <v>14</v>
      </c>
      <c r="M219" s="122">
        <v>9</v>
      </c>
      <c r="N219" s="122">
        <v>7</v>
      </c>
      <c r="O219" s="122">
        <v>8</v>
      </c>
      <c r="P219" s="122">
        <v>2</v>
      </c>
      <c r="Q219" s="122">
        <v>2</v>
      </c>
      <c r="R219" s="122">
        <v>7</v>
      </c>
      <c r="S219" s="122">
        <v>6</v>
      </c>
      <c r="T219" s="125">
        <v>6</v>
      </c>
      <c r="U219" s="59">
        <f t="shared" si="43"/>
        <v>148</v>
      </c>
    </row>
    <row r="220" spans="1:21" ht="15.75" customHeight="1">
      <c r="A220" s="230"/>
      <c r="B220" s="6" t="s">
        <v>15</v>
      </c>
      <c r="C220" s="122">
        <v>17</v>
      </c>
      <c r="D220" s="122">
        <v>15</v>
      </c>
      <c r="E220" s="122">
        <v>21</v>
      </c>
      <c r="F220" s="122">
        <v>25</v>
      </c>
      <c r="G220" s="122">
        <v>25</v>
      </c>
      <c r="H220" s="122">
        <v>28</v>
      </c>
      <c r="I220" s="122">
        <v>30</v>
      </c>
      <c r="J220" s="122">
        <v>25</v>
      </c>
      <c r="K220" s="227"/>
      <c r="L220" s="6" t="s">
        <v>15</v>
      </c>
      <c r="M220" s="122">
        <v>29</v>
      </c>
      <c r="N220" s="122">
        <v>27</v>
      </c>
      <c r="O220" s="122">
        <v>35</v>
      </c>
      <c r="P220" s="122">
        <v>34</v>
      </c>
      <c r="Q220" s="122">
        <v>32</v>
      </c>
      <c r="R220" s="122">
        <v>9</v>
      </c>
      <c r="S220" s="122">
        <v>28</v>
      </c>
      <c r="T220" s="125">
        <v>21</v>
      </c>
      <c r="U220" s="59">
        <f t="shared" si="43"/>
        <v>401</v>
      </c>
    </row>
    <row r="221" spans="1:21" ht="15.75" customHeight="1">
      <c r="A221" s="230"/>
      <c r="B221" s="6" t="s">
        <v>16</v>
      </c>
      <c r="C221" s="122">
        <v>5</v>
      </c>
      <c r="D221" s="122">
        <v>4</v>
      </c>
      <c r="E221" s="122">
        <v>10</v>
      </c>
      <c r="F221" s="122">
        <v>6</v>
      </c>
      <c r="G221" s="122">
        <v>15</v>
      </c>
      <c r="H221" s="122">
        <v>10</v>
      </c>
      <c r="I221" s="122">
        <v>10</v>
      </c>
      <c r="J221" s="122">
        <v>9</v>
      </c>
      <c r="K221" s="227"/>
      <c r="L221" s="6" t="s">
        <v>16</v>
      </c>
      <c r="M221" s="122">
        <v>2</v>
      </c>
      <c r="N221" s="122">
        <v>3</v>
      </c>
      <c r="O221" s="122">
        <v>3</v>
      </c>
      <c r="P221" s="122">
        <v>2</v>
      </c>
      <c r="Q221" s="122">
        <v>2</v>
      </c>
      <c r="R221" s="122">
        <v>5</v>
      </c>
      <c r="S221" s="122">
        <v>3</v>
      </c>
      <c r="T221" s="125">
        <v>2</v>
      </c>
      <c r="U221" s="59">
        <f t="shared" si="43"/>
        <v>91</v>
      </c>
    </row>
    <row r="222" spans="1:21" ht="15.75" customHeight="1">
      <c r="A222" s="230"/>
      <c r="B222" s="6" t="s">
        <v>17</v>
      </c>
      <c r="C222" s="122">
        <v>4</v>
      </c>
      <c r="D222" s="122">
        <v>5</v>
      </c>
      <c r="E222" s="122">
        <v>6</v>
      </c>
      <c r="F222" s="122">
        <v>7</v>
      </c>
      <c r="G222" s="122">
        <v>10</v>
      </c>
      <c r="H222" s="122">
        <v>11</v>
      </c>
      <c r="I222" s="122">
        <v>14</v>
      </c>
      <c r="J222" s="122">
        <v>7</v>
      </c>
      <c r="K222" s="227"/>
      <c r="L222" s="6" t="s">
        <v>17</v>
      </c>
      <c r="M222" s="122">
        <v>7</v>
      </c>
      <c r="N222" s="122">
        <v>4</v>
      </c>
      <c r="O222" s="122">
        <v>3</v>
      </c>
      <c r="P222" s="122">
        <v>5</v>
      </c>
      <c r="Q222" s="122">
        <v>5</v>
      </c>
      <c r="R222" s="122">
        <v>4</v>
      </c>
      <c r="S222" s="122">
        <v>4</v>
      </c>
      <c r="T222" s="125">
        <v>4</v>
      </c>
      <c r="U222" s="59">
        <f t="shared" si="43"/>
        <v>100</v>
      </c>
    </row>
    <row r="223" spans="1:21" ht="15.75" customHeight="1">
      <c r="A223" s="230"/>
      <c r="B223" s="47" t="s">
        <v>18</v>
      </c>
      <c r="C223" s="123">
        <v>16</v>
      </c>
      <c r="D223" s="123">
        <v>3</v>
      </c>
      <c r="E223" s="123">
        <v>5</v>
      </c>
      <c r="F223" s="123">
        <v>7</v>
      </c>
      <c r="G223" s="123">
        <v>9</v>
      </c>
      <c r="H223" s="123">
        <v>8</v>
      </c>
      <c r="I223" s="123">
        <v>10</v>
      </c>
      <c r="J223" s="123">
        <v>5</v>
      </c>
      <c r="K223" s="227"/>
      <c r="L223" s="47" t="s">
        <v>18</v>
      </c>
      <c r="M223" s="123">
        <v>10</v>
      </c>
      <c r="N223" s="123">
        <v>8</v>
      </c>
      <c r="O223" s="123">
        <v>7</v>
      </c>
      <c r="P223" s="123">
        <v>5</v>
      </c>
      <c r="Q223" s="123">
        <v>6</v>
      </c>
      <c r="R223" s="123">
        <v>6</v>
      </c>
      <c r="S223" s="123">
        <v>7</v>
      </c>
      <c r="T223" s="126">
        <v>3</v>
      </c>
      <c r="U223" s="59">
        <f t="shared" si="43"/>
        <v>115</v>
      </c>
    </row>
    <row r="224" spans="1:21" ht="15.75" customHeight="1">
      <c r="A224" s="195" t="s">
        <v>11</v>
      </c>
      <c r="B224" s="56" t="s">
        <v>13</v>
      </c>
      <c r="C224" s="5"/>
      <c r="D224" s="5"/>
      <c r="E224" s="5"/>
      <c r="F224" s="5"/>
      <c r="G224" s="5"/>
      <c r="H224" s="5"/>
      <c r="I224" s="5"/>
      <c r="J224" s="5"/>
      <c r="K224" s="196" t="s">
        <v>11</v>
      </c>
      <c r="L224" s="56" t="s">
        <v>13</v>
      </c>
      <c r="M224" s="5"/>
      <c r="N224" s="5"/>
      <c r="O224" s="5"/>
      <c r="P224" s="5"/>
      <c r="Q224" s="5"/>
      <c r="R224" s="5"/>
      <c r="S224" s="5"/>
      <c r="T224" s="5"/>
      <c r="U224" s="59">
        <f t="shared" si="43"/>
        <v>0</v>
      </c>
    </row>
    <row r="225" spans="1:21" ht="15.75" customHeight="1">
      <c r="A225" s="230"/>
      <c r="B225" s="4" t="s">
        <v>14</v>
      </c>
      <c r="C225" s="5"/>
      <c r="D225" s="5"/>
      <c r="E225" s="5"/>
      <c r="F225" s="5"/>
      <c r="G225" s="5"/>
      <c r="H225" s="5"/>
      <c r="I225" s="5"/>
      <c r="J225" s="5"/>
      <c r="K225" s="227"/>
      <c r="L225" s="4" t="s">
        <v>14</v>
      </c>
      <c r="M225" s="5"/>
      <c r="N225" s="5"/>
      <c r="O225" s="5"/>
      <c r="P225" s="5"/>
      <c r="Q225" s="5"/>
      <c r="R225" s="5"/>
      <c r="S225" s="5"/>
      <c r="T225" s="5"/>
      <c r="U225" s="59">
        <f t="shared" si="43"/>
        <v>0</v>
      </c>
    </row>
    <row r="226" spans="1:21" ht="15.75" customHeight="1">
      <c r="A226" s="230"/>
      <c r="B226" s="4" t="s">
        <v>15</v>
      </c>
      <c r="C226" s="5"/>
      <c r="D226" s="5"/>
      <c r="E226" s="5"/>
      <c r="F226" s="5"/>
      <c r="G226" s="5"/>
      <c r="H226" s="5"/>
      <c r="I226" s="5"/>
      <c r="J226" s="5"/>
      <c r="K226" s="227"/>
      <c r="L226" s="4" t="s">
        <v>15</v>
      </c>
      <c r="M226" s="5"/>
      <c r="N226" s="5"/>
      <c r="O226" s="5"/>
      <c r="P226" s="5"/>
      <c r="Q226" s="5"/>
      <c r="R226" s="5"/>
      <c r="S226" s="5"/>
      <c r="T226" s="5"/>
      <c r="U226" s="59">
        <f t="shared" si="43"/>
        <v>0</v>
      </c>
    </row>
    <row r="227" spans="1:21" ht="15.75" customHeight="1">
      <c r="A227" s="230"/>
      <c r="B227" s="4" t="s">
        <v>16</v>
      </c>
      <c r="C227" s="5"/>
      <c r="D227" s="5"/>
      <c r="E227" s="5"/>
      <c r="F227" s="5"/>
      <c r="G227" s="5"/>
      <c r="H227" s="5"/>
      <c r="I227" s="5"/>
      <c r="J227" s="5"/>
      <c r="K227" s="227"/>
      <c r="L227" s="4" t="s">
        <v>16</v>
      </c>
      <c r="M227" s="5"/>
      <c r="N227" s="5"/>
      <c r="O227" s="5"/>
      <c r="P227" s="5"/>
      <c r="Q227" s="5"/>
      <c r="R227" s="5"/>
      <c r="S227" s="5"/>
      <c r="T227" s="5"/>
      <c r="U227" s="59">
        <f t="shared" si="43"/>
        <v>0</v>
      </c>
    </row>
    <row r="228" spans="1:21" ht="15.75" customHeight="1">
      <c r="A228" s="230"/>
      <c r="B228" s="4" t="s">
        <v>17</v>
      </c>
      <c r="C228" s="5"/>
      <c r="D228" s="5"/>
      <c r="E228" s="5"/>
      <c r="F228" s="5"/>
      <c r="G228" s="5"/>
      <c r="H228" s="5"/>
      <c r="I228" s="5"/>
      <c r="J228" s="5"/>
      <c r="K228" s="227"/>
      <c r="L228" s="4" t="s">
        <v>17</v>
      </c>
      <c r="M228" s="5"/>
      <c r="N228" s="5"/>
      <c r="O228" s="5"/>
      <c r="P228" s="5"/>
      <c r="Q228" s="5"/>
      <c r="R228" s="5"/>
      <c r="S228" s="5"/>
      <c r="T228" s="5"/>
      <c r="U228" s="59">
        <f t="shared" si="43"/>
        <v>0</v>
      </c>
    </row>
    <row r="229" spans="1:21" ht="15.75" customHeight="1">
      <c r="A229" s="231"/>
      <c r="B229" s="61" t="s">
        <v>18</v>
      </c>
      <c r="C229" s="5"/>
      <c r="D229" s="5"/>
      <c r="E229" s="5"/>
      <c r="F229" s="5"/>
      <c r="G229" s="5"/>
      <c r="H229" s="5"/>
      <c r="I229" s="5"/>
      <c r="J229" s="5"/>
      <c r="K229" s="232"/>
      <c r="L229" s="61" t="s">
        <v>18</v>
      </c>
      <c r="M229" s="5"/>
      <c r="N229" s="5"/>
      <c r="O229" s="5"/>
      <c r="P229" s="5"/>
      <c r="Q229" s="5"/>
      <c r="R229" s="5"/>
      <c r="S229" s="5"/>
      <c r="T229" s="5"/>
      <c r="U229" s="59">
        <f t="shared" si="43"/>
        <v>0</v>
      </c>
    </row>
  </sheetData>
  <mergeCells count="111">
    <mergeCell ref="A218:A223"/>
    <mergeCell ref="K218:K223"/>
    <mergeCell ref="A224:A229"/>
    <mergeCell ref="K224:K229"/>
    <mergeCell ref="A200:A205"/>
    <mergeCell ref="K200:K205"/>
    <mergeCell ref="A206:A211"/>
    <mergeCell ref="K206:K211"/>
    <mergeCell ref="A212:A217"/>
    <mergeCell ref="K212:K217"/>
    <mergeCell ref="P186:R186"/>
    <mergeCell ref="A188:A193"/>
    <mergeCell ref="K188:K193"/>
    <mergeCell ref="W188:X188"/>
    <mergeCell ref="AG188:AN188"/>
    <mergeCell ref="A194:A199"/>
    <mergeCell ref="K194:K199"/>
    <mergeCell ref="A178:A183"/>
    <mergeCell ref="K178:K183"/>
    <mergeCell ref="C185:G185"/>
    <mergeCell ref="B186:D186"/>
    <mergeCell ref="F186:H186"/>
    <mergeCell ref="L186:N186"/>
    <mergeCell ref="A160:A165"/>
    <mergeCell ref="K160:K165"/>
    <mergeCell ref="A166:A171"/>
    <mergeCell ref="K166:K171"/>
    <mergeCell ref="A172:A177"/>
    <mergeCell ref="K172:K177"/>
    <mergeCell ref="W142:X142"/>
    <mergeCell ref="AG142:AN142"/>
    <mergeCell ref="A148:A153"/>
    <mergeCell ref="K148:K153"/>
    <mergeCell ref="A154:A159"/>
    <mergeCell ref="K154:K159"/>
    <mergeCell ref="C139:G139"/>
    <mergeCell ref="B140:D140"/>
    <mergeCell ref="F140:H140"/>
    <mergeCell ref="L140:N140"/>
    <mergeCell ref="P140:R140"/>
    <mergeCell ref="A142:A147"/>
    <mergeCell ref="K142:K147"/>
    <mergeCell ref="A120:A125"/>
    <mergeCell ref="K120:K125"/>
    <mergeCell ref="A126:A131"/>
    <mergeCell ref="K126:K131"/>
    <mergeCell ref="A132:A137"/>
    <mergeCell ref="K132:K137"/>
    <mergeCell ref="A102:A107"/>
    <mergeCell ref="K102:K107"/>
    <mergeCell ref="A108:A113"/>
    <mergeCell ref="K108:K113"/>
    <mergeCell ref="A114:A119"/>
    <mergeCell ref="K114:K119"/>
    <mergeCell ref="L94:N94"/>
    <mergeCell ref="P94:R94"/>
    <mergeCell ref="A96:A101"/>
    <mergeCell ref="K96:K101"/>
    <mergeCell ref="W96:X96"/>
    <mergeCell ref="AG96:AN96"/>
    <mergeCell ref="A80:A85"/>
    <mergeCell ref="K80:K85"/>
    <mergeCell ref="A86:A91"/>
    <mergeCell ref="K86:K91"/>
    <mergeCell ref="C93:G93"/>
    <mergeCell ref="B94:D94"/>
    <mergeCell ref="F94:H94"/>
    <mergeCell ref="A62:A67"/>
    <mergeCell ref="K62:K67"/>
    <mergeCell ref="A68:A73"/>
    <mergeCell ref="K68:K73"/>
    <mergeCell ref="A74:A79"/>
    <mergeCell ref="K74:K79"/>
    <mergeCell ref="P48:R48"/>
    <mergeCell ref="A50:A55"/>
    <mergeCell ref="K50:K55"/>
    <mergeCell ref="W50:X50"/>
    <mergeCell ref="AG50:AN50"/>
    <mergeCell ref="A56:A61"/>
    <mergeCell ref="K56:K61"/>
    <mergeCell ref="A40:A45"/>
    <mergeCell ref="K40:K45"/>
    <mergeCell ref="C47:G47"/>
    <mergeCell ref="B48:D48"/>
    <mergeCell ref="F48:H48"/>
    <mergeCell ref="L48:N48"/>
    <mergeCell ref="A22:A27"/>
    <mergeCell ref="K22:K27"/>
    <mergeCell ref="A28:A33"/>
    <mergeCell ref="K28:K33"/>
    <mergeCell ref="A34:A39"/>
    <mergeCell ref="K34:K39"/>
    <mergeCell ref="Z8:AA8"/>
    <mergeCell ref="A10:A15"/>
    <mergeCell ref="K10:K15"/>
    <mergeCell ref="Z10:AA10"/>
    <mergeCell ref="A16:A21"/>
    <mergeCell ref="K16:K21"/>
    <mergeCell ref="A4:A9"/>
    <mergeCell ref="W4:X4"/>
    <mergeCell ref="Z4:AA4"/>
    <mergeCell ref="AD4:AE4"/>
    <mergeCell ref="AG4:AN4"/>
    <mergeCell ref="AP4:AW4"/>
    <mergeCell ref="Z6:AA6"/>
    <mergeCell ref="C1:G1"/>
    <mergeCell ref="B2:D2"/>
    <mergeCell ref="F2:H2"/>
    <mergeCell ref="L2:N2"/>
    <mergeCell ref="P2:R2"/>
    <mergeCell ref="K4:K9"/>
  </mergeCells>
  <printOptions horizontalCentered="1" verticalCentered="1"/>
  <pageMargins left="0.25" right="0.25" top="0.25" bottom="0.25" header="0" footer="0"/>
  <pageSetup pageOrder="overThenDown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EF810-8EAB-4D9B-8EB5-19646107DCBC}">
  <sheetPr>
    <outlinePr summaryBelow="0" summaryRight="0"/>
    <pageSetUpPr fitToPage="1"/>
  </sheetPr>
  <dimension ref="A1:AW183"/>
  <sheetViews>
    <sheetView topLeftCell="A106" workbookViewId="0">
      <selection activeCell="X188" sqref="X188"/>
    </sheetView>
  </sheetViews>
  <sheetFormatPr defaultColWidth="12.5703125" defaultRowHeight="15.75" customHeight="1"/>
  <cols>
    <col min="1" max="1" width="13.140625" bestFit="1" customWidth="1"/>
    <col min="2" max="2" width="16.140625" bestFit="1" customWidth="1"/>
    <col min="3" max="10" width="10.42578125" customWidth="1"/>
    <col min="11" max="11" width="13.140625" bestFit="1" customWidth="1"/>
    <col min="12" max="12" width="16.140625" bestFit="1" customWidth="1"/>
    <col min="13" max="20" width="10.42578125" customWidth="1"/>
    <col min="21" max="22" width="9.140625" bestFit="1" customWidth="1"/>
    <col min="23" max="23" width="13" bestFit="1" customWidth="1"/>
    <col min="24" max="26" width="9.140625" bestFit="1" customWidth="1"/>
    <col min="27" max="27" width="14.140625" customWidth="1"/>
  </cols>
  <sheetData>
    <row r="1" spans="1:49" ht="18.75" customHeight="1">
      <c r="A1" s="1"/>
      <c r="B1" s="1"/>
      <c r="C1" s="183" t="s">
        <v>0</v>
      </c>
      <c r="D1" s="225"/>
      <c r="E1" s="225"/>
      <c r="F1" s="225"/>
      <c r="G1" s="226"/>
      <c r="H1" s="2"/>
      <c r="I1" s="1"/>
    </row>
    <row r="2" spans="1:49" ht="18.75" customHeight="1">
      <c r="A2" s="1"/>
      <c r="B2" s="183" t="s">
        <v>1</v>
      </c>
      <c r="C2" s="225"/>
      <c r="D2" s="226"/>
      <c r="E2" s="1"/>
      <c r="F2" s="184" t="s">
        <v>39</v>
      </c>
      <c r="G2" s="225"/>
      <c r="H2" s="226"/>
      <c r="I2" s="1"/>
      <c r="K2" s="1"/>
      <c r="L2" s="183" t="s">
        <v>26</v>
      </c>
      <c r="M2" s="225"/>
      <c r="N2" s="226"/>
      <c r="O2" s="1"/>
      <c r="P2" s="184" t="s">
        <v>87</v>
      </c>
      <c r="Q2" s="225"/>
      <c r="R2" s="226"/>
      <c r="S2" s="1"/>
    </row>
    <row r="3" spans="1:49" ht="18.75" customHeight="1">
      <c r="A3" s="54" t="s">
        <v>35</v>
      </c>
      <c r="B3" s="54" t="s">
        <v>4</v>
      </c>
      <c r="C3" s="54" t="s">
        <v>12</v>
      </c>
      <c r="D3" s="54" t="s">
        <v>19</v>
      </c>
      <c r="E3" s="54" t="s">
        <v>20</v>
      </c>
      <c r="F3" s="54" t="s">
        <v>21</v>
      </c>
      <c r="G3" s="54" t="s">
        <v>22</v>
      </c>
      <c r="H3" s="54" t="s">
        <v>23</v>
      </c>
      <c r="I3" s="54" t="s">
        <v>24</v>
      </c>
      <c r="J3" s="54" t="s">
        <v>25</v>
      </c>
      <c r="K3" s="54" t="s">
        <v>35</v>
      </c>
      <c r="L3" s="54" t="s">
        <v>4</v>
      </c>
      <c r="M3" s="54" t="s">
        <v>27</v>
      </c>
      <c r="N3" s="54" t="s">
        <v>28</v>
      </c>
      <c r="O3" s="54" t="s">
        <v>29</v>
      </c>
      <c r="P3" s="54" t="s">
        <v>30</v>
      </c>
      <c r="Q3" s="54" t="s">
        <v>31</v>
      </c>
      <c r="R3" s="54" t="s">
        <v>32</v>
      </c>
      <c r="S3" s="54" t="s">
        <v>33</v>
      </c>
      <c r="T3" s="54" t="s">
        <v>34</v>
      </c>
      <c r="U3" s="54" t="s">
        <v>55</v>
      </c>
    </row>
    <row r="4" spans="1:49" ht="18.75" customHeight="1">
      <c r="A4" s="195" t="s">
        <v>5</v>
      </c>
      <c r="B4" s="56" t="s">
        <v>13</v>
      </c>
      <c r="C4" s="57"/>
      <c r="D4" s="57"/>
      <c r="E4" s="56">
        <v>8</v>
      </c>
      <c r="F4" s="56">
        <v>15</v>
      </c>
      <c r="G4" s="56">
        <v>16</v>
      </c>
      <c r="H4" s="56">
        <v>25</v>
      </c>
      <c r="I4" s="56">
        <v>18</v>
      </c>
      <c r="J4" s="56">
        <v>14</v>
      </c>
      <c r="K4" s="196" t="s">
        <v>5</v>
      </c>
      <c r="L4" s="56" t="s">
        <v>13</v>
      </c>
      <c r="M4" s="56">
        <v>11</v>
      </c>
      <c r="N4" s="56">
        <v>13</v>
      </c>
      <c r="O4" s="56">
        <v>4</v>
      </c>
      <c r="P4" s="56">
        <v>11</v>
      </c>
      <c r="Q4" s="56">
        <v>7</v>
      </c>
      <c r="R4" s="57"/>
      <c r="S4" s="57"/>
      <c r="T4" s="58"/>
      <c r="U4" s="59">
        <f>SUM(M4:T4,C4:J4)</f>
        <v>142</v>
      </c>
      <c r="W4" s="197" t="s">
        <v>87</v>
      </c>
      <c r="X4" s="198"/>
      <c r="Z4" s="197" t="s">
        <v>56</v>
      </c>
      <c r="AA4" s="203"/>
      <c r="AB4" s="83">
        <f>SUM(X12,X58,X104,X150)</f>
        <v>27220</v>
      </c>
      <c r="AD4" s="197" t="s">
        <v>57</v>
      </c>
      <c r="AE4" s="198"/>
      <c r="AG4" s="190" t="s">
        <v>58</v>
      </c>
      <c r="AH4" s="191"/>
      <c r="AI4" s="191"/>
      <c r="AJ4" s="191"/>
      <c r="AK4" s="191"/>
      <c r="AL4" s="191"/>
      <c r="AM4" s="191"/>
      <c r="AN4" s="192"/>
      <c r="AP4" s="190" t="s">
        <v>59</v>
      </c>
      <c r="AQ4" s="191"/>
      <c r="AR4" s="191"/>
      <c r="AS4" s="191"/>
      <c r="AT4" s="191"/>
      <c r="AU4" s="191"/>
      <c r="AV4" s="191"/>
      <c r="AW4" s="192"/>
    </row>
    <row r="5" spans="1:49" ht="18.75" customHeight="1">
      <c r="A5" s="230"/>
      <c r="B5" s="4" t="s">
        <v>14</v>
      </c>
      <c r="C5" s="5"/>
      <c r="D5" s="5"/>
      <c r="E5" s="4">
        <v>5</v>
      </c>
      <c r="F5" s="4">
        <v>9</v>
      </c>
      <c r="G5" s="4">
        <v>6</v>
      </c>
      <c r="H5" s="4">
        <v>7</v>
      </c>
      <c r="I5" s="4">
        <v>5</v>
      </c>
      <c r="J5" s="4">
        <v>7</v>
      </c>
      <c r="K5" s="227"/>
      <c r="L5" s="4" t="s">
        <v>14</v>
      </c>
      <c r="M5" s="4">
        <v>8</v>
      </c>
      <c r="N5" s="4">
        <v>5</v>
      </c>
      <c r="O5" s="4">
        <v>7</v>
      </c>
      <c r="P5" s="4">
        <v>3</v>
      </c>
      <c r="Q5" s="4">
        <v>0</v>
      </c>
      <c r="R5" s="5"/>
      <c r="S5" s="5"/>
      <c r="T5" s="49"/>
      <c r="U5" s="59">
        <f t="shared" ref="U5:U45" si="0">SUM(M5:T5,C5:J5)</f>
        <v>62</v>
      </c>
      <c r="W5" s="55" t="s">
        <v>5</v>
      </c>
      <c r="X5" s="48">
        <f>SUM(U4:U9)</f>
        <v>594</v>
      </c>
      <c r="AD5" s="55" t="s">
        <v>5</v>
      </c>
      <c r="AE5" s="48">
        <f t="shared" ref="AE5:AE11" si="1">AVERAGE(X5,X51,X97,X143)</f>
        <v>619</v>
      </c>
      <c r="AG5" s="98" t="s">
        <v>4</v>
      </c>
      <c r="AH5" s="98" t="s">
        <v>5</v>
      </c>
      <c r="AI5" s="98" t="s">
        <v>6</v>
      </c>
      <c r="AJ5" s="98" t="s">
        <v>7</v>
      </c>
      <c r="AK5" s="98" t="s">
        <v>8</v>
      </c>
      <c r="AL5" s="98" t="s">
        <v>9</v>
      </c>
      <c r="AM5" s="98" t="s">
        <v>10</v>
      </c>
      <c r="AN5" s="98" t="s">
        <v>11</v>
      </c>
      <c r="AP5" s="98" t="s">
        <v>4</v>
      </c>
      <c r="AQ5" s="98" t="s">
        <v>5</v>
      </c>
      <c r="AR5" s="98" t="s">
        <v>6</v>
      </c>
      <c r="AS5" s="98" t="s">
        <v>7</v>
      </c>
      <c r="AT5" s="98" t="s">
        <v>8</v>
      </c>
      <c r="AU5" s="98" t="s">
        <v>9</v>
      </c>
      <c r="AV5" s="98" t="s">
        <v>10</v>
      </c>
      <c r="AW5" s="98" t="s">
        <v>11</v>
      </c>
    </row>
    <row r="6" spans="1:49" ht="18.75" customHeight="1">
      <c r="A6" s="230"/>
      <c r="B6" s="4" t="s">
        <v>15</v>
      </c>
      <c r="C6" s="5"/>
      <c r="D6" s="5"/>
      <c r="E6" s="4">
        <v>3</v>
      </c>
      <c r="F6" s="4">
        <v>4</v>
      </c>
      <c r="G6" s="4">
        <v>32</v>
      </c>
      <c r="H6" s="4">
        <v>25</v>
      </c>
      <c r="I6" s="4">
        <v>24</v>
      </c>
      <c r="J6" s="4">
        <v>20</v>
      </c>
      <c r="K6" s="227"/>
      <c r="L6" s="4" t="s">
        <v>15</v>
      </c>
      <c r="M6" s="4">
        <v>26</v>
      </c>
      <c r="N6" s="4">
        <v>29</v>
      </c>
      <c r="O6" s="4">
        <v>15</v>
      </c>
      <c r="P6" s="4">
        <v>7</v>
      </c>
      <c r="Q6" s="4">
        <v>19</v>
      </c>
      <c r="R6" s="5"/>
      <c r="S6" s="5"/>
      <c r="T6" s="49"/>
      <c r="U6" s="59">
        <f t="shared" si="0"/>
        <v>204</v>
      </c>
      <c r="W6" s="55" t="s">
        <v>6</v>
      </c>
      <c r="X6" s="48">
        <f>SUM(U10:U15)</f>
        <v>504</v>
      </c>
      <c r="Z6" s="197" t="s">
        <v>60</v>
      </c>
      <c r="AA6" s="203"/>
      <c r="AB6" s="83"/>
      <c r="AD6" s="55" t="s">
        <v>6</v>
      </c>
      <c r="AE6" s="48">
        <f t="shared" si="1"/>
        <v>544.75</v>
      </c>
      <c r="AG6" s="79" t="s">
        <v>13</v>
      </c>
      <c r="AH6" s="79">
        <f t="shared" ref="AH6:AH11" si="2">U4</f>
        <v>142</v>
      </c>
      <c r="AI6" s="79">
        <f t="shared" ref="AI6:AI11" si="3">U10</f>
        <v>169</v>
      </c>
      <c r="AJ6" s="79">
        <f t="shared" ref="AJ6:AJ11" si="4">U16</f>
        <v>394</v>
      </c>
      <c r="AK6" s="79">
        <f t="shared" ref="AK6:AK11" si="5">U22</f>
        <v>334</v>
      </c>
      <c r="AL6" s="79">
        <f t="shared" ref="AL6:AL11" si="6">U28</f>
        <v>341</v>
      </c>
      <c r="AM6" s="79">
        <f t="shared" ref="AM6:AM11" si="7">U34</f>
        <v>299</v>
      </c>
      <c r="AN6" s="79">
        <f t="shared" ref="AN6:AN11" si="8">U40</f>
        <v>261</v>
      </c>
      <c r="AP6" s="79" t="s">
        <v>13</v>
      </c>
      <c r="AQ6" s="79">
        <f t="shared" ref="AQ6:AW10" si="9">SUM(AH6,AH52,AH98,AH144)</f>
        <v>742</v>
      </c>
      <c r="AR6" s="79">
        <f t="shared" si="9"/>
        <v>708</v>
      </c>
      <c r="AS6" s="79">
        <f t="shared" si="9"/>
        <v>1554</v>
      </c>
      <c r="AT6" s="79">
        <f t="shared" si="9"/>
        <v>1272</v>
      </c>
      <c r="AU6" s="79">
        <f t="shared" si="9"/>
        <v>1331</v>
      </c>
      <c r="AV6" s="79">
        <f t="shared" si="9"/>
        <v>1264</v>
      </c>
      <c r="AW6" s="79">
        <f t="shared" si="9"/>
        <v>1022</v>
      </c>
    </row>
    <row r="7" spans="1:49" ht="18.75" customHeight="1">
      <c r="A7" s="230"/>
      <c r="B7" s="4" t="s">
        <v>16</v>
      </c>
      <c r="C7" s="5"/>
      <c r="D7" s="5"/>
      <c r="E7" s="4">
        <v>3</v>
      </c>
      <c r="F7" s="4">
        <v>1</v>
      </c>
      <c r="G7" s="4">
        <v>5</v>
      </c>
      <c r="H7" s="4">
        <v>4</v>
      </c>
      <c r="I7" s="4">
        <v>9</v>
      </c>
      <c r="J7" s="4">
        <v>5</v>
      </c>
      <c r="K7" s="227"/>
      <c r="L7" s="4" t="s">
        <v>16</v>
      </c>
      <c r="M7" s="4">
        <v>9</v>
      </c>
      <c r="N7" s="4">
        <v>8</v>
      </c>
      <c r="O7" s="4">
        <v>4</v>
      </c>
      <c r="P7" s="4">
        <v>3</v>
      </c>
      <c r="Q7" s="4">
        <v>5</v>
      </c>
      <c r="R7" s="5"/>
      <c r="S7" s="5"/>
      <c r="T7" s="49"/>
      <c r="U7" s="59">
        <f t="shared" si="0"/>
        <v>56</v>
      </c>
      <c r="W7" s="55" t="s">
        <v>7</v>
      </c>
      <c r="X7" s="48">
        <f>SUM(U16:U21)</f>
        <v>1350</v>
      </c>
      <c r="AD7" s="55" t="s">
        <v>7</v>
      </c>
      <c r="AE7" s="48">
        <f t="shared" si="1"/>
        <v>1343.75</v>
      </c>
      <c r="AG7" s="97" t="s">
        <v>14</v>
      </c>
      <c r="AH7" s="97">
        <f t="shared" si="2"/>
        <v>62</v>
      </c>
      <c r="AI7" s="97">
        <f t="shared" si="3"/>
        <v>56</v>
      </c>
      <c r="AJ7" s="97">
        <f t="shared" si="4"/>
        <v>167</v>
      </c>
      <c r="AK7" s="97">
        <f t="shared" si="5"/>
        <v>125</v>
      </c>
      <c r="AL7" s="97">
        <f t="shared" si="6"/>
        <v>172</v>
      </c>
      <c r="AM7" s="97">
        <f t="shared" si="7"/>
        <v>115</v>
      </c>
      <c r="AN7" s="97">
        <f t="shared" si="8"/>
        <v>130</v>
      </c>
      <c r="AP7" s="97" t="s">
        <v>14</v>
      </c>
      <c r="AQ7" s="97">
        <f t="shared" si="9"/>
        <v>239</v>
      </c>
      <c r="AR7" s="97">
        <f t="shared" si="9"/>
        <v>223</v>
      </c>
      <c r="AS7" s="150">
        <f t="shared" si="9"/>
        <v>709</v>
      </c>
      <c r="AT7" s="150">
        <f t="shared" si="9"/>
        <v>466</v>
      </c>
      <c r="AU7" s="150">
        <f t="shared" si="9"/>
        <v>554</v>
      </c>
      <c r="AV7" s="150">
        <f t="shared" si="9"/>
        <v>503</v>
      </c>
      <c r="AW7" s="150">
        <f t="shared" si="9"/>
        <v>459</v>
      </c>
    </row>
    <row r="8" spans="1:49" ht="18.75" customHeight="1">
      <c r="A8" s="230"/>
      <c r="B8" s="4" t="s">
        <v>17</v>
      </c>
      <c r="C8" s="5"/>
      <c r="D8" s="5"/>
      <c r="E8" s="4">
        <v>2</v>
      </c>
      <c r="F8" s="4">
        <v>4</v>
      </c>
      <c r="G8" s="4">
        <v>8</v>
      </c>
      <c r="H8" s="4">
        <v>5</v>
      </c>
      <c r="I8" s="4">
        <v>10</v>
      </c>
      <c r="J8" s="4">
        <v>3</v>
      </c>
      <c r="K8" s="227"/>
      <c r="L8" s="4" t="s">
        <v>17</v>
      </c>
      <c r="M8" s="4">
        <v>7</v>
      </c>
      <c r="N8" s="4">
        <v>6</v>
      </c>
      <c r="O8" s="4">
        <v>5</v>
      </c>
      <c r="P8" s="4">
        <v>5</v>
      </c>
      <c r="Q8" s="4">
        <v>3</v>
      </c>
      <c r="R8" s="5"/>
      <c r="S8" s="5"/>
      <c r="T8" s="49"/>
      <c r="U8" s="59">
        <f t="shared" si="0"/>
        <v>58</v>
      </c>
      <c r="W8" s="55" t="s">
        <v>61</v>
      </c>
      <c r="X8" s="48">
        <f>SUM(U22:U27)</f>
        <v>1172</v>
      </c>
      <c r="Z8" s="197" t="s">
        <v>62</v>
      </c>
      <c r="AA8" s="203"/>
      <c r="AB8" s="83"/>
      <c r="AD8" s="55" t="s">
        <v>61</v>
      </c>
      <c r="AE8" s="48">
        <f t="shared" si="1"/>
        <v>1122</v>
      </c>
      <c r="AG8" s="79" t="s">
        <v>15</v>
      </c>
      <c r="AH8" s="79">
        <f t="shared" si="2"/>
        <v>204</v>
      </c>
      <c r="AI8" s="79">
        <f t="shared" si="3"/>
        <v>140</v>
      </c>
      <c r="AJ8" s="79">
        <f t="shared" si="4"/>
        <v>404</v>
      </c>
      <c r="AK8" s="79">
        <f t="shared" si="5"/>
        <v>366</v>
      </c>
      <c r="AL8" s="79">
        <f t="shared" si="6"/>
        <v>375</v>
      </c>
      <c r="AM8" s="79">
        <f t="shared" si="7"/>
        <v>338</v>
      </c>
      <c r="AN8" s="79">
        <f t="shared" si="8"/>
        <v>319</v>
      </c>
      <c r="AP8" s="79" t="s">
        <v>15</v>
      </c>
      <c r="AQ8" s="79">
        <f t="shared" si="9"/>
        <v>760</v>
      </c>
      <c r="AR8" s="79">
        <f t="shared" si="9"/>
        <v>609</v>
      </c>
      <c r="AS8" s="79">
        <f t="shared" si="9"/>
        <v>1546</v>
      </c>
      <c r="AT8" s="79">
        <f t="shared" si="9"/>
        <v>1476</v>
      </c>
      <c r="AU8" s="79">
        <f t="shared" si="9"/>
        <v>1408</v>
      </c>
      <c r="AV8" s="79">
        <f t="shared" si="9"/>
        <v>1348</v>
      </c>
      <c r="AW8" s="79">
        <f t="shared" si="9"/>
        <v>1174</v>
      </c>
    </row>
    <row r="9" spans="1:49" ht="18.75" customHeight="1">
      <c r="A9" s="230"/>
      <c r="B9" s="46" t="s">
        <v>18</v>
      </c>
      <c r="C9" s="64"/>
      <c r="D9" s="64"/>
      <c r="E9" s="46">
        <v>7</v>
      </c>
      <c r="F9" s="46">
        <v>5</v>
      </c>
      <c r="G9" s="46">
        <v>7</v>
      </c>
      <c r="H9" s="46">
        <v>12</v>
      </c>
      <c r="I9" s="46">
        <v>8</v>
      </c>
      <c r="J9" s="46">
        <v>8</v>
      </c>
      <c r="K9" s="227"/>
      <c r="L9" s="46" t="s">
        <v>18</v>
      </c>
      <c r="M9" s="46">
        <v>7</v>
      </c>
      <c r="N9" s="46">
        <v>7</v>
      </c>
      <c r="O9" s="46">
        <v>2</v>
      </c>
      <c r="P9" s="46">
        <v>6</v>
      </c>
      <c r="Q9" s="46">
        <v>3</v>
      </c>
      <c r="R9" s="64"/>
      <c r="S9" s="64"/>
      <c r="T9" s="65"/>
      <c r="U9" s="59">
        <f t="shared" si="0"/>
        <v>72</v>
      </c>
      <c r="W9" s="55" t="s">
        <v>9</v>
      </c>
      <c r="X9" s="48">
        <f>SUM(U28:U33)</f>
        <v>1222</v>
      </c>
      <c r="AD9" s="55" t="s">
        <v>9</v>
      </c>
      <c r="AE9" s="48">
        <f t="shared" si="1"/>
        <v>1138.5</v>
      </c>
      <c r="AG9" s="97" t="s">
        <v>16</v>
      </c>
      <c r="AH9" s="97">
        <f t="shared" si="2"/>
        <v>56</v>
      </c>
      <c r="AI9" s="97">
        <f t="shared" si="3"/>
        <v>48</v>
      </c>
      <c r="AJ9" s="97">
        <f t="shared" si="4"/>
        <v>113</v>
      </c>
      <c r="AK9" s="97">
        <f t="shared" si="5"/>
        <v>91</v>
      </c>
      <c r="AL9" s="97">
        <f t="shared" si="6"/>
        <v>86</v>
      </c>
      <c r="AM9" s="97">
        <f t="shared" si="7"/>
        <v>94</v>
      </c>
      <c r="AN9" s="97">
        <f t="shared" si="8"/>
        <v>75</v>
      </c>
      <c r="AP9" s="97" t="s">
        <v>16</v>
      </c>
      <c r="AQ9" s="97">
        <f t="shared" si="9"/>
        <v>215</v>
      </c>
      <c r="AR9" s="97">
        <f t="shared" si="9"/>
        <v>192</v>
      </c>
      <c r="AS9" s="150">
        <f t="shared" si="9"/>
        <v>442</v>
      </c>
      <c r="AT9" s="150">
        <f t="shared" si="9"/>
        <v>358</v>
      </c>
      <c r="AU9" s="150">
        <f t="shared" si="9"/>
        <v>331</v>
      </c>
      <c r="AV9" s="150">
        <f t="shared" si="9"/>
        <v>379</v>
      </c>
      <c r="AW9" s="150">
        <f t="shared" si="9"/>
        <v>276</v>
      </c>
    </row>
    <row r="10" spans="1:49" ht="18.75" customHeight="1">
      <c r="A10" s="193" t="s">
        <v>6</v>
      </c>
      <c r="B10" s="63" t="s">
        <v>13</v>
      </c>
      <c r="C10" s="57"/>
      <c r="D10" s="57"/>
      <c r="E10" s="57"/>
      <c r="F10" s="63">
        <v>19</v>
      </c>
      <c r="G10" s="63">
        <v>23</v>
      </c>
      <c r="H10" s="63">
        <v>21</v>
      </c>
      <c r="I10" s="63">
        <v>36</v>
      </c>
      <c r="J10" s="63">
        <v>25</v>
      </c>
      <c r="K10" s="194" t="s">
        <v>6</v>
      </c>
      <c r="L10" s="63" t="s">
        <v>13</v>
      </c>
      <c r="M10" s="63">
        <v>7</v>
      </c>
      <c r="N10" s="63">
        <v>8</v>
      </c>
      <c r="O10" s="63">
        <v>9</v>
      </c>
      <c r="P10" s="63">
        <v>21</v>
      </c>
      <c r="Q10" s="57"/>
      <c r="R10" s="57"/>
      <c r="S10" s="57"/>
      <c r="T10" s="58"/>
      <c r="U10" s="59">
        <f t="shared" si="0"/>
        <v>169</v>
      </c>
      <c r="W10" s="55" t="s">
        <v>10</v>
      </c>
      <c r="X10" s="48">
        <f>SUM(U34:U39)</f>
        <v>1055</v>
      </c>
      <c r="Z10" s="197" t="s">
        <v>74</v>
      </c>
      <c r="AA10" s="203"/>
      <c r="AB10" s="83"/>
      <c r="AD10" s="55" t="s">
        <v>10</v>
      </c>
      <c r="AE10" s="48">
        <f t="shared" si="1"/>
        <v>1108.5</v>
      </c>
      <c r="AG10" s="79" t="s">
        <v>17</v>
      </c>
      <c r="AH10" s="79">
        <f t="shared" si="2"/>
        <v>58</v>
      </c>
      <c r="AI10" s="79">
        <f t="shared" si="3"/>
        <v>39</v>
      </c>
      <c r="AJ10" s="79">
        <f t="shared" si="4"/>
        <v>109</v>
      </c>
      <c r="AK10" s="79">
        <f t="shared" si="5"/>
        <v>113</v>
      </c>
      <c r="AL10" s="79">
        <f t="shared" si="6"/>
        <v>97</v>
      </c>
      <c r="AM10" s="79">
        <f t="shared" si="7"/>
        <v>97</v>
      </c>
      <c r="AN10" s="79">
        <f t="shared" si="8"/>
        <v>90</v>
      </c>
      <c r="AP10" s="79" t="s">
        <v>17</v>
      </c>
      <c r="AQ10" s="79">
        <f t="shared" si="9"/>
        <v>229</v>
      </c>
      <c r="AR10" s="79">
        <f t="shared" si="9"/>
        <v>222</v>
      </c>
      <c r="AS10" s="79">
        <f t="shared" si="9"/>
        <v>469</v>
      </c>
      <c r="AT10" s="79">
        <f t="shared" si="9"/>
        <v>426</v>
      </c>
      <c r="AU10" s="79">
        <f t="shared" si="9"/>
        <v>405</v>
      </c>
      <c r="AV10" s="79">
        <f t="shared" si="9"/>
        <v>402</v>
      </c>
      <c r="AW10" s="79">
        <f t="shared" si="9"/>
        <v>359</v>
      </c>
    </row>
    <row r="11" spans="1:49" ht="18.75" customHeight="1">
      <c r="A11" s="230"/>
      <c r="B11" s="6" t="s">
        <v>14</v>
      </c>
      <c r="C11" s="5"/>
      <c r="D11" s="5"/>
      <c r="E11" s="5"/>
      <c r="F11" s="6">
        <v>8</v>
      </c>
      <c r="G11" s="6">
        <v>7</v>
      </c>
      <c r="H11" s="6">
        <v>9</v>
      </c>
      <c r="I11" s="6">
        <v>9</v>
      </c>
      <c r="J11" s="6">
        <v>7</v>
      </c>
      <c r="K11" s="227"/>
      <c r="L11" s="6" t="s">
        <v>14</v>
      </c>
      <c r="M11" s="6">
        <v>4</v>
      </c>
      <c r="N11" s="6">
        <v>5</v>
      </c>
      <c r="O11" s="6">
        <v>3</v>
      </c>
      <c r="P11" s="6">
        <v>4</v>
      </c>
      <c r="Q11" s="5"/>
      <c r="R11" s="5"/>
      <c r="S11" s="5"/>
      <c r="T11" s="49"/>
      <c r="U11" s="59">
        <f t="shared" si="0"/>
        <v>56</v>
      </c>
      <c r="W11" s="81" t="s">
        <v>11</v>
      </c>
      <c r="X11" s="80">
        <f>SUM(U40:U45)</f>
        <v>985</v>
      </c>
      <c r="AD11" s="81" t="s">
        <v>11</v>
      </c>
      <c r="AE11" s="48">
        <f t="shared" si="1"/>
        <v>928.5</v>
      </c>
      <c r="AG11" s="97" t="s">
        <v>18</v>
      </c>
      <c r="AH11" s="97">
        <f t="shared" si="2"/>
        <v>72</v>
      </c>
      <c r="AI11" s="97">
        <f t="shared" si="3"/>
        <v>52</v>
      </c>
      <c r="AJ11" s="97">
        <f t="shared" si="4"/>
        <v>163</v>
      </c>
      <c r="AK11" s="97">
        <f t="shared" si="5"/>
        <v>143</v>
      </c>
      <c r="AL11" s="97">
        <f t="shared" si="6"/>
        <v>151</v>
      </c>
      <c r="AM11" s="97">
        <f t="shared" si="7"/>
        <v>112</v>
      </c>
      <c r="AN11" s="97">
        <f t="shared" si="8"/>
        <v>110</v>
      </c>
      <c r="AP11" s="97" t="s">
        <v>18</v>
      </c>
      <c r="AQ11" s="97">
        <f>SUM(AH11,AH57,AH103,AH149,)</f>
        <v>291</v>
      </c>
      <c r="AR11" s="97">
        <f t="shared" ref="AR11:AW11" si="10">SUM(AI11,AI57,AI103,AI149)</f>
        <v>225</v>
      </c>
      <c r="AS11" s="150">
        <f t="shared" si="10"/>
        <v>655</v>
      </c>
      <c r="AT11" s="150">
        <f t="shared" si="10"/>
        <v>490</v>
      </c>
      <c r="AU11" s="150">
        <f t="shared" si="10"/>
        <v>525</v>
      </c>
      <c r="AV11" s="150">
        <f t="shared" si="10"/>
        <v>538</v>
      </c>
      <c r="AW11" s="150">
        <f t="shared" si="10"/>
        <v>424</v>
      </c>
    </row>
    <row r="12" spans="1:49" ht="18.75" customHeight="1">
      <c r="A12" s="230"/>
      <c r="B12" s="6" t="s">
        <v>15</v>
      </c>
      <c r="C12" s="5"/>
      <c r="D12" s="5"/>
      <c r="E12" s="5"/>
      <c r="F12" s="6">
        <v>13</v>
      </c>
      <c r="G12" s="6">
        <v>23</v>
      </c>
      <c r="H12" s="6">
        <v>28</v>
      </c>
      <c r="I12" s="6">
        <v>24</v>
      </c>
      <c r="J12" s="6">
        <v>14</v>
      </c>
      <c r="K12" s="227"/>
      <c r="L12" s="6" t="s">
        <v>15</v>
      </c>
      <c r="M12" s="6">
        <v>11</v>
      </c>
      <c r="N12" s="6">
        <v>10</v>
      </c>
      <c r="O12" s="6">
        <v>5</v>
      </c>
      <c r="P12" s="6">
        <v>12</v>
      </c>
      <c r="Q12" s="5"/>
      <c r="R12" s="5"/>
      <c r="S12" s="5"/>
      <c r="T12" s="49"/>
      <c r="U12" s="59">
        <f t="shared" si="0"/>
        <v>140</v>
      </c>
      <c r="W12" s="79" t="s">
        <v>63</v>
      </c>
      <c r="X12" s="82">
        <f>SUM(X5:X11)</f>
        <v>6882</v>
      </c>
      <c r="AD12" s="79" t="s">
        <v>40</v>
      </c>
      <c r="AE12" s="82">
        <f>SUM(AE5:AE11)</f>
        <v>6805</v>
      </c>
    </row>
    <row r="13" spans="1:49" ht="18.75" customHeight="1">
      <c r="A13" s="230"/>
      <c r="B13" s="6" t="s">
        <v>16</v>
      </c>
      <c r="C13" s="5"/>
      <c r="D13" s="5"/>
      <c r="E13" s="5"/>
      <c r="F13" s="6">
        <v>3</v>
      </c>
      <c r="G13" s="6">
        <v>7</v>
      </c>
      <c r="H13" s="6">
        <v>7</v>
      </c>
      <c r="I13" s="6">
        <v>6</v>
      </c>
      <c r="J13" s="6">
        <v>5</v>
      </c>
      <c r="K13" s="227"/>
      <c r="L13" s="6" t="s">
        <v>16</v>
      </c>
      <c r="M13" s="6">
        <v>3</v>
      </c>
      <c r="N13" s="6">
        <v>7</v>
      </c>
      <c r="O13" s="6">
        <v>5</v>
      </c>
      <c r="P13" s="6">
        <v>5</v>
      </c>
      <c r="Q13" s="5"/>
      <c r="R13" s="5"/>
      <c r="S13" s="5"/>
      <c r="T13" s="49"/>
      <c r="U13" s="59">
        <f t="shared" si="0"/>
        <v>48</v>
      </c>
    </row>
    <row r="14" spans="1:49" ht="18.75" customHeight="1">
      <c r="A14" s="230"/>
      <c r="B14" s="6" t="s">
        <v>17</v>
      </c>
      <c r="C14" s="5"/>
      <c r="D14" s="5"/>
      <c r="E14" s="5"/>
      <c r="F14" s="6">
        <v>4</v>
      </c>
      <c r="G14" s="6">
        <v>4</v>
      </c>
      <c r="H14" s="6">
        <v>4</v>
      </c>
      <c r="I14" s="6">
        <v>12</v>
      </c>
      <c r="J14" s="6">
        <v>7</v>
      </c>
      <c r="K14" s="227"/>
      <c r="L14" s="6" t="s">
        <v>17</v>
      </c>
      <c r="M14" s="6">
        <v>2</v>
      </c>
      <c r="N14" s="6">
        <v>2</v>
      </c>
      <c r="O14" s="6">
        <v>2</v>
      </c>
      <c r="P14" s="6">
        <v>2</v>
      </c>
      <c r="Q14" s="5"/>
      <c r="R14" s="5"/>
      <c r="S14" s="5"/>
      <c r="T14" s="49"/>
      <c r="U14" s="59">
        <f t="shared" si="0"/>
        <v>39</v>
      </c>
    </row>
    <row r="15" spans="1:49" ht="18.75" customHeight="1">
      <c r="A15" s="230"/>
      <c r="B15" s="47" t="s">
        <v>18</v>
      </c>
      <c r="C15" s="64"/>
      <c r="D15" s="64"/>
      <c r="E15" s="64"/>
      <c r="F15" s="47">
        <v>2</v>
      </c>
      <c r="G15" s="47">
        <v>6</v>
      </c>
      <c r="H15" s="47">
        <v>11</v>
      </c>
      <c r="I15" s="47">
        <v>9</v>
      </c>
      <c r="J15" s="47">
        <v>11</v>
      </c>
      <c r="K15" s="227"/>
      <c r="L15" s="47" t="s">
        <v>18</v>
      </c>
      <c r="M15" s="47">
        <v>2</v>
      </c>
      <c r="N15" s="47">
        <v>4</v>
      </c>
      <c r="O15" s="47">
        <v>3</v>
      </c>
      <c r="P15" s="47">
        <v>4</v>
      </c>
      <c r="Q15" s="64"/>
      <c r="R15" s="64"/>
      <c r="S15" s="64"/>
      <c r="T15" s="65"/>
      <c r="U15" s="59">
        <f t="shared" si="0"/>
        <v>52</v>
      </c>
    </row>
    <row r="16" spans="1:49" ht="18.75" customHeight="1">
      <c r="A16" s="195" t="s">
        <v>7</v>
      </c>
      <c r="B16" s="56" t="s">
        <v>13</v>
      </c>
      <c r="C16" s="56">
        <v>9</v>
      </c>
      <c r="D16" s="56">
        <v>25</v>
      </c>
      <c r="E16" s="56">
        <v>31</v>
      </c>
      <c r="F16" s="56">
        <v>33</v>
      </c>
      <c r="G16" s="56">
        <v>39</v>
      </c>
      <c r="H16" s="56">
        <v>33</v>
      </c>
      <c r="I16" s="56">
        <v>32</v>
      </c>
      <c r="J16" s="56">
        <v>20</v>
      </c>
      <c r="K16" s="196" t="s">
        <v>7</v>
      </c>
      <c r="L16" s="56" t="s">
        <v>13</v>
      </c>
      <c r="M16" s="56">
        <v>21</v>
      </c>
      <c r="N16" s="56">
        <v>17</v>
      </c>
      <c r="O16" s="56">
        <v>18</v>
      </c>
      <c r="P16" s="56">
        <v>27</v>
      </c>
      <c r="Q16" s="56">
        <v>25</v>
      </c>
      <c r="R16" s="56">
        <v>24</v>
      </c>
      <c r="S16" s="56">
        <v>26</v>
      </c>
      <c r="T16" s="67">
        <v>14</v>
      </c>
      <c r="U16" s="59">
        <f t="shared" si="0"/>
        <v>394</v>
      </c>
    </row>
    <row r="17" spans="1:33" ht="18.75" customHeight="1">
      <c r="A17" s="230"/>
      <c r="B17" s="4" t="s">
        <v>14</v>
      </c>
      <c r="C17" s="4">
        <v>7</v>
      </c>
      <c r="D17" s="4">
        <v>12</v>
      </c>
      <c r="E17" s="4">
        <v>12</v>
      </c>
      <c r="F17" s="4">
        <v>12</v>
      </c>
      <c r="G17" s="4">
        <v>14</v>
      </c>
      <c r="H17" s="4">
        <v>11</v>
      </c>
      <c r="I17" s="4">
        <v>12</v>
      </c>
      <c r="J17" s="4">
        <v>11</v>
      </c>
      <c r="K17" s="227"/>
      <c r="L17" s="4" t="s">
        <v>14</v>
      </c>
      <c r="M17" s="4">
        <v>14</v>
      </c>
      <c r="N17" s="4">
        <v>12</v>
      </c>
      <c r="O17" s="4">
        <v>10</v>
      </c>
      <c r="P17" s="4">
        <v>10</v>
      </c>
      <c r="Q17" s="4">
        <v>9</v>
      </c>
      <c r="R17" s="4">
        <v>8</v>
      </c>
      <c r="S17" s="4">
        <v>5</v>
      </c>
      <c r="T17" s="50">
        <v>8</v>
      </c>
      <c r="U17" s="59">
        <f t="shared" si="0"/>
        <v>167</v>
      </c>
    </row>
    <row r="18" spans="1:33" ht="18.75" customHeight="1">
      <c r="A18" s="230"/>
      <c r="B18" s="4" t="s">
        <v>15</v>
      </c>
      <c r="C18" s="4">
        <v>9</v>
      </c>
      <c r="D18" s="4">
        <v>26</v>
      </c>
      <c r="E18" s="4">
        <v>27</v>
      </c>
      <c r="F18" s="4">
        <v>34</v>
      </c>
      <c r="G18" s="4">
        <v>20</v>
      </c>
      <c r="H18" s="4">
        <v>24</v>
      </c>
      <c r="I18" s="4">
        <v>20</v>
      </c>
      <c r="J18" s="4">
        <v>22</v>
      </c>
      <c r="K18" s="227"/>
      <c r="L18" s="4" t="s">
        <v>15</v>
      </c>
      <c r="M18" s="4">
        <v>20</v>
      </c>
      <c r="N18" s="4">
        <v>22</v>
      </c>
      <c r="O18" s="4">
        <v>21</v>
      </c>
      <c r="P18" s="4">
        <v>34</v>
      </c>
      <c r="Q18" s="4">
        <v>39</v>
      </c>
      <c r="R18" s="4">
        <v>42</v>
      </c>
      <c r="S18" s="4">
        <v>28</v>
      </c>
      <c r="T18" s="50">
        <v>16</v>
      </c>
      <c r="U18" s="59">
        <f t="shared" si="0"/>
        <v>404</v>
      </c>
    </row>
    <row r="19" spans="1:33" ht="18.75" customHeight="1">
      <c r="A19" s="230"/>
      <c r="B19" s="4" t="s">
        <v>16</v>
      </c>
      <c r="C19" s="4">
        <v>2</v>
      </c>
      <c r="D19" s="4">
        <v>6</v>
      </c>
      <c r="E19" s="4">
        <v>8</v>
      </c>
      <c r="F19" s="4">
        <v>11</v>
      </c>
      <c r="G19" s="4">
        <v>8</v>
      </c>
      <c r="H19" s="4">
        <v>7</v>
      </c>
      <c r="I19" s="4">
        <v>6</v>
      </c>
      <c r="J19" s="4">
        <v>7</v>
      </c>
      <c r="K19" s="227"/>
      <c r="L19" s="4" t="s">
        <v>16</v>
      </c>
      <c r="M19" s="4">
        <v>14</v>
      </c>
      <c r="N19" s="4">
        <v>10</v>
      </c>
      <c r="O19" s="4">
        <v>9</v>
      </c>
      <c r="P19" s="4">
        <v>6</v>
      </c>
      <c r="Q19" s="4">
        <v>6</v>
      </c>
      <c r="R19" s="4">
        <v>5</v>
      </c>
      <c r="S19" s="4">
        <v>4</v>
      </c>
      <c r="T19" s="50">
        <v>4</v>
      </c>
      <c r="U19" s="59">
        <f t="shared" si="0"/>
        <v>113</v>
      </c>
    </row>
    <row r="20" spans="1:33" ht="18.75" customHeight="1">
      <c r="A20" s="230"/>
      <c r="B20" s="4" t="s">
        <v>17</v>
      </c>
      <c r="C20" s="4">
        <v>2</v>
      </c>
      <c r="D20" s="4">
        <v>2</v>
      </c>
      <c r="E20" s="4">
        <v>3</v>
      </c>
      <c r="F20" s="4">
        <v>4</v>
      </c>
      <c r="G20" s="4">
        <v>7</v>
      </c>
      <c r="H20" s="4">
        <v>12</v>
      </c>
      <c r="I20" s="4">
        <v>5</v>
      </c>
      <c r="J20" s="4">
        <v>11</v>
      </c>
      <c r="K20" s="227"/>
      <c r="L20" s="4" t="s">
        <v>17</v>
      </c>
      <c r="M20" s="4">
        <v>10</v>
      </c>
      <c r="N20" s="4">
        <v>4</v>
      </c>
      <c r="O20" s="4">
        <v>10</v>
      </c>
      <c r="P20" s="4">
        <v>6</v>
      </c>
      <c r="Q20" s="4">
        <v>7</v>
      </c>
      <c r="R20" s="4">
        <v>8</v>
      </c>
      <c r="S20" s="4">
        <v>12</v>
      </c>
      <c r="T20" s="50">
        <v>6</v>
      </c>
      <c r="U20" s="59">
        <f t="shared" si="0"/>
        <v>109</v>
      </c>
    </row>
    <row r="21" spans="1:33" ht="18.75" customHeight="1">
      <c r="A21" s="230"/>
      <c r="B21" s="46" t="s">
        <v>18</v>
      </c>
      <c r="C21" s="46">
        <v>13</v>
      </c>
      <c r="D21" s="46">
        <v>16</v>
      </c>
      <c r="E21" s="46">
        <v>14</v>
      </c>
      <c r="F21" s="46">
        <v>14</v>
      </c>
      <c r="G21" s="46">
        <v>9</v>
      </c>
      <c r="H21" s="46">
        <v>8</v>
      </c>
      <c r="I21" s="46">
        <v>6</v>
      </c>
      <c r="J21" s="46">
        <v>12</v>
      </c>
      <c r="K21" s="227"/>
      <c r="L21" s="46" t="s">
        <v>18</v>
      </c>
      <c r="M21" s="46">
        <v>4</v>
      </c>
      <c r="N21" s="46">
        <v>5</v>
      </c>
      <c r="O21" s="46">
        <v>5</v>
      </c>
      <c r="P21" s="46">
        <v>12</v>
      </c>
      <c r="Q21" s="46">
        <v>13</v>
      </c>
      <c r="R21" s="46">
        <v>14</v>
      </c>
      <c r="S21" s="46">
        <v>9</v>
      </c>
      <c r="T21" s="69">
        <v>9</v>
      </c>
      <c r="U21" s="59">
        <f t="shared" si="0"/>
        <v>163</v>
      </c>
    </row>
    <row r="22" spans="1:33" ht="18.75" customHeight="1">
      <c r="A22" s="193" t="s">
        <v>8</v>
      </c>
      <c r="B22" s="63" t="s">
        <v>13</v>
      </c>
      <c r="C22" s="63">
        <v>16</v>
      </c>
      <c r="D22" s="63">
        <v>21</v>
      </c>
      <c r="E22" s="63">
        <v>18</v>
      </c>
      <c r="F22" s="63">
        <v>29</v>
      </c>
      <c r="G22" s="63">
        <v>28</v>
      </c>
      <c r="H22" s="63">
        <v>32</v>
      </c>
      <c r="I22" s="63">
        <v>17</v>
      </c>
      <c r="J22" s="63">
        <v>21</v>
      </c>
      <c r="K22" s="194" t="s">
        <v>8</v>
      </c>
      <c r="L22" s="63" t="s">
        <v>13</v>
      </c>
      <c r="M22" s="63">
        <v>14</v>
      </c>
      <c r="N22" s="63">
        <v>15</v>
      </c>
      <c r="O22" s="63">
        <v>17</v>
      </c>
      <c r="P22" s="63">
        <v>26</v>
      </c>
      <c r="Q22" s="63">
        <v>22</v>
      </c>
      <c r="R22" s="63">
        <v>18</v>
      </c>
      <c r="S22" s="63">
        <v>23</v>
      </c>
      <c r="T22" s="68">
        <v>17</v>
      </c>
      <c r="U22" s="59">
        <f t="shared" si="0"/>
        <v>334</v>
      </c>
    </row>
    <row r="23" spans="1:33" ht="18.75" customHeight="1">
      <c r="A23" s="230"/>
      <c r="B23" s="6" t="s">
        <v>14</v>
      </c>
      <c r="C23" s="6">
        <v>4</v>
      </c>
      <c r="D23" s="6">
        <v>6</v>
      </c>
      <c r="E23" s="6">
        <v>7</v>
      </c>
      <c r="F23" s="6">
        <v>8</v>
      </c>
      <c r="G23" s="6">
        <v>14</v>
      </c>
      <c r="H23" s="6">
        <v>17</v>
      </c>
      <c r="I23" s="6">
        <v>7</v>
      </c>
      <c r="J23" s="6">
        <v>9</v>
      </c>
      <c r="K23" s="227"/>
      <c r="L23" s="6" t="s">
        <v>14</v>
      </c>
      <c r="M23" s="6">
        <v>7</v>
      </c>
      <c r="N23" s="6">
        <v>6</v>
      </c>
      <c r="O23" s="6">
        <v>8</v>
      </c>
      <c r="P23" s="6">
        <v>6</v>
      </c>
      <c r="Q23" s="6">
        <v>8</v>
      </c>
      <c r="R23" s="6">
        <v>7</v>
      </c>
      <c r="S23" s="6">
        <v>5</v>
      </c>
      <c r="T23" s="51">
        <v>6</v>
      </c>
      <c r="U23" s="59">
        <f t="shared" si="0"/>
        <v>125</v>
      </c>
    </row>
    <row r="24" spans="1:33" ht="18.75" customHeight="1">
      <c r="A24" s="230"/>
      <c r="B24" s="6" t="s">
        <v>15</v>
      </c>
      <c r="C24" s="6">
        <v>17</v>
      </c>
      <c r="D24" s="6">
        <v>19</v>
      </c>
      <c r="E24" s="6">
        <v>19</v>
      </c>
      <c r="F24" s="6">
        <v>20</v>
      </c>
      <c r="G24" s="6">
        <v>25</v>
      </c>
      <c r="H24" s="6">
        <v>21</v>
      </c>
      <c r="I24" s="6">
        <v>19</v>
      </c>
      <c r="J24" s="6">
        <v>23</v>
      </c>
      <c r="K24" s="227"/>
      <c r="L24" s="6" t="s">
        <v>15</v>
      </c>
      <c r="M24" s="6">
        <v>23</v>
      </c>
      <c r="N24" s="6">
        <v>29</v>
      </c>
      <c r="O24" s="6">
        <v>25</v>
      </c>
      <c r="P24" s="6">
        <v>26</v>
      </c>
      <c r="Q24" s="6">
        <v>26</v>
      </c>
      <c r="R24" s="6">
        <v>34</v>
      </c>
      <c r="S24" s="6">
        <v>19</v>
      </c>
      <c r="T24" s="51">
        <v>21</v>
      </c>
      <c r="U24" s="59">
        <f t="shared" si="0"/>
        <v>366</v>
      </c>
    </row>
    <row r="25" spans="1:33" ht="18.75" customHeight="1">
      <c r="A25" s="230"/>
      <c r="B25" s="6" t="s">
        <v>16</v>
      </c>
      <c r="C25" s="6">
        <v>3</v>
      </c>
      <c r="D25" s="6">
        <v>4</v>
      </c>
      <c r="E25" s="6">
        <v>7</v>
      </c>
      <c r="F25" s="6">
        <v>11</v>
      </c>
      <c r="G25" s="6">
        <v>10</v>
      </c>
      <c r="H25" s="6">
        <v>12</v>
      </c>
      <c r="I25" s="6">
        <v>5</v>
      </c>
      <c r="J25" s="6">
        <v>7</v>
      </c>
      <c r="K25" s="227"/>
      <c r="L25" s="6" t="s">
        <v>16</v>
      </c>
      <c r="M25" s="6">
        <v>1</v>
      </c>
      <c r="N25" s="6">
        <v>4</v>
      </c>
      <c r="O25" s="6">
        <v>5</v>
      </c>
      <c r="P25" s="6">
        <v>5</v>
      </c>
      <c r="Q25" s="6">
        <v>6</v>
      </c>
      <c r="R25" s="6">
        <v>6</v>
      </c>
      <c r="S25" s="6">
        <v>3</v>
      </c>
      <c r="T25" s="51">
        <v>2</v>
      </c>
      <c r="U25" s="59">
        <f t="shared" si="0"/>
        <v>91</v>
      </c>
    </row>
    <row r="26" spans="1:33" ht="18.75" customHeight="1">
      <c r="A26" s="230"/>
      <c r="B26" s="6" t="s">
        <v>17</v>
      </c>
      <c r="C26" s="6">
        <v>5</v>
      </c>
      <c r="D26" s="6">
        <v>8</v>
      </c>
      <c r="E26" s="6">
        <v>12</v>
      </c>
      <c r="F26" s="6">
        <v>9</v>
      </c>
      <c r="G26" s="6">
        <v>8</v>
      </c>
      <c r="H26" s="6">
        <v>5</v>
      </c>
      <c r="I26" s="6">
        <v>6</v>
      </c>
      <c r="J26" s="6">
        <v>7</v>
      </c>
      <c r="K26" s="227"/>
      <c r="L26" s="6" t="s">
        <v>17</v>
      </c>
      <c r="M26" s="6">
        <v>5</v>
      </c>
      <c r="N26" s="6">
        <v>4</v>
      </c>
      <c r="O26" s="6">
        <v>3</v>
      </c>
      <c r="P26" s="6">
        <v>8</v>
      </c>
      <c r="Q26" s="6">
        <v>10</v>
      </c>
      <c r="R26" s="6">
        <v>8</v>
      </c>
      <c r="S26" s="6">
        <v>11</v>
      </c>
      <c r="T26" s="51">
        <v>4</v>
      </c>
      <c r="U26" s="59">
        <f t="shared" si="0"/>
        <v>113</v>
      </c>
      <c r="AG26" s="95"/>
    </row>
    <row r="27" spans="1:33" ht="18.75" customHeight="1">
      <c r="A27" s="230"/>
      <c r="B27" s="47" t="s">
        <v>18</v>
      </c>
      <c r="C27" s="47">
        <v>14</v>
      </c>
      <c r="D27" s="47">
        <v>5</v>
      </c>
      <c r="E27" s="47">
        <v>7</v>
      </c>
      <c r="F27" s="47">
        <v>6</v>
      </c>
      <c r="G27" s="47">
        <v>12</v>
      </c>
      <c r="H27" s="47">
        <v>9</v>
      </c>
      <c r="I27" s="47">
        <v>8</v>
      </c>
      <c r="J27" s="47">
        <v>7</v>
      </c>
      <c r="K27" s="227"/>
      <c r="L27" s="47" t="s">
        <v>18</v>
      </c>
      <c r="M27" s="47">
        <v>6</v>
      </c>
      <c r="N27" s="47">
        <v>7</v>
      </c>
      <c r="O27" s="47">
        <v>4</v>
      </c>
      <c r="P27" s="47">
        <v>10</v>
      </c>
      <c r="Q27" s="47">
        <v>15</v>
      </c>
      <c r="R27" s="47">
        <v>20</v>
      </c>
      <c r="S27" s="47">
        <v>6</v>
      </c>
      <c r="T27" s="70">
        <v>7</v>
      </c>
      <c r="U27" s="59">
        <f t="shared" si="0"/>
        <v>143</v>
      </c>
      <c r="AG27" s="96"/>
    </row>
    <row r="28" spans="1:33" ht="18.75" customHeight="1">
      <c r="A28" s="195" t="s">
        <v>9</v>
      </c>
      <c r="B28" s="56" t="s">
        <v>13</v>
      </c>
      <c r="C28" s="56">
        <v>8</v>
      </c>
      <c r="D28" s="56">
        <v>38</v>
      </c>
      <c r="E28" s="56">
        <v>21</v>
      </c>
      <c r="F28" s="56">
        <v>27</v>
      </c>
      <c r="G28" s="56">
        <v>38</v>
      </c>
      <c r="H28" s="56">
        <v>31</v>
      </c>
      <c r="I28" s="56">
        <v>31</v>
      </c>
      <c r="J28" s="56">
        <v>16</v>
      </c>
      <c r="K28" s="196" t="s">
        <v>9</v>
      </c>
      <c r="L28" s="56" t="s">
        <v>13</v>
      </c>
      <c r="M28" s="56">
        <v>22</v>
      </c>
      <c r="N28" s="56">
        <v>18</v>
      </c>
      <c r="O28" s="56">
        <v>16</v>
      </c>
      <c r="P28" s="56">
        <v>20</v>
      </c>
      <c r="Q28" s="56">
        <v>16</v>
      </c>
      <c r="R28" s="56">
        <v>23</v>
      </c>
      <c r="S28" s="56">
        <v>14</v>
      </c>
      <c r="T28" s="67">
        <v>2</v>
      </c>
      <c r="U28" s="59">
        <f t="shared" si="0"/>
        <v>341</v>
      </c>
      <c r="AG28" s="96"/>
    </row>
    <row r="29" spans="1:33" ht="18.75" customHeight="1">
      <c r="A29" s="230"/>
      <c r="B29" s="4" t="s">
        <v>14</v>
      </c>
      <c r="C29" s="4">
        <v>8</v>
      </c>
      <c r="D29" s="4">
        <v>12</v>
      </c>
      <c r="E29" s="4">
        <v>13</v>
      </c>
      <c r="F29" s="4">
        <v>9</v>
      </c>
      <c r="G29" s="4">
        <v>14</v>
      </c>
      <c r="H29" s="4">
        <v>21</v>
      </c>
      <c r="I29" s="4">
        <v>15</v>
      </c>
      <c r="J29" s="4">
        <v>12</v>
      </c>
      <c r="K29" s="227"/>
      <c r="L29" s="4" t="s">
        <v>14</v>
      </c>
      <c r="M29" s="4">
        <v>21</v>
      </c>
      <c r="N29" s="4">
        <v>12</v>
      </c>
      <c r="O29" s="4">
        <v>8</v>
      </c>
      <c r="P29" s="4">
        <v>7</v>
      </c>
      <c r="Q29" s="4">
        <v>8</v>
      </c>
      <c r="R29" s="4">
        <v>8</v>
      </c>
      <c r="S29" s="4">
        <v>1</v>
      </c>
      <c r="T29" s="50">
        <v>3</v>
      </c>
      <c r="U29" s="59">
        <f t="shared" si="0"/>
        <v>172</v>
      </c>
      <c r="AG29" s="96"/>
    </row>
    <row r="30" spans="1:33" ht="18.75" customHeight="1">
      <c r="A30" s="230"/>
      <c r="B30" s="4" t="s">
        <v>15</v>
      </c>
      <c r="C30" s="4">
        <v>32</v>
      </c>
      <c r="D30" s="4">
        <v>24</v>
      </c>
      <c r="E30" s="4">
        <v>25</v>
      </c>
      <c r="F30" s="4">
        <v>18</v>
      </c>
      <c r="G30" s="4">
        <v>28</v>
      </c>
      <c r="H30" s="4">
        <v>19</v>
      </c>
      <c r="I30" s="4">
        <v>24</v>
      </c>
      <c r="J30" s="4">
        <v>16</v>
      </c>
      <c r="K30" s="227"/>
      <c r="L30" s="4" t="s">
        <v>15</v>
      </c>
      <c r="M30" s="4">
        <v>24</v>
      </c>
      <c r="N30" s="4">
        <v>21</v>
      </c>
      <c r="O30" s="4">
        <v>18</v>
      </c>
      <c r="P30" s="4">
        <v>26</v>
      </c>
      <c r="Q30" s="4">
        <v>22</v>
      </c>
      <c r="R30" s="4">
        <v>33</v>
      </c>
      <c r="S30" s="4">
        <v>30</v>
      </c>
      <c r="T30" s="50">
        <v>15</v>
      </c>
      <c r="U30" s="59">
        <f t="shared" si="0"/>
        <v>375</v>
      </c>
      <c r="AG30" s="96"/>
    </row>
    <row r="31" spans="1:33" ht="18.75" customHeight="1">
      <c r="A31" s="230"/>
      <c r="B31" s="4" t="s">
        <v>16</v>
      </c>
      <c r="C31" s="4">
        <v>3</v>
      </c>
      <c r="D31" s="4">
        <v>4</v>
      </c>
      <c r="E31" s="4">
        <v>5</v>
      </c>
      <c r="F31" s="4">
        <v>8</v>
      </c>
      <c r="G31" s="4">
        <v>5</v>
      </c>
      <c r="H31" s="4">
        <v>10</v>
      </c>
      <c r="I31" s="4">
        <v>11</v>
      </c>
      <c r="J31" s="4">
        <v>5</v>
      </c>
      <c r="K31" s="227"/>
      <c r="L31" s="4" t="s">
        <v>16</v>
      </c>
      <c r="M31" s="4">
        <v>4</v>
      </c>
      <c r="N31" s="4">
        <v>7</v>
      </c>
      <c r="O31" s="4">
        <v>7</v>
      </c>
      <c r="P31" s="4">
        <v>5</v>
      </c>
      <c r="Q31" s="4">
        <v>4</v>
      </c>
      <c r="R31" s="4">
        <v>5</v>
      </c>
      <c r="S31" s="4">
        <v>2</v>
      </c>
      <c r="T31" s="50">
        <v>1</v>
      </c>
      <c r="U31" s="59">
        <f t="shared" si="0"/>
        <v>86</v>
      </c>
      <c r="AG31" s="96"/>
    </row>
    <row r="32" spans="1:33" ht="18.75" customHeight="1">
      <c r="A32" s="230"/>
      <c r="B32" s="4" t="s">
        <v>17</v>
      </c>
      <c r="C32" s="4">
        <v>4</v>
      </c>
      <c r="D32" s="4">
        <v>6</v>
      </c>
      <c r="E32" s="4">
        <v>6</v>
      </c>
      <c r="F32" s="4">
        <v>8</v>
      </c>
      <c r="G32" s="4">
        <v>4</v>
      </c>
      <c r="H32" s="4">
        <v>11</v>
      </c>
      <c r="I32" s="4">
        <v>9</v>
      </c>
      <c r="J32" s="4">
        <v>9</v>
      </c>
      <c r="K32" s="227"/>
      <c r="L32" s="4" t="s">
        <v>17</v>
      </c>
      <c r="M32" s="4">
        <v>3</v>
      </c>
      <c r="N32" s="4">
        <v>2</v>
      </c>
      <c r="O32" s="4">
        <v>2</v>
      </c>
      <c r="P32" s="4">
        <v>11</v>
      </c>
      <c r="Q32" s="4">
        <v>5</v>
      </c>
      <c r="R32" s="4">
        <v>9</v>
      </c>
      <c r="S32" s="4">
        <v>6</v>
      </c>
      <c r="T32" s="50">
        <v>2</v>
      </c>
      <c r="U32" s="59">
        <f t="shared" si="0"/>
        <v>97</v>
      </c>
      <c r="AG32" s="96"/>
    </row>
    <row r="33" spans="1:33" ht="18.75" customHeight="1">
      <c r="A33" s="230"/>
      <c r="B33" s="46" t="s">
        <v>18</v>
      </c>
      <c r="C33" s="46">
        <v>16</v>
      </c>
      <c r="D33" s="46">
        <v>8</v>
      </c>
      <c r="E33" s="46">
        <v>12</v>
      </c>
      <c r="F33" s="46">
        <v>12</v>
      </c>
      <c r="G33" s="46">
        <v>10</v>
      </c>
      <c r="H33" s="46">
        <v>14</v>
      </c>
      <c r="I33" s="46">
        <v>13</v>
      </c>
      <c r="J33" s="46">
        <v>9</v>
      </c>
      <c r="K33" s="227"/>
      <c r="L33" s="46" t="s">
        <v>18</v>
      </c>
      <c r="M33" s="46">
        <v>8</v>
      </c>
      <c r="N33" s="46">
        <v>5</v>
      </c>
      <c r="O33" s="46">
        <v>3</v>
      </c>
      <c r="P33" s="46">
        <v>11</v>
      </c>
      <c r="Q33" s="46">
        <v>13</v>
      </c>
      <c r="R33" s="46">
        <v>9</v>
      </c>
      <c r="S33" s="46">
        <v>4</v>
      </c>
      <c r="T33" s="69">
        <v>4</v>
      </c>
      <c r="U33" s="59">
        <f t="shared" si="0"/>
        <v>151</v>
      </c>
      <c r="AG33" s="95"/>
    </row>
    <row r="34" spans="1:33" ht="18.75" customHeight="1">
      <c r="A34" s="193" t="s">
        <v>10</v>
      </c>
      <c r="B34" s="63" t="s">
        <v>13</v>
      </c>
      <c r="C34" s="121">
        <v>17</v>
      </c>
      <c r="D34" s="121">
        <v>22</v>
      </c>
      <c r="E34" s="121">
        <v>23</v>
      </c>
      <c r="F34" s="121">
        <v>17</v>
      </c>
      <c r="G34" s="121">
        <v>22</v>
      </c>
      <c r="H34" s="121">
        <v>39</v>
      </c>
      <c r="I34" s="121">
        <v>22</v>
      </c>
      <c r="J34" s="121">
        <v>15</v>
      </c>
      <c r="K34" s="194" t="s">
        <v>10</v>
      </c>
      <c r="L34" s="63" t="s">
        <v>13</v>
      </c>
      <c r="M34" s="121">
        <v>14</v>
      </c>
      <c r="N34" s="121">
        <v>15</v>
      </c>
      <c r="O34" s="121">
        <v>22</v>
      </c>
      <c r="P34" s="121">
        <v>11</v>
      </c>
      <c r="Q34" s="121">
        <v>26</v>
      </c>
      <c r="R34" s="121">
        <v>17</v>
      </c>
      <c r="S34" s="121">
        <v>10</v>
      </c>
      <c r="T34" s="124">
        <v>7</v>
      </c>
      <c r="U34" s="59">
        <f t="shared" si="0"/>
        <v>299</v>
      </c>
      <c r="AG34" s="96"/>
    </row>
    <row r="35" spans="1:33" ht="18.75" customHeight="1">
      <c r="A35" s="230"/>
      <c r="B35" s="6" t="s">
        <v>14</v>
      </c>
      <c r="C35" s="122">
        <v>7</v>
      </c>
      <c r="D35" s="122">
        <v>5</v>
      </c>
      <c r="E35" s="122">
        <v>8</v>
      </c>
      <c r="F35" s="122">
        <v>7</v>
      </c>
      <c r="G35" s="122">
        <v>8</v>
      </c>
      <c r="H35" s="122">
        <v>13</v>
      </c>
      <c r="I35" s="122">
        <v>10</v>
      </c>
      <c r="J35" s="122">
        <v>10</v>
      </c>
      <c r="K35" s="205"/>
      <c r="L35" s="6" t="s">
        <v>14</v>
      </c>
      <c r="M35" s="122">
        <v>5</v>
      </c>
      <c r="N35" s="122">
        <v>12</v>
      </c>
      <c r="O35" s="122">
        <v>10</v>
      </c>
      <c r="P35" s="26">
        <v>6</v>
      </c>
      <c r="Q35" s="122">
        <v>2</v>
      </c>
      <c r="R35" s="122">
        <v>3</v>
      </c>
      <c r="S35" s="122">
        <v>9</v>
      </c>
      <c r="T35" s="125">
        <v>0</v>
      </c>
      <c r="U35" s="59">
        <f t="shared" si="0"/>
        <v>115</v>
      </c>
      <c r="AG35" s="96"/>
    </row>
    <row r="36" spans="1:33" ht="18.75" customHeight="1">
      <c r="A36" s="230"/>
      <c r="B36" s="6" t="s">
        <v>15</v>
      </c>
      <c r="C36" s="122">
        <v>9</v>
      </c>
      <c r="D36" s="122">
        <v>19</v>
      </c>
      <c r="E36" s="122">
        <v>24</v>
      </c>
      <c r="F36" s="122">
        <v>20</v>
      </c>
      <c r="G36" s="122">
        <v>26</v>
      </c>
      <c r="H36" s="122">
        <v>25</v>
      </c>
      <c r="I36" s="122">
        <v>21</v>
      </c>
      <c r="J36" s="122">
        <v>25</v>
      </c>
      <c r="K36" s="205"/>
      <c r="L36" s="6" t="s">
        <v>15</v>
      </c>
      <c r="M36" s="122">
        <v>24</v>
      </c>
      <c r="N36" s="122">
        <v>15</v>
      </c>
      <c r="O36" s="122">
        <v>22</v>
      </c>
      <c r="P36" s="122">
        <v>14</v>
      </c>
      <c r="Q36" s="122">
        <v>24</v>
      </c>
      <c r="R36" s="122">
        <v>27</v>
      </c>
      <c r="S36" s="122">
        <v>23</v>
      </c>
      <c r="T36" s="125">
        <v>20</v>
      </c>
      <c r="U36" s="59">
        <f t="shared" si="0"/>
        <v>338</v>
      </c>
      <c r="AG36" s="96"/>
    </row>
    <row r="37" spans="1:33" ht="18.75" customHeight="1">
      <c r="A37" s="230"/>
      <c r="B37" s="6" t="s">
        <v>16</v>
      </c>
      <c r="C37" s="122">
        <v>3</v>
      </c>
      <c r="D37" s="122">
        <v>6</v>
      </c>
      <c r="E37" s="122">
        <v>7</v>
      </c>
      <c r="F37" s="122">
        <v>9</v>
      </c>
      <c r="G37" s="122">
        <v>12</v>
      </c>
      <c r="H37" s="122">
        <v>6</v>
      </c>
      <c r="I37" s="122">
        <v>6</v>
      </c>
      <c r="J37" s="122">
        <v>14</v>
      </c>
      <c r="K37" s="205"/>
      <c r="L37" s="6" t="s">
        <v>16</v>
      </c>
      <c r="M37" s="122">
        <v>1</v>
      </c>
      <c r="N37" s="122">
        <v>3</v>
      </c>
      <c r="O37" s="122">
        <v>10</v>
      </c>
      <c r="P37" s="122">
        <v>5</v>
      </c>
      <c r="Q37" s="122">
        <v>3</v>
      </c>
      <c r="R37" s="122">
        <v>3</v>
      </c>
      <c r="S37" s="122">
        <v>2</v>
      </c>
      <c r="T37" s="125">
        <v>4</v>
      </c>
      <c r="U37" s="59">
        <f t="shared" si="0"/>
        <v>94</v>
      </c>
      <c r="AG37" s="96"/>
    </row>
    <row r="38" spans="1:33" ht="18.75" customHeight="1">
      <c r="A38" s="230"/>
      <c r="B38" s="6" t="s">
        <v>17</v>
      </c>
      <c r="C38" s="122">
        <v>4</v>
      </c>
      <c r="D38" s="122">
        <v>8</v>
      </c>
      <c r="E38" s="122">
        <v>7</v>
      </c>
      <c r="F38" s="122">
        <v>8</v>
      </c>
      <c r="G38" s="122">
        <v>9</v>
      </c>
      <c r="H38" s="122">
        <v>7</v>
      </c>
      <c r="I38" s="122">
        <v>6</v>
      </c>
      <c r="J38" s="122">
        <v>17</v>
      </c>
      <c r="K38" s="205"/>
      <c r="L38" s="6" t="s">
        <v>17</v>
      </c>
      <c r="M38" s="122">
        <v>3</v>
      </c>
      <c r="N38" s="122">
        <v>4</v>
      </c>
      <c r="O38" s="122">
        <v>3</v>
      </c>
      <c r="P38" s="122">
        <v>3</v>
      </c>
      <c r="Q38" s="122">
        <v>4</v>
      </c>
      <c r="R38" s="122">
        <v>6</v>
      </c>
      <c r="S38" s="122">
        <v>5</v>
      </c>
      <c r="T38" s="125">
        <v>3</v>
      </c>
      <c r="U38" s="59">
        <f t="shared" si="0"/>
        <v>97</v>
      </c>
      <c r="AG38" s="96"/>
    </row>
    <row r="39" spans="1:33" ht="18.75" customHeight="1">
      <c r="A39" s="230"/>
      <c r="B39" s="47" t="s">
        <v>18</v>
      </c>
      <c r="C39" s="123">
        <v>17</v>
      </c>
      <c r="D39" s="123">
        <v>5</v>
      </c>
      <c r="E39" s="123">
        <v>3</v>
      </c>
      <c r="F39" s="123">
        <v>10</v>
      </c>
      <c r="G39" s="123">
        <v>8</v>
      </c>
      <c r="H39" s="123">
        <v>7</v>
      </c>
      <c r="I39" s="123">
        <v>10</v>
      </c>
      <c r="J39" s="123">
        <v>5</v>
      </c>
      <c r="K39" s="205"/>
      <c r="L39" s="47" t="s">
        <v>18</v>
      </c>
      <c r="M39" s="123">
        <v>5</v>
      </c>
      <c r="N39" s="123">
        <v>4</v>
      </c>
      <c r="O39" s="123">
        <v>6</v>
      </c>
      <c r="P39" s="123">
        <v>7</v>
      </c>
      <c r="Q39" s="123">
        <v>5</v>
      </c>
      <c r="R39" s="123">
        <v>7</v>
      </c>
      <c r="S39" s="123">
        <v>7</v>
      </c>
      <c r="T39" s="126">
        <v>6</v>
      </c>
      <c r="U39" s="59">
        <f t="shared" si="0"/>
        <v>112</v>
      </c>
      <c r="AG39" s="96"/>
    </row>
    <row r="40" spans="1:33" ht="18.75" customHeight="1">
      <c r="A40" s="195" t="s">
        <v>11</v>
      </c>
      <c r="B40" s="56" t="s">
        <v>13</v>
      </c>
      <c r="C40" s="73">
        <v>9</v>
      </c>
      <c r="D40" s="73">
        <v>16</v>
      </c>
      <c r="E40" s="73">
        <v>22</v>
      </c>
      <c r="F40" s="73">
        <v>15</v>
      </c>
      <c r="G40" s="73">
        <v>19</v>
      </c>
      <c r="H40" s="73">
        <v>29</v>
      </c>
      <c r="I40" s="73">
        <v>33</v>
      </c>
      <c r="J40" s="73">
        <v>37</v>
      </c>
      <c r="K40" s="196" t="s">
        <v>11</v>
      </c>
      <c r="L40" s="56" t="s">
        <v>13</v>
      </c>
      <c r="M40" s="73">
        <v>15</v>
      </c>
      <c r="N40" s="73">
        <v>11</v>
      </c>
      <c r="O40" s="73">
        <v>8</v>
      </c>
      <c r="P40" s="73">
        <v>13</v>
      </c>
      <c r="Q40" s="73">
        <v>5</v>
      </c>
      <c r="R40" s="73">
        <v>10</v>
      </c>
      <c r="S40" s="73">
        <v>8</v>
      </c>
      <c r="T40" s="74">
        <v>11</v>
      </c>
      <c r="U40" s="59">
        <f t="shared" si="0"/>
        <v>261</v>
      </c>
      <c r="AG40" s="95"/>
    </row>
    <row r="41" spans="1:33" ht="18.75" customHeight="1">
      <c r="A41" s="230"/>
      <c r="B41" s="4" t="s">
        <v>14</v>
      </c>
      <c r="C41" s="9">
        <v>5</v>
      </c>
      <c r="D41" s="9">
        <v>9</v>
      </c>
      <c r="E41" s="9">
        <v>10</v>
      </c>
      <c r="F41" s="9">
        <v>10</v>
      </c>
      <c r="G41" s="9">
        <v>8</v>
      </c>
      <c r="H41" s="9">
        <v>15</v>
      </c>
      <c r="I41" s="9">
        <v>18</v>
      </c>
      <c r="J41" s="9">
        <v>8</v>
      </c>
      <c r="K41" s="227"/>
      <c r="L41" s="4" t="s">
        <v>14</v>
      </c>
      <c r="M41" s="9">
        <v>9</v>
      </c>
      <c r="N41" s="9">
        <v>9</v>
      </c>
      <c r="O41" s="9">
        <v>12</v>
      </c>
      <c r="P41" s="9">
        <v>8</v>
      </c>
      <c r="Q41" s="9">
        <v>1</v>
      </c>
      <c r="R41" s="9">
        <v>2</v>
      </c>
      <c r="S41" s="9">
        <v>3</v>
      </c>
      <c r="T41" s="53">
        <v>3</v>
      </c>
      <c r="U41" s="59">
        <f t="shared" si="0"/>
        <v>130</v>
      </c>
      <c r="AG41" s="96"/>
    </row>
    <row r="42" spans="1:33" ht="18.75" customHeight="1">
      <c r="A42" s="230"/>
      <c r="B42" s="4" t="s">
        <v>15</v>
      </c>
      <c r="C42" s="9">
        <v>14</v>
      </c>
      <c r="D42" s="9">
        <v>11</v>
      </c>
      <c r="E42" s="9">
        <v>19</v>
      </c>
      <c r="F42" s="9">
        <v>23</v>
      </c>
      <c r="G42" s="9">
        <v>21</v>
      </c>
      <c r="H42" s="9">
        <v>25</v>
      </c>
      <c r="I42" s="9">
        <v>20</v>
      </c>
      <c r="J42" s="9">
        <v>22</v>
      </c>
      <c r="K42" s="227"/>
      <c r="L42" s="4" t="s">
        <v>15</v>
      </c>
      <c r="M42" s="9">
        <v>18</v>
      </c>
      <c r="N42" s="9">
        <v>17</v>
      </c>
      <c r="O42" s="9">
        <v>37</v>
      </c>
      <c r="P42" s="9">
        <v>25</v>
      </c>
      <c r="Q42" s="9">
        <v>19</v>
      </c>
      <c r="R42" s="9">
        <v>13</v>
      </c>
      <c r="S42" s="9">
        <v>18</v>
      </c>
      <c r="T42" s="53">
        <v>17</v>
      </c>
      <c r="U42" s="59">
        <f t="shared" si="0"/>
        <v>319</v>
      </c>
      <c r="AG42" s="96"/>
    </row>
    <row r="43" spans="1:33" ht="18.75" customHeight="1">
      <c r="A43" s="230"/>
      <c r="B43" s="4" t="s">
        <v>16</v>
      </c>
      <c r="C43" s="9">
        <v>2</v>
      </c>
      <c r="D43" s="9">
        <v>2</v>
      </c>
      <c r="E43" s="9">
        <v>4</v>
      </c>
      <c r="F43" s="9">
        <v>6</v>
      </c>
      <c r="G43" s="9">
        <v>9</v>
      </c>
      <c r="H43" s="9">
        <v>6</v>
      </c>
      <c r="I43" s="9">
        <v>9</v>
      </c>
      <c r="J43" s="9">
        <v>4</v>
      </c>
      <c r="K43" s="227"/>
      <c r="L43" s="4" t="s">
        <v>16</v>
      </c>
      <c r="M43" s="9">
        <v>4</v>
      </c>
      <c r="N43" s="9">
        <v>5</v>
      </c>
      <c r="O43" s="9">
        <v>5</v>
      </c>
      <c r="P43" s="9">
        <v>13</v>
      </c>
      <c r="Q43" s="9">
        <v>2</v>
      </c>
      <c r="R43" s="9">
        <v>0</v>
      </c>
      <c r="S43" s="9">
        <v>2</v>
      </c>
      <c r="T43" s="53">
        <v>2</v>
      </c>
      <c r="U43" s="59">
        <f t="shared" si="0"/>
        <v>75</v>
      </c>
      <c r="AG43" s="96"/>
    </row>
    <row r="44" spans="1:33" ht="18.75" customHeight="1">
      <c r="A44" s="230"/>
      <c r="B44" s="4" t="s">
        <v>17</v>
      </c>
      <c r="C44" s="9">
        <v>4</v>
      </c>
      <c r="D44" s="9">
        <v>10</v>
      </c>
      <c r="E44" s="9">
        <v>9</v>
      </c>
      <c r="F44" s="9">
        <v>5</v>
      </c>
      <c r="G44" s="9">
        <v>8</v>
      </c>
      <c r="H44" s="9">
        <v>11</v>
      </c>
      <c r="I44" s="9">
        <v>9</v>
      </c>
      <c r="J44" s="9">
        <v>6</v>
      </c>
      <c r="K44" s="227"/>
      <c r="L44" s="4" t="s">
        <v>17</v>
      </c>
      <c r="M44" s="9">
        <v>4</v>
      </c>
      <c r="N44" s="9">
        <v>5</v>
      </c>
      <c r="O44" s="9">
        <v>4</v>
      </c>
      <c r="P44" s="9">
        <v>5</v>
      </c>
      <c r="Q44" s="9">
        <v>2</v>
      </c>
      <c r="R44" s="9">
        <v>4</v>
      </c>
      <c r="S44" s="9">
        <v>2</v>
      </c>
      <c r="T44" s="53">
        <v>2</v>
      </c>
      <c r="U44" s="59">
        <f t="shared" si="0"/>
        <v>90</v>
      </c>
      <c r="AG44" s="96"/>
    </row>
    <row r="45" spans="1:33" ht="18.75" customHeight="1">
      <c r="A45" s="231"/>
      <c r="B45" s="61" t="s">
        <v>18</v>
      </c>
      <c r="C45" s="75">
        <v>12</v>
      </c>
      <c r="D45" s="75">
        <v>7</v>
      </c>
      <c r="E45" s="75">
        <v>4</v>
      </c>
      <c r="F45" s="75">
        <v>6</v>
      </c>
      <c r="G45" s="75">
        <v>7</v>
      </c>
      <c r="H45" s="75">
        <v>10</v>
      </c>
      <c r="I45" s="75">
        <v>12</v>
      </c>
      <c r="J45" s="75">
        <v>10</v>
      </c>
      <c r="K45" s="232"/>
      <c r="L45" s="61" t="s">
        <v>18</v>
      </c>
      <c r="M45" s="75">
        <v>4</v>
      </c>
      <c r="N45" s="75">
        <v>9</v>
      </c>
      <c r="O45" s="75">
        <v>8</v>
      </c>
      <c r="P45" s="75">
        <v>3</v>
      </c>
      <c r="Q45" s="75">
        <v>7</v>
      </c>
      <c r="R45" s="75">
        <v>5</v>
      </c>
      <c r="S45" s="75">
        <v>3</v>
      </c>
      <c r="T45" s="76">
        <v>3</v>
      </c>
      <c r="U45" s="59">
        <f t="shared" si="0"/>
        <v>110</v>
      </c>
      <c r="AG45" s="96"/>
    </row>
    <row r="46" spans="1:33" ht="18.75" customHeight="1">
      <c r="AG46" s="96"/>
    </row>
    <row r="47" spans="1:33" ht="18.75" customHeight="1">
      <c r="A47" s="1"/>
      <c r="B47" s="1"/>
      <c r="C47" s="183" t="s">
        <v>0</v>
      </c>
      <c r="D47" s="225"/>
      <c r="E47" s="225"/>
      <c r="F47" s="225"/>
      <c r="G47" s="226"/>
      <c r="H47" s="2"/>
      <c r="I47" s="1"/>
    </row>
    <row r="48" spans="1:33" ht="18.75" customHeight="1">
      <c r="A48" s="1"/>
      <c r="B48" s="183" t="s">
        <v>1</v>
      </c>
      <c r="C48" s="225"/>
      <c r="D48" s="226"/>
      <c r="E48" s="1"/>
      <c r="F48" s="184" t="s">
        <v>2</v>
      </c>
      <c r="G48" s="225"/>
      <c r="H48" s="226"/>
      <c r="I48" s="1"/>
      <c r="K48" s="1"/>
      <c r="L48" s="183" t="s">
        <v>26</v>
      </c>
      <c r="M48" s="225"/>
      <c r="N48" s="226"/>
      <c r="O48" s="1"/>
      <c r="P48" s="184" t="s">
        <v>88</v>
      </c>
      <c r="Q48" s="225"/>
      <c r="R48" s="226"/>
      <c r="S48" s="1"/>
    </row>
    <row r="49" spans="1:40" ht="18.75" customHeight="1">
      <c r="A49" s="54" t="s">
        <v>35</v>
      </c>
      <c r="B49" s="54" t="s">
        <v>4</v>
      </c>
      <c r="C49" s="54" t="s">
        <v>12</v>
      </c>
      <c r="D49" s="54" t="s">
        <v>19</v>
      </c>
      <c r="E49" s="54" t="s">
        <v>20</v>
      </c>
      <c r="F49" s="54" t="s">
        <v>21</v>
      </c>
      <c r="G49" s="54" t="s">
        <v>22</v>
      </c>
      <c r="H49" s="54" t="s">
        <v>23</v>
      </c>
      <c r="I49" s="54" t="s">
        <v>24</v>
      </c>
      <c r="J49" s="54" t="s">
        <v>25</v>
      </c>
      <c r="K49" s="54" t="s">
        <v>35</v>
      </c>
      <c r="L49" s="54" t="s">
        <v>4</v>
      </c>
      <c r="M49" s="54" t="s">
        <v>27</v>
      </c>
      <c r="N49" s="54" t="s">
        <v>28</v>
      </c>
      <c r="O49" s="54" t="s">
        <v>29</v>
      </c>
      <c r="P49" s="54" t="s">
        <v>30</v>
      </c>
      <c r="Q49" s="54" t="s">
        <v>31</v>
      </c>
      <c r="R49" s="54" t="s">
        <v>32</v>
      </c>
      <c r="S49" s="54" t="s">
        <v>33</v>
      </c>
      <c r="T49" s="54" t="s">
        <v>34</v>
      </c>
      <c r="U49" s="54" t="s">
        <v>55</v>
      </c>
    </row>
    <row r="50" spans="1:40" ht="18.75" customHeight="1">
      <c r="A50" s="195" t="s">
        <v>5</v>
      </c>
      <c r="B50" s="56" t="s">
        <v>13</v>
      </c>
      <c r="C50" s="57"/>
      <c r="D50" s="57"/>
      <c r="E50" s="56">
        <v>6</v>
      </c>
      <c r="F50" s="56">
        <v>19</v>
      </c>
      <c r="G50" s="56">
        <v>29</v>
      </c>
      <c r="H50" s="56">
        <v>43</v>
      </c>
      <c r="I50" s="56">
        <v>29</v>
      </c>
      <c r="J50" s="56">
        <v>25</v>
      </c>
      <c r="K50" s="196" t="s">
        <v>5</v>
      </c>
      <c r="L50" s="56" t="s">
        <v>13</v>
      </c>
      <c r="M50" s="56">
        <v>8</v>
      </c>
      <c r="N50" s="56">
        <v>16</v>
      </c>
      <c r="O50" s="56">
        <v>18</v>
      </c>
      <c r="P50" s="56">
        <v>12</v>
      </c>
      <c r="Q50" s="56">
        <v>9</v>
      </c>
      <c r="R50" s="57"/>
      <c r="S50" s="57"/>
      <c r="T50" s="58"/>
      <c r="U50" s="59">
        <f>SUM(M50:T50,C50:J50)</f>
        <v>214</v>
      </c>
      <c r="W50" s="197" t="s">
        <v>88</v>
      </c>
      <c r="X50" s="198"/>
      <c r="AG50" s="190" t="s">
        <v>58</v>
      </c>
      <c r="AH50" s="191"/>
      <c r="AI50" s="191"/>
      <c r="AJ50" s="191"/>
      <c r="AK50" s="191"/>
      <c r="AL50" s="191"/>
      <c r="AM50" s="191"/>
      <c r="AN50" s="192"/>
    </row>
    <row r="51" spans="1:40" ht="18.75" customHeight="1">
      <c r="A51" s="230"/>
      <c r="B51" s="4" t="s">
        <v>14</v>
      </c>
      <c r="C51" s="5"/>
      <c r="D51" s="5"/>
      <c r="E51" s="4">
        <v>7</v>
      </c>
      <c r="F51" s="4">
        <v>4</v>
      </c>
      <c r="G51" s="4">
        <v>5</v>
      </c>
      <c r="H51" s="4">
        <v>7</v>
      </c>
      <c r="I51" s="4">
        <v>12</v>
      </c>
      <c r="J51" s="4">
        <v>8</v>
      </c>
      <c r="K51" s="227"/>
      <c r="L51" s="4" t="s">
        <v>14</v>
      </c>
      <c r="M51" s="4">
        <v>6</v>
      </c>
      <c r="N51" s="4">
        <v>5</v>
      </c>
      <c r="O51" s="4">
        <v>6</v>
      </c>
      <c r="P51" s="4">
        <v>5</v>
      </c>
      <c r="Q51" s="4">
        <v>1</v>
      </c>
      <c r="R51" s="5"/>
      <c r="S51" s="5"/>
      <c r="T51" s="49"/>
      <c r="U51" s="59">
        <f t="shared" ref="U51:U91" si="11">SUM(M51:T51,C51:J51)</f>
        <v>66</v>
      </c>
      <c r="W51" s="55" t="s">
        <v>5</v>
      </c>
      <c r="X51" s="48">
        <f>SUM(U50:U55)</f>
        <v>670</v>
      </c>
      <c r="AG51" s="98" t="s">
        <v>4</v>
      </c>
      <c r="AH51" s="98" t="s">
        <v>5</v>
      </c>
      <c r="AI51" s="98" t="s">
        <v>6</v>
      </c>
      <c r="AJ51" s="98" t="s">
        <v>7</v>
      </c>
      <c r="AK51" s="98" t="s">
        <v>8</v>
      </c>
      <c r="AL51" s="98" t="s">
        <v>9</v>
      </c>
      <c r="AM51" s="98" t="s">
        <v>10</v>
      </c>
      <c r="AN51" s="98" t="s">
        <v>11</v>
      </c>
    </row>
    <row r="52" spans="1:40" ht="18.75" customHeight="1">
      <c r="A52" s="230"/>
      <c r="B52" s="4" t="s">
        <v>15</v>
      </c>
      <c r="C52" s="5"/>
      <c r="D52" s="5"/>
      <c r="E52" s="4">
        <v>7</v>
      </c>
      <c r="F52" s="4">
        <v>12</v>
      </c>
      <c r="G52" s="4">
        <v>19</v>
      </c>
      <c r="H52" s="4">
        <v>31</v>
      </c>
      <c r="I52" s="4">
        <v>25</v>
      </c>
      <c r="J52" s="4">
        <v>21</v>
      </c>
      <c r="K52" s="227"/>
      <c r="L52" s="4" t="s">
        <v>15</v>
      </c>
      <c r="M52" s="4">
        <v>21</v>
      </c>
      <c r="N52" s="4">
        <v>17</v>
      </c>
      <c r="O52" s="4">
        <v>15</v>
      </c>
      <c r="P52" s="4">
        <v>10</v>
      </c>
      <c r="Q52" s="4">
        <v>7</v>
      </c>
      <c r="R52" s="5"/>
      <c r="S52" s="5"/>
      <c r="T52" s="49"/>
      <c r="U52" s="59">
        <f t="shared" si="11"/>
        <v>185</v>
      </c>
      <c r="W52" s="55" t="s">
        <v>6</v>
      </c>
      <c r="X52" s="48">
        <f>SUM(U56:U61)</f>
        <v>576</v>
      </c>
      <c r="AG52" s="79" t="s">
        <v>13</v>
      </c>
      <c r="AH52" s="79">
        <f t="shared" ref="AH52:AH57" si="12">U50</f>
        <v>214</v>
      </c>
      <c r="AI52" s="79">
        <f t="shared" ref="AI52:AI57" si="13">U56</f>
        <v>181</v>
      </c>
      <c r="AJ52" s="79">
        <f t="shared" ref="AJ52:AJ57" si="14">U62</f>
        <v>415</v>
      </c>
      <c r="AK52" s="79">
        <f t="shared" ref="AK52:AK57" si="15">U68</f>
        <v>321</v>
      </c>
      <c r="AL52" s="79">
        <f t="shared" ref="AL52:AL57" si="16">U74</f>
        <v>352</v>
      </c>
      <c r="AM52" s="79">
        <f t="shared" ref="AM52:AM57" si="17">U80</f>
        <v>339</v>
      </c>
      <c r="AN52" s="79">
        <f t="shared" ref="AN52:AN57" si="18">U86</f>
        <v>227</v>
      </c>
    </row>
    <row r="53" spans="1:40" ht="18.75" customHeight="1">
      <c r="A53" s="230"/>
      <c r="B53" s="4" t="s">
        <v>16</v>
      </c>
      <c r="C53" s="5"/>
      <c r="D53" s="5"/>
      <c r="E53" s="4">
        <v>1</v>
      </c>
      <c r="F53" s="4">
        <v>8</v>
      </c>
      <c r="G53" s="4">
        <v>7</v>
      </c>
      <c r="H53" s="4">
        <v>10</v>
      </c>
      <c r="I53" s="4">
        <v>7</v>
      </c>
      <c r="J53" s="4">
        <v>5</v>
      </c>
      <c r="K53" s="227"/>
      <c r="L53" s="4" t="s">
        <v>16</v>
      </c>
      <c r="M53" s="4">
        <v>2</v>
      </c>
      <c r="N53" s="4">
        <v>9</v>
      </c>
      <c r="O53" s="4">
        <v>2</v>
      </c>
      <c r="P53" s="4">
        <v>2</v>
      </c>
      <c r="Q53" s="4">
        <v>2</v>
      </c>
      <c r="R53" s="5"/>
      <c r="S53" s="5"/>
      <c r="T53" s="49"/>
      <c r="U53" s="59">
        <f t="shared" si="11"/>
        <v>55</v>
      </c>
      <c r="W53" s="55" t="s">
        <v>7</v>
      </c>
      <c r="X53" s="48">
        <f>SUM(U62:U67)</f>
        <v>1426</v>
      </c>
      <c r="AG53" s="97" t="s">
        <v>14</v>
      </c>
      <c r="AH53" s="97">
        <f t="shared" si="12"/>
        <v>66</v>
      </c>
      <c r="AI53" s="97">
        <f t="shared" si="13"/>
        <v>68</v>
      </c>
      <c r="AJ53" s="97">
        <f t="shared" si="14"/>
        <v>172</v>
      </c>
      <c r="AK53" s="97">
        <f t="shared" si="15"/>
        <v>118</v>
      </c>
      <c r="AL53" s="97">
        <f t="shared" si="16"/>
        <v>142</v>
      </c>
      <c r="AM53" s="97">
        <f t="shared" si="17"/>
        <v>138</v>
      </c>
      <c r="AN53" s="97">
        <f t="shared" si="18"/>
        <v>97</v>
      </c>
    </row>
    <row r="54" spans="1:40" ht="18.75" customHeight="1">
      <c r="A54" s="230"/>
      <c r="B54" s="4" t="s">
        <v>17</v>
      </c>
      <c r="C54" s="5"/>
      <c r="D54" s="5"/>
      <c r="E54" s="4">
        <v>4</v>
      </c>
      <c r="F54" s="4">
        <v>5</v>
      </c>
      <c r="G54" s="4">
        <v>9</v>
      </c>
      <c r="H54" s="4">
        <v>15</v>
      </c>
      <c r="I54" s="4">
        <v>6</v>
      </c>
      <c r="J54" s="4">
        <v>12</v>
      </c>
      <c r="K54" s="227"/>
      <c r="L54" s="4" t="s">
        <v>17</v>
      </c>
      <c r="M54" s="4">
        <v>4</v>
      </c>
      <c r="N54" s="4">
        <v>3</v>
      </c>
      <c r="O54" s="4">
        <v>3</v>
      </c>
      <c r="P54" s="4">
        <v>8</v>
      </c>
      <c r="Q54" s="4">
        <v>1</v>
      </c>
      <c r="R54" s="5"/>
      <c r="S54" s="5"/>
      <c r="T54" s="49"/>
      <c r="U54" s="59">
        <f t="shared" si="11"/>
        <v>70</v>
      </c>
      <c r="W54" s="55" t="s">
        <v>61</v>
      </c>
      <c r="X54" s="48">
        <f>SUM(U68:U73)</f>
        <v>1085</v>
      </c>
      <c r="AG54" s="79" t="s">
        <v>15</v>
      </c>
      <c r="AH54" s="79">
        <f t="shared" si="12"/>
        <v>185</v>
      </c>
      <c r="AI54" s="79">
        <f t="shared" si="13"/>
        <v>181</v>
      </c>
      <c r="AJ54" s="79">
        <f t="shared" si="14"/>
        <v>403</v>
      </c>
      <c r="AK54" s="79">
        <f t="shared" si="15"/>
        <v>362</v>
      </c>
      <c r="AL54" s="79">
        <f t="shared" si="16"/>
        <v>340</v>
      </c>
      <c r="AM54" s="79">
        <f t="shared" si="17"/>
        <v>314</v>
      </c>
      <c r="AN54" s="79">
        <f t="shared" si="18"/>
        <v>283</v>
      </c>
    </row>
    <row r="55" spans="1:40" ht="18.75" customHeight="1">
      <c r="A55" s="230"/>
      <c r="B55" s="46" t="s">
        <v>18</v>
      </c>
      <c r="C55" s="64"/>
      <c r="D55" s="64"/>
      <c r="E55" s="46">
        <v>10</v>
      </c>
      <c r="F55" s="46">
        <v>3</v>
      </c>
      <c r="G55" s="46">
        <v>13</v>
      </c>
      <c r="H55" s="46">
        <v>12</v>
      </c>
      <c r="I55" s="46">
        <v>9</v>
      </c>
      <c r="J55" s="46">
        <v>10</v>
      </c>
      <c r="K55" s="227"/>
      <c r="L55" s="46" t="s">
        <v>18</v>
      </c>
      <c r="M55" s="46">
        <v>3</v>
      </c>
      <c r="N55" s="46">
        <v>5</v>
      </c>
      <c r="O55" s="46">
        <v>5</v>
      </c>
      <c r="P55" s="46">
        <v>7</v>
      </c>
      <c r="Q55" s="46">
        <v>3</v>
      </c>
      <c r="R55" s="64"/>
      <c r="S55" s="64"/>
      <c r="T55" s="65"/>
      <c r="U55" s="59">
        <f t="shared" si="11"/>
        <v>80</v>
      </c>
      <c r="W55" s="55" t="s">
        <v>9</v>
      </c>
      <c r="X55" s="48">
        <f>SUM(U74:U79)</f>
        <v>1198</v>
      </c>
      <c r="AG55" s="97" t="s">
        <v>16</v>
      </c>
      <c r="AH55" s="97">
        <f t="shared" si="12"/>
        <v>55</v>
      </c>
      <c r="AI55" s="97">
        <f t="shared" si="13"/>
        <v>40</v>
      </c>
      <c r="AJ55" s="97">
        <f t="shared" si="14"/>
        <v>126</v>
      </c>
      <c r="AK55" s="97">
        <f t="shared" si="15"/>
        <v>78</v>
      </c>
      <c r="AL55" s="97">
        <f t="shared" si="16"/>
        <v>107</v>
      </c>
      <c r="AM55" s="97">
        <f t="shared" si="17"/>
        <v>92</v>
      </c>
      <c r="AN55" s="97">
        <f t="shared" si="18"/>
        <v>44</v>
      </c>
    </row>
    <row r="56" spans="1:40" ht="18.75" customHeight="1">
      <c r="A56" s="193" t="s">
        <v>6</v>
      </c>
      <c r="B56" s="63" t="s">
        <v>13</v>
      </c>
      <c r="C56" s="57"/>
      <c r="D56" s="57"/>
      <c r="E56" s="57"/>
      <c r="F56" s="63">
        <v>19</v>
      </c>
      <c r="G56" s="63">
        <v>23</v>
      </c>
      <c r="H56" s="63">
        <v>28</v>
      </c>
      <c r="I56" s="63">
        <v>31</v>
      </c>
      <c r="J56" s="63">
        <v>26</v>
      </c>
      <c r="K56" s="194" t="s">
        <v>6</v>
      </c>
      <c r="L56" s="63" t="s">
        <v>13</v>
      </c>
      <c r="M56" s="63">
        <v>8</v>
      </c>
      <c r="N56" s="63">
        <v>16</v>
      </c>
      <c r="O56" s="63">
        <v>18</v>
      </c>
      <c r="P56" s="63">
        <v>12</v>
      </c>
      <c r="Q56" s="57"/>
      <c r="R56" s="57"/>
      <c r="S56" s="57"/>
      <c r="T56" s="58"/>
      <c r="U56" s="59">
        <f t="shared" si="11"/>
        <v>181</v>
      </c>
      <c r="W56" s="55" t="s">
        <v>10</v>
      </c>
      <c r="X56" s="48">
        <f>SUM(U80:U85)</f>
        <v>1134</v>
      </c>
      <c r="AG56" s="79" t="s">
        <v>17</v>
      </c>
      <c r="AH56" s="79">
        <f t="shared" si="12"/>
        <v>70</v>
      </c>
      <c r="AI56" s="79">
        <f t="shared" si="13"/>
        <v>58</v>
      </c>
      <c r="AJ56" s="79">
        <f t="shared" si="14"/>
        <v>122</v>
      </c>
      <c r="AK56" s="79">
        <f t="shared" si="15"/>
        <v>96</v>
      </c>
      <c r="AL56" s="79">
        <f t="shared" si="16"/>
        <v>119</v>
      </c>
      <c r="AM56" s="79">
        <f t="shared" si="17"/>
        <v>92</v>
      </c>
      <c r="AN56" s="79">
        <f t="shared" si="18"/>
        <v>86</v>
      </c>
    </row>
    <row r="57" spans="1:40" ht="18.75" customHeight="1">
      <c r="A57" s="230"/>
      <c r="B57" s="6" t="s">
        <v>14</v>
      </c>
      <c r="C57" s="5"/>
      <c r="D57" s="5"/>
      <c r="E57" s="5"/>
      <c r="F57" s="6">
        <v>8</v>
      </c>
      <c r="G57" s="6">
        <v>7</v>
      </c>
      <c r="H57" s="6">
        <v>13</v>
      </c>
      <c r="I57" s="6">
        <v>9</v>
      </c>
      <c r="J57" s="6">
        <v>9</v>
      </c>
      <c r="K57" s="227"/>
      <c r="L57" s="6" t="s">
        <v>14</v>
      </c>
      <c r="M57" s="6">
        <v>6</v>
      </c>
      <c r="N57" s="6">
        <v>5</v>
      </c>
      <c r="O57" s="6">
        <v>6</v>
      </c>
      <c r="P57" s="6">
        <v>5</v>
      </c>
      <c r="Q57" s="5"/>
      <c r="R57" s="5"/>
      <c r="S57" s="5"/>
      <c r="T57" s="49"/>
      <c r="U57" s="59">
        <f t="shared" si="11"/>
        <v>68</v>
      </c>
      <c r="W57" s="81" t="s">
        <v>11</v>
      </c>
      <c r="X57" s="80">
        <f>SUM(U86:U91)</f>
        <v>857</v>
      </c>
      <c r="AG57" s="97" t="s">
        <v>18</v>
      </c>
      <c r="AH57" s="97">
        <f t="shared" si="12"/>
        <v>80</v>
      </c>
      <c r="AI57" s="97">
        <f t="shared" si="13"/>
        <v>48</v>
      </c>
      <c r="AJ57" s="97">
        <f t="shared" si="14"/>
        <v>188</v>
      </c>
      <c r="AK57" s="97">
        <f t="shared" si="15"/>
        <v>110</v>
      </c>
      <c r="AL57" s="97">
        <f t="shared" si="16"/>
        <v>138</v>
      </c>
      <c r="AM57" s="97">
        <f t="shared" si="17"/>
        <v>159</v>
      </c>
      <c r="AN57" s="97">
        <f t="shared" si="18"/>
        <v>120</v>
      </c>
    </row>
    <row r="58" spans="1:40" ht="18.75" customHeight="1">
      <c r="A58" s="230"/>
      <c r="B58" s="6" t="s">
        <v>15</v>
      </c>
      <c r="C58" s="5"/>
      <c r="D58" s="5"/>
      <c r="E58" s="5"/>
      <c r="F58" s="6">
        <v>13</v>
      </c>
      <c r="G58" s="6">
        <v>23</v>
      </c>
      <c r="H58" s="6">
        <v>28</v>
      </c>
      <c r="I58" s="6">
        <v>30</v>
      </c>
      <c r="J58" s="6">
        <v>24</v>
      </c>
      <c r="K58" s="227"/>
      <c r="L58" s="6" t="s">
        <v>15</v>
      </c>
      <c r="M58" s="6">
        <v>21</v>
      </c>
      <c r="N58" s="6">
        <v>17</v>
      </c>
      <c r="O58" s="6">
        <v>15</v>
      </c>
      <c r="P58" s="6">
        <v>10</v>
      </c>
      <c r="Q58" s="5"/>
      <c r="R58" s="5"/>
      <c r="S58" s="5"/>
      <c r="T58" s="49"/>
      <c r="U58" s="59">
        <f t="shared" si="11"/>
        <v>181</v>
      </c>
      <c r="W58" s="79" t="s">
        <v>63</v>
      </c>
      <c r="X58" s="82">
        <f>SUM(X51:X57)</f>
        <v>6946</v>
      </c>
    </row>
    <row r="59" spans="1:40" ht="18.75" customHeight="1">
      <c r="A59" s="230"/>
      <c r="B59" s="6" t="s">
        <v>16</v>
      </c>
      <c r="C59" s="5"/>
      <c r="D59" s="5"/>
      <c r="E59" s="5"/>
      <c r="F59" s="6">
        <v>3</v>
      </c>
      <c r="G59" s="6">
        <v>7</v>
      </c>
      <c r="H59" s="6">
        <v>3</v>
      </c>
      <c r="I59" s="6">
        <v>7</v>
      </c>
      <c r="J59" s="6">
        <v>5</v>
      </c>
      <c r="K59" s="227"/>
      <c r="L59" s="6" t="s">
        <v>16</v>
      </c>
      <c r="M59" s="6">
        <v>2</v>
      </c>
      <c r="N59" s="6">
        <v>9</v>
      </c>
      <c r="O59" s="6">
        <v>2</v>
      </c>
      <c r="P59" s="6">
        <v>2</v>
      </c>
      <c r="Q59" s="5"/>
      <c r="R59" s="5"/>
      <c r="S59" s="5"/>
      <c r="T59" s="49"/>
      <c r="U59" s="59">
        <f t="shared" si="11"/>
        <v>40</v>
      </c>
    </row>
    <row r="60" spans="1:40" ht="18.75" customHeight="1">
      <c r="A60" s="230"/>
      <c r="B60" s="6" t="s">
        <v>17</v>
      </c>
      <c r="C60" s="5"/>
      <c r="D60" s="5"/>
      <c r="E60" s="5"/>
      <c r="F60" s="6">
        <v>4</v>
      </c>
      <c r="G60" s="6">
        <v>10</v>
      </c>
      <c r="H60" s="6">
        <v>12</v>
      </c>
      <c r="I60" s="6">
        <v>6</v>
      </c>
      <c r="J60" s="6">
        <v>8</v>
      </c>
      <c r="K60" s="227"/>
      <c r="L60" s="6" t="s">
        <v>17</v>
      </c>
      <c r="M60" s="6">
        <v>4</v>
      </c>
      <c r="N60" s="6">
        <v>3</v>
      </c>
      <c r="O60" s="6">
        <v>3</v>
      </c>
      <c r="P60" s="6">
        <v>8</v>
      </c>
      <c r="Q60" s="5"/>
      <c r="R60" s="5"/>
      <c r="S60" s="5"/>
      <c r="T60" s="49"/>
      <c r="U60" s="59">
        <f t="shared" si="11"/>
        <v>58</v>
      </c>
    </row>
    <row r="61" spans="1:40" ht="18.75" customHeight="1">
      <c r="A61" s="230"/>
      <c r="B61" s="47" t="s">
        <v>18</v>
      </c>
      <c r="C61" s="64"/>
      <c r="D61" s="64"/>
      <c r="E61" s="64"/>
      <c r="F61" s="47">
        <v>2</v>
      </c>
      <c r="G61" s="47">
        <v>2</v>
      </c>
      <c r="H61" s="47">
        <v>8</v>
      </c>
      <c r="I61" s="47">
        <v>9</v>
      </c>
      <c r="J61" s="47">
        <v>7</v>
      </c>
      <c r="K61" s="227"/>
      <c r="L61" s="47" t="s">
        <v>18</v>
      </c>
      <c r="M61" s="47">
        <v>3</v>
      </c>
      <c r="N61" s="47">
        <v>5</v>
      </c>
      <c r="O61" s="47">
        <v>5</v>
      </c>
      <c r="P61" s="47">
        <v>7</v>
      </c>
      <c r="Q61" s="64"/>
      <c r="R61" s="64"/>
      <c r="S61" s="64"/>
      <c r="T61" s="65"/>
      <c r="U61" s="59">
        <f t="shared" si="11"/>
        <v>48</v>
      </c>
    </row>
    <row r="62" spans="1:40" ht="18.75" customHeight="1">
      <c r="A62" s="195" t="s">
        <v>7</v>
      </c>
      <c r="B62" s="56" t="s">
        <v>13</v>
      </c>
      <c r="C62" s="56">
        <v>20</v>
      </c>
      <c r="D62" s="56">
        <v>25</v>
      </c>
      <c r="E62" s="56">
        <v>30</v>
      </c>
      <c r="F62" s="56">
        <v>34</v>
      </c>
      <c r="G62" s="56">
        <v>36</v>
      </c>
      <c r="H62" s="56">
        <v>38</v>
      </c>
      <c r="I62" s="56">
        <v>36</v>
      </c>
      <c r="J62" s="56">
        <v>20</v>
      </c>
      <c r="K62" s="196" t="s">
        <v>7</v>
      </c>
      <c r="L62" s="56" t="s">
        <v>13</v>
      </c>
      <c r="M62" s="56">
        <v>27</v>
      </c>
      <c r="N62" s="56">
        <v>25</v>
      </c>
      <c r="O62" s="56">
        <v>27</v>
      </c>
      <c r="P62" s="56">
        <v>24</v>
      </c>
      <c r="Q62" s="56">
        <v>26</v>
      </c>
      <c r="R62" s="56">
        <v>20</v>
      </c>
      <c r="S62" s="56">
        <v>18</v>
      </c>
      <c r="T62" s="67">
        <v>9</v>
      </c>
      <c r="U62" s="59">
        <f t="shared" si="11"/>
        <v>415</v>
      </c>
    </row>
    <row r="63" spans="1:40" ht="18.75" customHeight="1">
      <c r="A63" s="230"/>
      <c r="B63" s="4" t="s">
        <v>14</v>
      </c>
      <c r="C63" s="4">
        <v>6</v>
      </c>
      <c r="D63" s="4">
        <v>12</v>
      </c>
      <c r="E63" s="4">
        <v>12</v>
      </c>
      <c r="F63" s="4">
        <v>12</v>
      </c>
      <c r="G63" s="4">
        <v>14</v>
      </c>
      <c r="H63" s="4">
        <v>13</v>
      </c>
      <c r="I63" s="4">
        <v>10</v>
      </c>
      <c r="J63" s="4">
        <v>8</v>
      </c>
      <c r="K63" s="227"/>
      <c r="L63" s="4" t="s">
        <v>14</v>
      </c>
      <c r="M63" s="4">
        <v>14</v>
      </c>
      <c r="N63" s="4">
        <v>12</v>
      </c>
      <c r="O63" s="4">
        <v>14</v>
      </c>
      <c r="P63" s="4">
        <v>13</v>
      </c>
      <c r="Q63" s="4">
        <v>12</v>
      </c>
      <c r="R63" s="4">
        <v>7</v>
      </c>
      <c r="S63" s="4">
        <v>11</v>
      </c>
      <c r="T63" s="50">
        <v>2</v>
      </c>
      <c r="U63" s="59">
        <f t="shared" si="11"/>
        <v>172</v>
      </c>
    </row>
    <row r="64" spans="1:40" ht="18.75" customHeight="1">
      <c r="A64" s="230"/>
      <c r="B64" s="4" t="s">
        <v>15</v>
      </c>
      <c r="C64" s="4">
        <v>14</v>
      </c>
      <c r="D64" s="4">
        <v>19</v>
      </c>
      <c r="E64" s="4">
        <v>25</v>
      </c>
      <c r="F64" s="4">
        <v>28</v>
      </c>
      <c r="G64" s="4">
        <v>27</v>
      </c>
      <c r="H64" s="4">
        <v>29</v>
      </c>
      <c r="I64" s="4">
        <v>22</v>
      </c>
      <c r="J64" s="4">
        <v>20</v>
      </c>
      <c r="K64" s="227"/>
      <c r="L64" s="4" t="s">
        <v>15</v>
      </c>
      <c r="M64" s="4">
        <v>21</v>
      </c>
      <c r="N64" s="4">
        <v>20</v>
      </c>
      <c r="O64" s="4">
        <v>22</v>
      </c>
      <c r="P64" s="4">
        <v>28</v>
      </c>
      <c r="Q64" s="4">
        <v>43</v>
      </c>
      <c r="R64" s="4">
        <v>26</v>
      </c>
      <c r="S64" s="4">
        <v>26</v>
      </c>
      <c r="T64" s="50">
        <v>33</v>
      </c>
      <c r="U64" s="59">
        <f t="shared" si="11"/>
        <v>403</v>
      </c>
    </row>
    <row r="65" spans="1:21" ht="18.75" customHeight="1">
      <c r="A65" s="230"/>
      <c r="B65" s="4" t="s">
        <v>16</v>
      </c>
      <c r="C65" s="4">
        <v>1</v>
      </c>
      <c r="D65" s="4">
        <v>11</v>
      </c>
      <c r="E65" s="4">
        <v>16</v>
      </c>
      <c r="F65" s="4">
        <v>4</v>
      </c>
      <c r="G65" s="4">
        <v>11</v>
      </c>
      <c r="H65" s="4">
        <v>10</v>
      </c>
      <c r="I65" s="4">
        <v>9</v>
      </c>
      <c r="J65" s="4">
        <v>3</v>
      </c>
      <c r="K65" s="227"/>
      <c r="L65" s="4" t="s">
        <v>16</v>
      </c>
      <c r="M65" s="4">
        <v>10</v>
      </c>
      <c r="N65" s="4">
        <v>8</v>
      </c>
      <c r="O65" s="4">
        <v>12</v>
      </c>
      <c r="P65" s="4">
        <v>10</v>
      </c>
      <c r="Q65" s="4">
        <v>4</v>
      </c>
      <c r="R65" s="4">
        <v>5</v>
      </c>
      <c r="S65" s="4">
        <v>7</v>
      </c>
      <c r="T65" s="50">
        <v>5</v>
      </c>
      <c r="U65" s="59">
        <f t="shared" si="11"/>
        <v>126</v>
      </c>
    </row>
    <row r="66" spans="1:21" ht="18.75" customHeight="1">
      <c r="A66" s="230"/>
      <c r="B66" s="4" t="s">
        <v>17</v>
      </c>
      <c r="C66" s="4">
        <v>5</v>
      </c>
      <c r="D66" s="4">
        <v>4</v>
      </c>
      <c r="E66" s="4">
        <v>11</v>
      </c>
      <c r="F66" s="4">
        <v>3</v>
      </c>
      <c r="G66" s="4">
        <v>6</v>
      </c>
      <c r="H66" s="4">
        <v>7</v>
      </c>
      <c r="I66" s="4">
        <v>6</v>
      </c>
      <c r="J66" s="4">
        <v>3</v>
      </c>
      <c r="K66" s="227"/>
      <c r="L66" s="4" t="s">
        <v>17</v>
      </c>
      <c r="M66" s="4">
        <v>8</v>
      </c>
      <c r="N66" s="4">
        <v>10</v>
      </c>
      <c r="O66" s="4">
        <v>15</v>
      </c>
      <c r="P66" s="4">
        <v>12</v>
      </c>
      <c r="Q66" s="4">
        <v>12</v>
      </c>
      <c r="R66" s="4">
        <v>10</v>
      </c>
      <c r="S66" s="4">
        <v>5</v>
      </c>
      <c r="T66" s="50">
        <v>5</v>
      </c>
      <c r="U66" s="59">
        <f t="shared" si="11"/>
        <v>122</v>
      </c>
    </row>
    <row r="67" spans="1:21" ht="18.75" customHeight="1">
      <c r="A67" s="230"/>
      <c r="B67" s="46" t="s">
        <v>18</v>
      </c>
      <c r="C67" s="46">
        <v>24</v>
      </c>
      <c r="D67" s="46">
        <v>14</v>
      </c>
      <c r="E67" s="46">
        <v>7</v>
      </c>
      <c r="F67" s="46">
        <v>14</v>
      </c>
      <c r="G67" s="46">
        <v>9</v>
      </c>
      <c r="H67" s="46">
        <v>15</v>
      </c>
      <c r="I67" s="46">
        <v>14</v>
      </c>
      <c r="J67" s="46">
        <v>7</v>
      </c>
      <c r="K67" s="227"/>
      <c r="L67" s="46" t="s">
        <v>18</v>
      </c>
      <c r="M67" s="46">
        <v>5</v>
      </c>
      <c r="N67" s="46">
        <v>7</v>
      </c>
      <c r="O67" s="46">
        <v>9</v>
      </c>
      <c r="P67" s="46">
        <v>12</v>
      </c>
      <c r="Q67" s="46">
        <v>16</v>
      </c>
      <c r="R67" s="46">
        <v>14</v>
      </c>
      <c r="S67" s="46">
        <v>9</v>
      </c>
      <c r="T67" s="69">
        <v>12</v>
      </c>
      <c r="U67" s="59">
        <f t="shared" si="11"/>
        <v>188</v>
      </c>
    </row>
    <row r="68" spans="1:21" ht="18.75" customHeight="1">
      <c r="A68" s="193" t="s">
        <v>8</v>
      </c>
      <c r="B68" s="63" t="s">
        <v>13</v>
      </c>
      <c r="C68" s="63">
        <v>18</v>
      </c>
      <c r="D68" s="63">
        <v>19</v>
      </c>
      <c r="E68" s="63">
        <v>21</v>
      </c>
      <c r="F68" s="63">
        <v>20</v>
      </c>
      <c r="G68" s="63">
        <v>30</v>
      </c>
      <c r="H68" s="63">
        <v>31</v>
      </c>
      <c r="I68" s="63">
        <v>29</v>
      </c>
      <c r="J68" s="63">
        <v>13</v>
      </c>
      <c r="K68" s="194" t="s">
        <v>8</v>
      </c>
      <c r="L68" s="63" t="s">
        <v>13</v>
      </c>
      <c r="M68" s="63">
        <v>15</v>
      </c>
      <c r="N68" s="63">
        <v>20</v>
      </c>
      <c r="O68" s="63">
        <v>8</v>
      </c>
      <c r="P68" s="63">
        <v>21</v>
      </c>
      <c r="Q68" s="63">
        <v>22</v>
      </c>
      <c r="R68" s="63">
        <v>20</v>
      </c>
      <c r="S68" s="63">
        <v>20</v>
      </c>
      <c r="T68" s="68">
        <v>14</v>
      </c>
      <c r="U68" s="59">
        <f t="shared" si="11"/>
        <v>321</v>
      </c>
    </row>
    <row r="69" spans="1:21" ht="18.75" customHeight="1">
      <c r="A69" s="230"/>
      <c r="B69" s="6" t="s">
        <v>14</v>
      </c>
      <c r="C69" s="6">
        <v>5</v>
      </c>
      <c r="D69" s="6">
        <v>9</v>
      </c>
      <c r="E69" s="6">
        <v>6</v>
      </c>
      <c r="F69" s="6">
        <v>8</v>
      </c>
      <c r="G69" s="6">
        <v>15</v>
      </c>
      <c r="H69" s="6">
        <v>14</v>
      </c>
      <c r="I69" s="6">
        <v>8</v>
      </c>
      <c r="J69" s="6">
        <v>7</v>
      </c>
      <c r="K69" s="227"/>
      <c r="L69" s="6" t="s">
        <v>14</v>
      </c>
      <c r="M69" s="6">
        <v>11</v>
      </c>
      <c r="N69" s="6">
        <v>10</v>
      </c>
      <c r="O69" s="6">
        <v>7</v>
      </c>
      <c r="P69" s="6">
        <v>4</v>
      </c>
      <c r="Q69" s="6">
        <v>3</v>
      </c>
      <c r="R69" s="6">
        <v>3</v>
      </c>
      <c r="S69" s="6">
        <v>5</v>
      </c>
      <c r="T69" s="51">
        <v>3</v>
      </c>
      <c r="U69" s="59">
        <f t="shared" si="11"/>
        <v>118</v>
      </c>
    </row>
    <row r="70" spans="1:21" ht="18.75" customHeight="1">
      <c r="A70" s="230"/>
      <c r="B70" s="6" t="s">
        <v>15</v>
      </c>
      <c r="C70" s="6">
        <v>17</v>
      </c>
      <c r="D70" s="6">
        <v>18</v>
      </c>
      <c r="E70" s="6">
        <v>27</v>
      </c>
      <c r="F70" s="6">
        <v>19</v>
      </c>
      <c r="G70" s="6">
        <v>25</v>
      </c>
      <c r="H70" s="6">
        <v>23</v>
      </c>
      <c r="I70" s="6">
        <v>27</v>
      </c>
      <c r="J70" s="6">
        <v>23</v>
      </c>
      <c r="K70" s="227"/>
      <c r="L70" s="6" t="s">
        <v>15</v>
      </c>
      <c r="M70" s="6">
        <v>20</v>
      </c>
      <c r="N70" s="6">
        <v>18</v>
      </c>
      <c r="O70" s="6">
        <v>22</v>
      </c>
      <c r="P70" s="6">
        <v>21</v>
      </c>
      <c r="Q70" s="6">
        <v>26</v>
      </c>
      <c r="R70" s="6">
        <v>27</v>
      </c>
      <c r="S70" s="6">
        <v>19</v>
      </c>
      <c r="T70" s="51">
        <v>30</v>
      </c>
      <c r="U70" s="59">
        <f t="shared" si="11"/>
        <v>362</v>
      </c>
    </row>
    <row r="71" spans="1:21" ht="18.75" customHeight="1">
      <c r="A71" s="230"/>
      <c r="B71" s="6" t="s">
        <v>16</v>
      </c>
      <c r="C71" s="6">
        <v>4</v>
      </c>
      <c r="D71" s="6">
        <v>6</v>
      </c>
      <c r="E71" s="6">
        <v>4</v>
      </c>
      <c r="F71" s="6">
        <v>10</v>
      </c>
      <c r="G71" s="6">
        <v>12</v>
      </c>
      <c r="H71" s="6">
        <v>9</v>
      </c>
      <c r="I71" s="6">
        <v>3</v>
      </c>
      <c r="J71" s="6">
        <v>4</v>
      </c>
      <c r="K71" s="227"/>
      <c r="L71" s="6" t="s">
        <v>16</v>
      </c>
      <c r="M71" s="6">
        <v>7</v>
      </c>
      <c r="N71" s="6">
        <v>4</v>
      </c>
      <c r="O71" s="6">
        <v>0</v>
      </c>
      <c r="P71" s="6">
        <v>3</v>
      </c>
      <c r="Q71" s="6">
        <v>3</v>
      </c>
      <c r="R71" s="6">
        <v>3</v>
      </c>
      <c r="S71" s="6">
        <v>3</v>
      </c>
      <c r="T71" s="51">
        <v>3</v>
      </c>
      <c r="U71" s="59">
        <f t="shared" si="11"/>
        <v>78</v>
      </c>
    </row>
    <row r="72" spans="1:21" ht="18.75" customHeight="1">
      <c r="A72" s="230"/>
      <c r="B72" s="6" t="s">
        <v>17</v>
      </c>
      <c r="C72" s="6">
        <v>4</v>
      </c>
      <c r="D72" s="6">
        <v>3</v>
      </c>
      <c r="E72" s="6">
        <v>13</v>
      </c>
      <c r="F72" s="6">
        <v>11</v>
      </c>
      <c r="G72" s="6">
        <v>10</v>
      </c>
      <c r="H72" s="6">
        <v>7</v>
      </c>
      <c r="I72" s="6">
        <v>5</v>
      </c>
      <c r="J72" s="6">
        <v>3</v>
      </c>
      <c r="K72" s="227"/>
      <c r="L72" s="6" t="s">
        <v>17</v>
      </c>
      <c r="M72" s="6">
        <v>3</v>
      </c>
      <c r="N72" s="6">
        <v>3</v>
      </c>
      <c r="O72" s="6">
        <v>3</v>
      </c>
      <c r="P72" s="6">
        <v>7</v>
      </c>
      <c r="Q72" s="6">
        <v>8</v>
      </c>
      <c r="R72" s="6">
        <v>1</v>
      </c>
      <c r="S72" s="6">
        <v>8</v>
      </c>
      <c r="T72" s="51">
        <v>7</v>
      </c>
      <c r="U72" s="59">
        <f t="shared" si="11"/>
        <v>96</v>
      </c>
    </row>
    <row r="73" spans="1:21" ht="18.75" customHeight="1">
      <c r="A73" s="230"/>
      <c r="B73" s="47" t="s">
        <v>18</v>
      </c>
      <c r="C73" s="47">
        <v>16</v>
      </c>
      <c r="D73" s="47">
        <v>6</v>
      </c>
      <c r="E73" s="47">
        <v>5</v>
      </c>
      <c r="F73" s="47">
        <v>7</v>
      </c>
      <c r="G73" s="47">
        <v>6</v>
      </c>
      <c r="H73" s="47">
        <v>10</v>
      </c>
      <c r="I73" s="47">
        <v>9</v>
      </c>
      <c r="J73" s="47">
        <v>4</v>
      </c>
      <c r="K73" s="227"/>
      <c r="L73" s="47" t="s">
        <v>18</v>
      </c>
      <c r="M73" s="47">
        <v>2</v>
      </c>
      <c r="N73" s="47">
        <v>5</v>
      </c>
      <c r="O73" s="47">
        <v>4</v>
      </c>
      <c r="P73" s="47">
        <v>10</v>
      </c>
      <c r="Q73" s="47">
        <v>11</v>
      </c>
      <c r="R73" s="47">
        <v>7</v>
      </c>
      <c r="S73" s="47">
        <v>2</v>
      </c>
      <c r="T73" s="70">
        <v>6</v>
      </c>
      <c r="U73" s="59">
        <f t="shared" si="11"/>
        <v>110</v>
      </c>
    </row>
    <row r="74" spans="1:21" ht="18.75" customHeight="1">
      <c r="A74" s="195" t="s">
        <v>9</v>
      </c>
      <c r="B74" s="56" t="s">
        <v>13</v>
      </c>
      <c r="C74" s="56">
        <v>6</v>
      </c>
      <c r="D74" s="56">
        <v>19</v>
      </c>
      <c r="E74" s="56">
        <v>16</v>
      </c>
      <c r="F74" s="56">
        <v>24</v>
      </c>
      <c r="G74" s="56">
        <v>37</v>
      </c>
      <c r="H74" s="56">
        <v>35</v>
      </c>
      <c r="I74" s="56">
        <v>29</v>
      </c>
      <c r="J74" s="56">
        <v>20</v>
      </c>
      <c r="K74" s="196" t="s">
        <v>9</v>
      </c>
      <c r="L74" s="56" t="s">
        <v>13</v>
      </c>
      <c r="M74" s="56">
        <v>17</v>
      </c>
      <c r="N74" s="56">
        <v>24</v>
      </c>
      <c r="O74" s="56">
        <v>20</v>
      </c>
      <c r="P74" s="56">
        <v>22</v>
      </c>
      <c r="Q74" s="56">
        <v>30</v>
      </c>
      <c r="R74" s="56">
        <v>23</v>
      </c>
      <c r="S74" s="56">
        <v>15</v>
      </c>
      <c r="T74" s="67">
        <v>15</v>
      </c>
      <c r="U74" s="59">
        <f t="shared" si="11"/>
        <v>352</v>
      </c>
    </row>
    <row r="75" spans="1:21" ht="18.75" customHeight="1">
      <c r="A75" s="230"/>
      <c r="B75" s="4" t="s">
        <v>14</v>
      </c>
      <c r="C75" s="4">
        <v>4</v>
      </c>
      <c r="D75" s="4">
        <v>9</v>
      </c>
      <c r="E75" s="4">
        <v>12</v>
      </c>
      <c r="F75" s="4">
        <v>11</v>
      </c>
      <c r="G75" s="4">
        <v>5</v>
      </c>
      <c r="H75" s="4">
        <v>14</v>
      </c>
      <c r="I75" s="4">
        <v>14</v>
      </c>
      <c r="J75" s="4">
        <v>8</v>
      </c>
      <c r="K75" s="227"/>
      <c r="L75" s="4" t="s">
        <v>14</v>
      </c>
      <c r="M75" s="4">
        <v>12</v>
      </c>
      <c r="N75" s="4">
        <v>10</v>
      </c>
      <c r="O75" s="4">
        <v>12</v>
      </c>
      <c r="P75" s="4">
        <v>10</v>
      </c>
      <c r="Q75" s="4">
        <v>3</v>
      </c>
      <c r="R75" s="4">
        <v>7</v>
      </c>
      <c r="S75" s="4">
        <v>8</v>
      </c>
      <c r="T75" s="50">
        <v>3</v>
      </c>
      <c r="U75" s="59">
        <f t="shared" si="11"/>
        <v>142</v>
      </c>
    </row>
    <row r="76" spans="1:21" ht="18.75" customHeight="1">
      <c r="A76" s="230"/>
      <c r="B76" s="4" t="s">
        <v>15</v>
      </c>
      <c r="C76" s="4">
        <v>11</v>
      </c>
      <c r="D76" s="4">
        <v>17</v>
      </c>
      <c r="E76" s="4">
        <v>22</v>
      </c>
      <c r="F76" s="4">
        <v>23</v>
      </c>
      <c r="G76" s="4">
        <v>19</v>
      </c>
      <c r="H76" s="4">
        <v>23</v>
      </c>
      <c r="I76" s="4">
        <v>19</v>
      </c>
      <c r="J76" s="4">
        <v>16</v>
      </c>
      <c r="K76" s="227"/>
      <c r="L76" s="4" t="s">
        <v>15</v>
      </c>
      <c r="M76" s="4">
        <v>24</v>
      </c>
      <c r="N76" s="4">
        <v>21</v>
      </c>
      <c r="O76" s="4">
        <v>25</v>
      </c>
      <c r="P76" s="4">
        <v>22</v>
      </c>
      <c r="Q76" s="4">
        <v>23</v>
      </c>
      <c r="R76" s="4">
        <v>34</v>
      </c>
      <c r="S76" s="4">
        <v>15</v>
      </c>
      <c r="T76" s="50">
        <v>26</v>
      </c>
      <c r="U76" s="59">
        <f t="shared" si="11"/>
        <v>340</v>
      </c>
    </row>
    <row r="77" spans="1:21" ht="18.75" customHeight="1">
      <c r="A77" s="230"/>
      <c r="B77" s="4" t="s">
        <v>16</v>
      </c>
      <c r="C77" s="4">
        <v>0</v>
      </c>
      <c r="D77" s="4">
        <v>6</v>
      </c>
      <c r="E77" s="4">
        <v>7</v>
      </c>
      <c r="F77" s="4">
        <v>6</v>
      </c>
      <c r="G77" s="4">
        <v>12</v>
      </c>
      <c r="H77" s="4">
        <v>6</v>
      </c>
      <c r="I77" s="4">
        <v>11</v>
      </c>
      <c r="J77" s="4">
        <v>8</v>
      </c>
      <c r="K77" s="227"/>
      <c r="L77" s="4" t="s">
        <v>16</v>
      </c>
      <c r="M77" s="4">
        <v>6</v>
      </c>
      <c r="N77" s="4">
        <v>5</v>
      </c>
      <c r="O77" s="4">
        <v>10</v>
      </c>
      <c r="P77" s="4">
        <v>12</v>
      </c>
      <c r="Q77" s="4">
        <v>5</v>
      </c>
      <c r="R77" s="4">
        <v>3</v>
      </c>
      <c r="S77" s="4">
        <v>7</v>
      </c>
      <c r="T77" s="50">
        <v>3</v>
      </c>
      <c r="U77" s="59">
        <f t="shared" si="11"/>
        <v>107</v>
      </c>
    </row>
    <row r="78" spans="1:21" ht="18.75" customHeight="1">
      <c r="A78" s="230"/>
      <c r="B78" s="4" t="s">
        <v>17</v>
      </c>
      <c r="C78" s="4">
        <v>4</v>
      </c>
      <c r="D78" s="4">
        <v>9</v>
      </c>
      <c r="E78" s="4">
        <v>10</v>
      </c>
      <c r="F78" s="4">
        <v>4</v>
      </c>
      <c r="G78" s="4">
        <v>7</v>
      </c>
      <c r="H78" s="4">
        <v>8</v>
      </c>
      <c r="I78" s="4">
        <v>6</v>
      </c>
      <c r="J78" s="4">
        <v>4</v>
      </c>
      <c r="K78" s="227"/>
      <c r="L78" s="4" t="s">
        <v>17</v>
      </c>
      <c r="M78" s="4">
        <v>4</v>
      </c>
      <c r="N78" s="4">
        <v>23</v>
      </c>
      <c r="O78" s="4">
        <v>6</v>
      </c>
      <c r="P78" s="4">
        <v>8</v>
      </c>
      <c r="Q78" s="4">
        <v>10</v>
      </c>
      <c r="R78" s="4">
        <v>3</v>
      </c>
      <c r="S78" s="4">
        <v>9</v>
      </c>
      <c r="T78" s="50">
        <v>4</v>
      </c>
      <c r="U78" s="59">
        <f t="shared" si="11"/>
        <v>119</v>
      </c>
    </row>
    <row r="79" spans="1:21" ht="18.75" customHeight="1">
      <c r="A79" s="230"/>
      <c r="B79" s="46" t="s">
        <v>18</v>
      </c>
      <c r="C79" s="46">
        <v>4</v>
      </c>
      <c r="D79" s="46">
        <v>9</v>
      </c>
      <c r="E79" s="46">
        <v>10</v>
      </c>
      <c r="F79" s="46">
        <v>12</v>
      </c>
      <c r="G79" s="46">
        <v>8</v>
      </c>
      <c r="H79" s="46">
        <v>13</v>
      </c>
      <c r="I79" s="46">
        <v>13</v>
      </c>
      <c r="J79" s="46">
        <v>4</v>
      </c>
      <c r="K79" s="227"/>
      <c r="L79" s="46" t="s">
        <v>18</v>
      </c>
      <c r="M79" s="46">
        <v>5</v>
      </c>
      <c r="N79" s="46">
        <v>12</v>
      </c>
      <c r="O79" s="46">
        <v>13</v>
      </c>
      <c r="P79" s="46">
        <v>15</v>
      </c>
      <c r="Q79" s="46">
        <v>6</v>
      </c>
      <c r="R79" s="46">
        <v>6</v>
      </c>
      <c r="S79" s="46">
        <v>2</v>
      </c>
      <c r="T79" s="69">
        <v>6</v>
      </c>
      <c r="U79" s="59">
        <f t="shared" si="11"/>
        <v>138</v>
      </c>
    </row>
    <row r="80" spans="1:21" ht="18.75" customHeight="1">
      <c r="A80" s="193" t="s">
        <v>10</v>
      </c>
      <c r="B80" s="63" t="s">
        <v>13</v>
      </c>
      <c r="C80" s="71">
        <v>19</v>
      </c>
      <c r="D80" s="71">
        <v>20</v>
      </c>
      <c r="E80" s="71">
        <v>18</v>
      </c>
      <c r="F80" s="71">
        <v>21</v>
      </c>
      <c r="G80" s="71">
        <v>27</v>
      </c>
      <c r="H80" s="71">
        <v>32</v>
      </c>
      <c r="I80" s="71">
        <v>33</v>
      </c>
      <c r="J80" s="121">
        <v>15</v>
      </c>
      <c r="K80" s="194" t="s">
        <v>10</v>
      </c>
      <c r="L80" s="63" t="s">
        <v>13</v>
      </c>
      <c r="M80" s="121">
        <v>25</v>
      </c>
      <c r="N80" s="121">
        <v>23</v>
      </c>
      <c r="O80" s="121">
        <v>20</v>
      </c>
      <c r="P80" s="121">
        <v>19</v>
      </c>
      <c r="Q80" s="121">
        <v>24</v>
      </c>
      <c r="R80" s="121">
        <v>21</v>
      </c>
      <c r="S80" s="121">
        <v>12</v>
      </c>
      <c r="T80" s="124">
        <v>10</v>
      </c>
      <c r="U80" s="59">
        <f t="shared" si="11"/>
        <v>339</v>
      </c>
    </row>
    <row r="81" spans="1:40" ht="18.75" customHeight="1">
      <c r="A81" s="230"/>
      <c r="B81" s="6" t="s">
        <v>14</v>
      </c>
      <c r="C81" s="8">
        <v>5</v>
      </c>
      <c r="D81" s="8">
        <v>9</v>
      </c>
      <c r="E81" s="8">
        <v>11</v>
      </c>
      <c r="F81" s="8">
        <v>12</v>
      </c>
      <c r="G81" s="8">
        <v>14</v>
      </c>
      <c r="H81" s="8">
        <v>13</v>
      </c>
      <c r="I81" s="8">
        <v>13</v>
      </c>
      <c r="J81" s="122">
        <v>15</v>
      </c>
      <c r="K81" s="227"/>
      <c r="L81" s="6" t="s">
        <v>14</v>
      </c>
      <c r="M81" s="122">
        <v>9</v>
      </c>
      <c r="N81" s="122">
        <v>7</v>
      </c>
      <c r="O81" s="122">
        <v>10</v>
      </c>
      <c r="P81" s="122">
        <v>4</v>
      </c>
      <c r="Q81" s="122">
        <v>2</v>
      </c>
      <c r="R81" s="122">
        <v>7</v>
      </c>
      <c r="S81" s="122">
        <v>2</v>
      </c>
      <c r="T81" s="125">
        <v>5</v>
      </c>
      <c r="U81" s="59">
        <f t="shared" si="11"/>
        <v>138</v>
      </c>
    </row>
    <row r="82" spans="1:40" ht="18.75" customHeight="1">
      <c r="A82" s="230"/>
      <c r="B82" s="6" t="s">
        <v>15</v>
      </c>
      <c r="C82" s="8">
        <v>15</v>
      </c>
      <c r="D82" s="8">
        <v>21</v>
      </c>
      <c r="E82" s="8">
        <v>19</v>
      </c>
      <c r="F82" s="8">
        <v>20</v>
      </c>
      <c r="G82" s="8">
        <v>17</v>
      </c>
      <c r="H82" s="8">
        <v>25</v>
      </c>
      <c r="I82" s="8">
        <v>29</v>
      </c>
      <c r="J82" s="122">
        <v>21</v>
      </c>
      <c r="K82" s="227"/>
      <c r="L82" s="6" t="s">
        <v>15</v>
      </c>
      <c r="M82" s="122">
        <v>18</v>
      </c>
      <c r="N82" s="122">
        <v>15</v>
      </c>
      <c r="O82" s="122">
        <v>24</v>
      </c>
      <c r="P82" s="122">
        <v>15</v>
      </c>
      <c r="Q82" s="122">
        <v>18</v>
      </c>
      <c r="R82" s="122">
        <v>18</v>
      </c>
      <c r="S82" s="122">
        <v>27</v>
      </c>
      <c r="T82" s="125">
        <v>12</v>
      </c>
      <c r="U82" s="59">
        <f t="shared" si="11"/>
        <v>314</v>
      </c>
    </row>
    <row r="83" spans="1:40" ht="18.75" customHeight="1">
      <c r="A83" s="230"/>
      <c r="B83" s="6" t="s">
        <v>16</v>
      </c>
      <c r="C83" s="8">
        <v>3</v>
      </c>
      <c r="D83" s="8">
        <v>4</v>
      </c>
      <c r="E83" s="8">
        <v>10</v>
      </c>
      <c r="F83" s="8">
        <v>9</v>
      </c>
      <c r="G83" s="8">
        <v>12</v>
      </c>
      <c r="H83" s="8">
        <v>8</v>
      </c>
      <c r="I83" s="8">
        <v>10</v>
      </c>
      <c r="J83" s="122">
        <v>7</v>
      </c>
      <c r="K83" s="227"/>
      <c r="L83" s="6" t="s">
        <v>16</v>
      </c>
      <c r="M83" s="122">
        <v>3</v>
      </c>
      <c r="N83" s="122">
        <v>5</v>
      </c>
      <c r="O83" s="122">
        <v>2</v>
      </c>
      <c r="P83" s="122">
        <v>6</v>
      </c>
      <c r="Q83" s="122">
        <v>5</v>
      </c>
      <c r="R83" s="122">
        <v>2</v>
      </c>
      <c r="S83" s="122">
        <v>4</v>
      </c>
      <c r="T83" s="125">
        <v>2</v>
      </c>
      <c r="U83" s="59">
        <f t="shared" si="11"/>
        <v>92</v>
      </c>
    </row>
    <row r="84" spans="1:40" ht="18.75" customHeight="1">
      <c r="A84" s="230"/>
      <c r="B84" s="6" t="s">
        <v>17</v>
      </c>
      <c r="C84" s="8">
        <v>5</v>
      </c>
      <c r="D84" s="8">
        <v>6</v>
      </c>
      <c r="E84" s="8">
        <v>5</v>
      </c>
      <c r="F84" s="8">
        <v>8</v>
      </c>
      <c r="G84" s="8">
        <v>11</v>
      </c>
      <c r="H84" s="8">
        <v>8</v>
      </c>
      <c r="I84" s="8">
        <v>10</v>
      </c>
      <c r="J84" s="122">
        <v>10</v>
      </c>
      <c r="K84" s="227"/>
      <c r="L84" s="6" t="s">
        <v>17</v>
      </c>
      <c r="M84" s="122">
        <v>3</v>
      </c>
      <c r="N84" s="122">
        <v>7</v>
      </c>
      <c r="O84" s="122" t="s">
        <v>89</v>
      </c>
      <c r="P84" s="122">
        <v>4</v>
      </c>
      <c r="Q84" s="122">
        <v>6</v>
      </c>
      <c r="R84" s="122">
        <v>5</v>
      </c>
      <c r="S84" s="122">
        <v>2</v>
      </c>
      <c r="T84" s="125">
        <v>2</v>
      </c>
      <c r="U84" s="59">
        <f t="shared" si="11"/>
        <v>92</v>
      </c>
    </row>
    <row r="85" spans="1:40" ht="18.75" customHeight="1">
      <c r="A85" s="230"/>
      <c r="B85" s="47" t="s">
        <v>18</v>
      </c>
      <c r="C85" s="77">
        <v>20</v>
      </c>
      <c r="D85" s="77">
        <v>7</v>
      </c>
      <c r="E85" s="77">
        <v>6</v>
      </c>
      <c r="F85" s="77">
        <v>7</v>
      </c>
      <c r="G85" s="77">
        <v>14</v>
      </c>
      <c r="H85" s="77">
        <v>15</v>
      </c>
      <c r="I85" s="77">
        <v>17</v>
      </c>
      <c r="J85" s="123">
        <v>7</v>
      </c>
      <c r="K85" s="227"/>
      <c r="L85" s="47" t="s">
        <v>18</v>
      </c>
      <c r="M85" s="123">
        <v>10</v>
      </c>
      <c r="N85" s="123">
        <v>7</v>
      </c>
      <c r="O85" s="123">
        <v>4</v>
      </c>
      <c r="P85" s="123">
        <v>4</v>
      </c>
      <c r="Q85" s="123">
        <v>8</v>
      </c>
      <c r="R85" s="123">
        <v>15</v>
      </c>
      <c r="S85" s="123">
        <v>12</v>
      </c>
      <c r="T85" s="126">
        <v>6</v>
      </c>
      <c r="U85" s="59">
        <f t="shared" si="11"/>
        <v>159</v>
      </c>
    </row>
    <row r="86" spans="1:40" ht="18.75" customHeight="1">
      <c r="A86" s="195" t="s">
        <v>11</v>
      </c>
      <c r="B86" s="56" t="s">
        <v>13</v>
      </c>
      <c r="C86" s="127">
        <v>9</v>
      </c>
      <c r="D86" s="127">
        <v>9</v>
      </c>
      <c r="E86" s="127">
        <v>25</v>
      </c>
      <c r="F86" s="127">
        <v>28</v>
      </c>
      <c r="G86" s="127">
        <v>26</v>
      </c>
      <c r="H86" s="127">
        <v>30</v>
      </c>
      <c r="I86" s="127">
        <v>22</v>
      </c>
      <c r="J86" s="127">
        <v>19</v>
      </c>
      <c r="K86" s="196" t="s">
        <v>11</v>
      </c>
      <c r="L86" s="56" t="s">
        <v>13</v>
      </c>
      <c r="M86" s="127">
        <v>7</v>
      </c>
      <c r="N86" s="127">
        <v>9</v>
      </c>
      <c r="O86" s="127">
        <v>9</v>
      </c>
      <c r="P86" s="127">
        <v>8</v>
      </c>
      <c r="Q86" s="127">
        <v>13</v>
      </c>
      <c r="R86" s="127">
        <v>7</v>
      </c>
      <c r="S86" s="127">
        <v>3</v>
      </c>
      <c r="T86" s="130">
        <v>3</v>
      </c>
      <c r="U86" s="59">
        <f t="shared" si="11"/>
        <v>227</v>
      </c>
    </row>
    <row r="87" spans="1:40" ht="18.75" customHeight="1">
      <c r="A87" s="230"/>
      <c r="B87" s="4" t="s">
        <v>14</v>
      </c>
      <c r="C87" s="128">
        <v>3</v>
      </c>
      <c r="D87" s="128">
        <v>7</v>
      </c>
      <c r="E87" s="128">
        <v>15</v>
      </c>
      <c r="F87" s="128">
        <v>12</v>
      </c>
      <c r="G87" s="128">
        <v>9</v>
      </c>
      <c r="H87" s="128">
        <v>11</v>
      </c>
      <c r="I87" s="128">
        <v>13</v>
      </c>
      <c r="J87" s="128">
        <v>5</v>
      </c>
      <c r="K87" s="227"/>
      <c r="L87" s="4" t="s">
        <v>14</v>
      </c>
      <c r="M87" s="128">
        <v>3</v>
      </c>
      <c r="N87" s="128">
        <v>3</v>
      </c>
      <c r="O87" s="128">
        <v>4</v>
      </c>
      <c r="P87" s="128">
        <v>4</v>
      </c>
      <c r="Q87" s="128">
        <v>4</v>
      </c>
      <c r="R87" s="128">
        <v>2</v>
      </c>
      <c r="S87" s="128">
        <v>2</v>
      </c>
      <c r="T87" s="131">
        <v>0</v>
      </c>
      <c r="U87" s="59">
        <f t="shared" si="11"/>
        <v>97</v>
      </c>
    </row>
    <row r="88" spans="1:40" ht="18.75" customHeight="1">
      <c r="A88" s="230"/>
      <c r="B88" s="4" t="s">
        <v>15</v>
      </c>
      <c r="C88" s="128">
        <v>9</v>
      </c>
      <c r="D88" s="128">
        <v>18</v>
      </c>
      <c r="E88" s="128">
        <v>16</v>
      </c>
      <c r="F88" s="128">
        <v>23</v>
      </c>
      <c r="G88" s="128">
        <v>19</v>
      </c>
      <c r="H88" s="128">
        <v>28</v>
      </c>
      <c r="I88" s="128">
        <v>22</v>
      </c>
      <c r="J88" s="128">
        <v>19</v>
      </c>
      <c r="K88" s="227"/>
      <c r="L88" s="4" t="s">
        <v>15</v>
      </c>
      <c r="M88" s="128">
        <v>30</v>
      </c>
      <c r="N88" s="128">
        <v>21</v>
      </c>
      <c r="O88" s="128">
        <v>18</v>
      </c>
      <c r="P88" s="128">
        <v>18</v>
      </c>
      <c r="Q88" s="128">
        <v>18</v>
      </c>
      <c r="R88" s="128">
        <v>14</v>
      </c>
      <c r="S88" s="128">
        <v>6</v>
      </c>
      <c r="T88" s="131">
        <v>4</v>
      </c>
      <c r="U88" s="59">
        <f t="shared" si="11"/>
        <v>283</v>
      </c>
    </row>
    <row r="89" spans="1:40" ht="18.75" customHeight="1">
      <c r="A89" s="230"/>
      <c r="B89" s="4" t="s">
        <v>16</v>
      </c>
      <c r="C89" s="128">
        <v>0</v>
      </c>
      <c r="D89" s="128">
        <v>2</v>
      </c>
      <c r="E89" s="128">
        <v>3</v>
      </c>
      <c r="F89" s="128">
        <v>7</v>
      </c>
      <c r="G89" s="128">
        <v>5</v>
      </c>
      <c r="H89" s="128">
        <v>6</v>
      </c>
      <c r="I89" s="128">
        <v>5</v>
      </c>
      <c r="J89" s="128">
        <v>3</v>
      </c>
      <c r="K89" s="227"/>
      <c r="L89" s="4" t="s">
        <v>16</v>
      </c>
      <c r="M89" s="128">
        <v>3</v>
      </c>
      <c r="N89" s="128">
        <v>0</v>
      </c>
      <c r="O89" s="128">
        <v>3</v>
      </c>
      <c r="P89" s="128">
        <v>4</v>
      </c>
      <c r="Q89" s="128">
        <v>1</v>
      </c>
      <c r="R89" s="128">
        <v>2</v>
      </c>
      <c r="S89" s="128">
        <v>0</v>
      </c>
      <c r="T89" s="131">
        <v>0</v>
      </c>
      <c r="U89" s="59">
        <f t="shared" si="11"/>
        <v>44</v>
      </c>
    </row>
    <row r="90" spans="1:40" ht="15.75" customHeight="1">
      <c r="A90" s="230"/>
      <c r="B90" s="4" t="s">
        <v>17</v>
      </c>
      <c r="C90" s="128">
        <v>1</v>
      </c>
      <c r="D90" s="128">
        <v>5</v>
      </c>
      <c r="E90" s="128">
        <v>9</v>
      </c>
      <c r="F90" s="128">
        <v>12</v>
      </c>
      <c r="G90" s="128">
        <v>7</v>
      </c>
      <c r="H90" s="128">
        <v>8</v>
      </c>
      <c r="I90" s="128">
        <v>6</v>
      </c>
      <c r="J90" s="128">
        <v>4</v>
      </c>
      <c r="K90" s="227"/>
      <c r="L90" s="4" t="s">
        <v>17</v>
      </c>
      <c r="M90" s="128">
        <v>8</v>
      </c>
      <c r="N90" s="128">
        <v>4</v>
      </c>
      <c r="O90" s="128">
        <v>4</v>
      </c>
      <c r="P90" s="128">
        <v>7</v>
      </c>
      <c r="Q90" s="128">
        <v>4</v>
      </c>
      <c r="R90" s="128">
        <v>4</v>
      </c>
      <c r="S90" s="128">
        <v>3</v>
      </c>
      <c r="T90" s="131">
        <v>0</v>
      </c>
      <c r="U90" s="59">
        <f t="shared" si="11"/>
        <v>86</v>
      </c>
    </row>
    <row r="91" spans="1:40" ht="15.75" customHeight="1">
      <c r="A91" s="231"/>
      <c r="B91" s="61" t="s">
        <v>18</v>
      </c>
      <c r="C91" s="129">
        <v>2</v>
      </c>
      <c r="D91" s="129">
        <v>9</v>
      </c>
      <c r="E91" s="129">
        <v>5</v>
      </c>
      <c r="F91" s="129">
        <v>9</v>
      </c>
      <c r="G91" s="129">
        <v>12</v>
      </c>
      <c r="H91" s="129">
        <v>31</v>
      </c>
      <c r="I91" s="129">
        <v>11</v>
      </c>
      <c r="J91" s="129">
        <v>13</v>
      </c>
      <c r="K91" s="232"/>
      <c r="L91" s="61" t="s">
        <v>18</v>
      </c>
      <c r="M91" s="129">
        <v>3</v>
      </c>
      <c r="N91" s="129">
        <v>5</v>
      </c>
      <c r="O91" s="129">
        <v>4</v>
      </c>
      <c r="P91" s="129">
        <v>2</v>
      </c>
      <c r="Q91" s="129">
        <v>8</v>
      </c>
      <c r="R91" s="129">
        <v>3</v>
      </c>
      <c r="S91" s="129">
        <v>2</v>
      </c>
      <c r="T91" s="132">
        <v>1</v>
      </c>
      <c r="U91" s="59">
        <f t="shared" si="11"/>
        <v>120</v>
      </c>
    </row>
    <row r="93" spans="1:40" ht="15.75" customHeight="1">
      <c r="A93" s="1"/>
      <c r="B93" s="1"/>
      <c r="C93" s="183" t="s">
        <v>0</v>
      </c>
      <c r="D93" s="225"/>
      <c r="E93" s="225"/>
      <c r="F93" s="225"/>
      <c r="G93" s="226"/>
      <c r="H93" s="2"/>
      <c r="I93" s="1"/>
    </row>
    <row r="94" spans="1:40" ht="15.75" customHeight="1">
      <c r="A94" s="1"/>
      <c r="B94" s="183" t="s">
        <v>1</v>
      </c>
      <c r="C94" s="225"/>
      <c r="D94" s="226"/>
      <c r="E94" s="1"/>
      <c r="F94" s="184" t="s">
        <v>2</v>
      </c>
      <c r="G94" s="225"/>
      <c r="H94" s="226"/>
      <c r="I94" s="1"/>
      <c r="K94" s="1"/>
      <c r="L94" s="183" t="s">
        <v>26</v>
      </c>
      <c r="M94" s="225"/>
      <c r="N94" s="226"/>
      <c r="O94" s="1"/>
      <c r="P94" s="184" t="s">
        <v>90</v>
      </c>
      <c r="Q94" s="225"/>
      <c r="R94" s="226"/>
      <c r="S94" s="1"/>
    </row>
    <row r="95" spans="1:40" ht="15.75" customHeight="1">
      <c r="A95" s="54" t="s">
        <v>35</v>
      </c>
      <c r="B95" s="54" t="s">
        <v>4</v>
      </c>
      <c r="C95" s="54" t="s">
        <v>12</v>
      </c>
      <c r="D95" s="54" t="s">
        <v>19</v>
      </c>
      <c r="E95" s="54" t="s">
        <v>20</v>
      </c>
      <c r="F95" s="54" t="s">
        <v>21</v>
      </c>
      <c r="G95" s="54" t="s">
        <v>22</v>
      </c>
      <c r="H95" s="54" t="s">
        <v>23</v>
      </c>
      <c r="I95" s="54" t="s">
        <v>24</v>
      </c>
      <c r="J95" s="54" t="s">
        <v>25</v>
      </c>
      <c r="K95" s="54" t="s">
        <v>35</v>
      </c>
      <c r="L95" s="54" t="s">
        <v>4</v>
      </c>
      <c r="M95" s="54" t="s">
        <v>27</v>
      </c>
      <c r="N95" s="54" t="s">
        <v>28</v>
      </c>
      <c r="O95" s="54" t="s">
        <v>29</v>
      </c>
      <c r="P95" s="54" t="s">
        <v>30</v>
      </c>
      <c r="Q95" s="54" t="s">
        <v>31</v>
      </c>
      <c r="R95" s="54" t="s">
        <v>32</v>
      </c>
      <c r="S95" s="54" t="s">
        <v>33</v>
      </c>
      <c r="T95" s="54" t="s">
        <v>34</v>
      </c>
      <c r="U95" s="54" t="s">
        <v>55</v>
      </c>
    </row>
    <row r="96" spans="1:40" ht="15.75" customHeight="1">
      <c r="A96" s="195" t="s">
        <v>5</v>
      </c>
      <c r="B96" s="56" t="s">
        <v>13</v>
      </c>
      <c r="C96" s="57"/>
      <c r="D96" s="57"/>
      <c r="E96" s="56">
        <v>8</v>
      </c>
      <c r="F96" s="56">
        <v>10</v>
      </c>
      <c r="G96" s="56">
        <v>24</v>
      </c>
      <c r="H96" s="56">
        <v>29</v>
      </c>
      <c r="I96" s="56">
        <v>26</v>
      </c>
      <c r="J96" s="56">
        <v>14</v>
      </c>
      <c r="K96" s="196" t="s">
        <v>5</v>
      </c>
      <c r="L96" s="56" t="s">
        <v>13</v>
      </c>
      <c r="M96" s="56">
        <v>17</v>
      </c>
      <c r="N96" s="56">
        <v>22</v>
      </c>
      <c r="O96" s="56">
        <v>16</v>
      </c>
      <c r="P96" s="56">
        <v>14</v>
      </c>
      <c r="Q96" s="56">
        <v>6</v>
      </c>
      <c r="R96" s="57"/>
      <c r="S96" s="57"/>
      <c r="T96" s="58"/>
      <c r="U96" s="59">
        <f>SUM(M96:T96,C96:J96)</f>
        <v>186</v>
      </c>
      <c r="W96" s="197" t="s">
        <v>90</v>
      </c>
      <c r="X96" s="198"/>
      <c r="AG96" s="190" t="s">
        <v>58</v>
      </c>
      <c r="AH96" s="191"/>
      <c r="AI96" s="191"/>
      <c r="AJ96" s="191"/>
      <c r="AK96" s="191"/>
      <c r="AL96" s="191"/>
      <c r="AM96" s="191"/>
      <c r="AN96" s="192"/>
    </row>
    <row r="97" spans="1:40" ht="15.75" customHeight="1">
      <c r="A97" s="230"/>
      <c r="B97" s="4" t="s">
        <v>14</v>
      </c>
      <c r="C97" s="5"/>
      <c r="D97" s="5"/>
      <c r="E97" s="4">
        <v>6</v>
      </c>
      <c r="F97" s="4">
        <v>4</v>
      </c>
      <c r="G97" s="4">
        <v>6</v>
      </c>
      <c r="H97" s="4">
        <v>14</v>
      </c>
      <c r="I97" s="4">
        <v>6</v>
      </c>
      <c r="J97" s="4">
        <v>4</v>
      </c>
      <c r="K97" s="227"/>
      <c r="L97" s="4" t="s">
        <v>14</v>
      </c>
      <c r="M97" s="4">
        <v>6</v>
      </c>
      <c r="N97" s="4">
        <v>6</v>
      </c>
      <c r="O97" s="4">
        <v>3</v>
      </c>
      <c r="P97" s="4">
        <v>4</v>
      </c>
      <c r="Q97" s="4">
        <v>1</v>
      </c>
      <c r="R97" s="5"/>
      <c r="S97" s="5"/>
      <c r="T97" s="49"/>
      <c r="U97" s="59">
        <f t="shared" ref="U97:U137" si="19">SUM(M97:T97,C97:J97)</f>
        <v>60</v>
      </c>
      <c r="W97" s="55" t="s">
        <v>5</v>
      </c>
      <c r="X97" s="48">
        <f>SUM(U96:U101)</f>
        <v>603</v>
      </c>
      <c r="AG97" s="98" t="s">
        <v>4</v>
      </c>
      <c r="AH97" s="98" t="s">
        <v>5</v>
      </c>
      <c r="AI97" s="98" t="s">
        <v>6</v>
      </c>
      <c r="AJ97" s="98" t="s">
        <v>7</v>
      </c>
      <c r="AK97" s="98" t="s">
        <v>8</v>
      </c>
      <c r="AL97" s="98" t="s">
        <v>9</v>
      </c>
      <c r="AM97" s="98" t="s">
        <v>10</v>
      </c>
      <c r="AN97" s="98" t="s">
        <v>11</v>
      </c>
    </row>
    <row r="98" spans="1:40" ht="15.75" customHeight="1">
      <c r="A98" s="230"/>
      <c r="B98" s="4" t="s">
        <v>15</v>
      </c>
      <c r="C98" s="5"/>
      <c r="D98" s="5"/>
      <c r="E98" s="4">
        <v>10</v>
      </c>
      <c r="F98" s="4">
        <v>14</v>
      </c>
      <c r="G98" s="4">
        <v>25</v>
      </c>
      <c r="H98" s="4">
        <v>30</v>
      </c>
      <c r="I98" s="4">
        <v>19</v>
      </c>
      <c r="J98" s="4">
        <v>15</v>
      </c>
      <c r="K98" s="227"/>
      <c r="L98" s="4" t="s">
        <v>15</v>
      </c>
      <c r="M98" s="4">
        <v>26</v>
      </c>
      <c r="N98" s="4">
        <v>16</v>
      </c>
      <c r="O98" s="4">
        <v>16</v>
      </c>
      <c r="P98" s="4">
        <v>14</v>
      </c>
      <c r="Q98" s="4">
        <v>12</v>
      </c>
      <c r="R98" s="5"/>
      <c r="S98" s="5"/>
      <c r="T98" s="49"/>
      <c r="U98" s="59">
        <f t="shared" si="19"/>
        <v>197</v>
      </c>
      <c r="W98" s="55" t="s">
        <v>6</v>
      </c>
      <c r="X98" s="48">
        <f>SUM(U102:U107)</f>
        <v>541</v>
      </c>
      <c r="AG98" s="79" t="s">
        <v>13</v>
      </c>
      <c r="AH98" s="79">
        <f t="shared" ref="AH98:AH103" si="20">U96</f>
        <v>186</v>
      </c>
      <c r="AI98" s="79">
        <f t="shared" ref="AI98:AI103" si="21">U102</f>
        <v>185</v>
      </c>
      <c r="AJ98" s="79">
        <f t="shared" ref="AJ98:AJ103" si="22">U108</f>
        <v>361</v>
      </c>
      <c r="AK98" s="79">
        <f t="shared" ref="AK98:AK103" si="23">U114</f>
        <v>275</v>
      </c>
      <c r="AL98" s="79">
        <f t="shared" ref="AL98:AL103" si="24">U120</f>
        <v>325</v>
      </c>
      <c r="AM98" s="79">
        <f t="shared" ref="AM98:AM103" si="25">U126</f>
        <v>298</v>
      </c>
      <c r="AN98" s="79">
        <f t="shared" ref="AN98:AN103" si="26">U132</f>
        <v>291</v>
      </c>
    </row>
    <row r="99" spans="1:40" ht="15.75" customHeight="1">
      <c r="A99" s="230"/>
      <c r="B99" s="4" t="s">
        <v>16</v>
      </c>
      <c r="C99" s="5"/>
      <c r="D99" s="5"/>
      <c r="E99" s="4">
        <v>5</v>
      </c>
      <c r="F99" s="4">
        <v>1</v>
      </c>
      <c r="G99" s="4">
        <v>4</v>
      </c>
      <c r="H99" s="4">
        <v>5</v>
      </c>
      <c r="I99" s="4">
        <v>4</v>
      </c>
      <c r="J99" s="4">
        <v>6</v>
      </c>
      <c r="K99" s="227"/>
      <c r="L99" s="4" t="s">
        <v>16</v>
      </c>
      <c r="M99" s="4">
        <v>4</v>
      </c>
      <c r="N99" s="4">
        <v>3</v>
      </c>
      <c r="O99" s="4">
        <v>4</v>
      </c>
      <c r="P99" s="4">
        <v>3</v>
      </c>
      <c r="Q99" s="4">
        <v>3</v>
      </c>
      <c r="R99" s="5"/>
      <c r="S99" s="5"/>
      <c r="T99" s="49"/>
      <c r="U99" s="59">
        <f t="shared" si="19"/>
        <v>42</v>
      </c>
      <c r="W99" s="55" t="s">
        <v>7</v>
      </c>
      <c r="X99" s="48">
        <f>SUM(U108:U113)</f>
        <v>1277</v>
      </c>
      <c r="AG99" s="97" t="s">
        <v>14</v>
      </c>
      <c r="AH99" s="97">
        <f t="shared" si="20"/>
        <v>60</v>
      </c>
      <c r="AI99" s="97">
        <f t="shared" si="21"/>
        <v>52</v>
      </c>
      <c r="AJ99" s="97">
        <f t="shared" si="22"/>
        <v>159</v>
      </c>
      <c r="AK99" s="97">
        <f t="shared" si="23"/>
        <v>112</v>
      </c>
      <c r="AL99" s="97">
        <f t="shared" si="24"/>
        <v>119</v>
      </c>
      <c r="AM99" s="97">
        <f t="shared" si="25"/>
        <v>121</v>
      </c>
      <c r="AN99" s="97">
        <f t="shared" si="26"/>
        <v>119</v>
      </c>
    </row>
    <row r="100" spans="1:40" ht="15.75" customHeight="1">
      <c r="A100" s="230"/>
      <c r="B100" s="4" t="s">
        <v>17</v>
      </c>
      <c r="C100" s="5"/>
      <c r="D100" s="5"/>
      <c r="E100" s="4">
        <v>1</v>
      </c>
      <c r="F100" s="4">
        <v>6</v>
      </c>
      <c r="G100" s="4">
        <v>4</v>
      </c>
      <c r="H100" s="4">
        <v>5</v>
      </c>
      <c r="I100" s="4">
        <v>6</v>
      </c>
      <c r="J100" s="4">
        <v>6</v>
      </c>
      <c r="K100" s="227"/>
      <c r="L100" s="4" t="s">
        <v>17</v>
      </c>
      <c r="M100" s="4">
        <v>7</v>
      </c>
      <c r="N100" s="4">
        <v>4</v>
      </c>
      <c r="O100" s="4">
        <v>8</v>
      </c>
      <c r="P100" s="4">
        <v>0</v>
      </c>
      <c r="Q100" s="4">
        <v>2</v>
      </c>
      <c r="R100" s="5"/>
      <c r="S100" s="5"/>
      <c r="T100" s="49"/>
      <c r="U100" s="59">
        <f t="shared" si="19"/>
        <v>49</v>
      </c>
      <c r="W100" s="55" t="s">
        <v>61</v>
      </c>
      <c r="X100" s="48">
        <f>SUM(U114:U119)</f>
        <v>1077</v>
      </c>
      <c r="AG100" s="79" t="s">
        <v>15</v>
      </c>
      <c r="AH100" s="79">
        <f t="shared" si="20"/>
        <v>197</v>
      </c>
      <c r="AI100" s="79">
        <f t="shared" si="21"/>
        <v>136</v>
      </c>
      <c r="AJ100" s="79">
        <f t="shared" si="22"/>
        <v>359</v>
      </c>
      <c r="AK100" s="79">
        <f t="shared" si="23"/>
        <v>373</v>
      </c>
      <c r="AL100" s="79">
        <f t="shared" si="24"/>
        <v>369</v>
      </c>
      <c r="AM100" s="79">
        <f t="shared" si="25"/>
        <v>336</v>
      </c>
      <c r="AN100" s="79">
        <f t="shared" si="26"/>
        <v>300</v>
      </c>
    </row>
    <row r="101" spans="1:40" ht="15.75" customHeight="1">
      <c r="A101" s="230"/>
      <c r="B101" s="46" t="s">
        <v>18</v>
      </c>
      <c r="C101" s="64"/>
      <c r="D101" s="64"/>
      <c r="E101" s="46">
        <v>13</v>
      </c>
      <c r="F101" s="46">
        <v>3</v>
      </c>
      <c r="G101" s="46">
        <v>14</v>
      </c>
      <c r="H101" s="46">
        <v>7</v>
      </c>
      <c r="I101" s="46">
        <v>8</v>
      </c>
      <c r="J101" s="46">
        <v>5</v>
      </c>
      <c r="K101" s="227"/>
      <c r="L101" s="46" t="s">
        <v>18</v>
      </c>
      <c r="M101" s="46">
        <v>6</v>
      </c>
      <c r="N101" s="46">
        <v>8</v>
      </c>
      <c r="O101" s="46">
        <v>2</v>
      </c>
      <c r="P101" s="46">
        <v>3</v>
      </c>
      <c r="Q101" s="46">
        <v>0</v>
      </c>
      <c r="R101" s="64"/>
      <c r="S101" s="64"/>
      <c r="T101" s="65"/>
      <c r="U101" s="59">
        <f t="shared" si="19"/>
        <v>69</v>
      </c>
      <c r="W101" s="55" t="s">
        <v>9</v>
      </c>
      <c r="X101" s="48">
        <f>SUM(U120:U125)</f>
        <v>1131</v>
      </c>
      <c r="AG101" s="97" t="s">
        <v>16</v>
      </c>
      <c r="AH101" s="97">
        <f t="shared" si="20"/>
        <v>42</v>
      </c>
      <c r="AI101" s="97">
        <f t="shared" si="21"/>
        <v>46</v>
      </c>
      <c r="AJ101" s="97">
        <f t="shared" si="22"/>
        <v>100</v>
      </c>
      <c r="AK101" s="97">
        <f t="shared" si="23"/>
        <v>81</v>
      </c>
      <c r="AL101" s="97">
        <f t="shared" si="24"/>
        <v>87</v>
      </c>
      <c r="AM101" s="97">
        <f t="shared" si="25"/>
        <v>87</v>
      </c>
      <c r="AN101" s="97">
        <f t="shared" si="26"/>
        <v>97</v>
      </c>
    </row>
    <row r="102" spans="1:40" ht="15.75" customHeight="1">
      <c r="A102" s="193" t="s">
        <v>6</v>
      </c>
      <c r="B102" s="63" t="s">
        <v>13</v>
      </c>
      <c r="C102" s="57"/>
      <c r="D102" s="57"/>
      <c r="E102" s="57"/>
      <c r="F102" s="63">
        <v>25</v>
      </c>
      <c r="G102" s="63">
        <v>34</v>
      </c>
      <c r="H102" s="63">
        <v>29</v>
      </c>
      <c r="I102" s="63">
        <v>25</v>
      </c>
      <c r="J102" s="63">
        <v>25</v>
      </c>
      <c r="K102" s="194" t="s">
        <v>6</v>
      </c>
      <c r="L102" s="63" t="s">
        <v>13</v>
      </c>
      <c r="M102" s="63">
        <v>8</v>
      </c>
      <c r="N102" s="63">
        <v>14</v>
      </c>
      <c r="O102" s="63">
        <v>15</v>
      </c>
      <c r="P102" s="63">
        <v>10</v>
      </c>
      <c r="Q102" s="57"/>
      <c r="R102" s="57"/>
      <c r="S102" s="57"/>
      <c r="T102" s="58"/>
      <c r="U102" s="59">
        <f t="shared" si="19"/>
        <v>185</v>
      </c>
      <c r="W102" s="55" t="s">
        <v>10</v>
      </c>
      <c r="X102" s="48">
        <f>SUM(U126:U131)</f>
        <v>1082</v>
      </c>
      <c r="AG102" s="79" t="s">
        <v>17</v>
      </c>
      <c r="AH102" s="79">
        <f t="shared" si="20"/>
        <v>49</v>
      </c>
      <c r="AI102" s="79">
        <f t="shared" si="21"/>
        <v>59</v>
      </c>
      <c r="AJ102" s="79">
        <f t="shared" si="22"/>
        <v>141</v>
      </c>
      <c r="AK102" s="79">
        <f t="shared" si="23"/>
        <v>106</v>
      </c>
      <c r="AL102" s="79">
        <f t="shared" si="24"/>
        <v>94</v>
      </c>
      <c r="AM102" s="79">
        <f t="shared" si="25"/>
        <v>100</v>
      </c>
      <c r="AN102" s="79">
        <f t="shared" si="26"/>
        <v>85</v>
      </c>
    </row>
    <row r="103" spans="1:40" ht="15.75" customHeight="1">
      <c r="A103" s="230"/>
      <c r="B103" s="6" t="s">
        <v>14</v>
      </c>
      <c r="C103" s="5"/>
      <c r="D103" s="5"/>
      <c r="E103" s="5"/>
      <c r="F103" s="6">
        <v>4</v>
      </c>
      <c r="G103" s="6">
        <v>8</v>
      </c>
      <c r="H103" s="6">
        <v>8</v>
      </c>
      <c r="I103" s="6">
        <v>9</v>
      </c>
      <c r="J103" s="6">
        <v>5</v>
      </c>
      <c r="K103" s="227"/>
      <c r="L103" s="6" t="s">
        <v>14</v>
      </c>
      <c r="M103" s="6">
        <v>4</v>
      </c>
      <c r="N103" s="6">
        <v>5</v>
      </c>
      <c r="O103" s="6">
        <v>6</v>
      </c>
      <c r="P103" s="6">
        <v>3</v>
      </c>
      <c r="Q103" s="5"/>
      <c r="R103" s="5"/>
      <c r="S103" s="5"/>
      <c r="T103" s="49"/>
      <c r="U103" s="59">
        <f t="shared" si="19"/>
        <v>52</v>
      </c>
      <c r="W103" s="81" t="s">
        <v>11</v>
      </c>
      <c r="X103" s="80">
        <f>SUM(U132:U137)</f>
        <v>984</v>
      </c>
      <c r="AG103" s="97" t="s">
        <v>18</v>
      </c>
      <c r="AH103" s="97">
        <f t="shared" si="20"/>
        <v>69</v>
      </c>
      <c r="AI103" s="97">
        <f t="shared" si="21"/>
        <v>63</v>
      </c>
      <c r="AJ103" s="97">
        <f t="shared" si="22"/>
        <v>157</v>
      </c>
      <c r="AK103" s="97">
        <f t="shared" si="23"/>
        <v>130</v>
      </c>
      <c r="AL103" s="97">
        <f t="shared" si="24"/>
        <v>137</v>
      </c>
      <c r="AM103" s="97">
        <f t="shared" si="25"/>
        <v>140</v>
      </c>
      <c r="AN103" s="97">
        <f t="shared" si="26"/>
        <v>92</v>
      </c>
    </row>
    <row r="104" spans="1:40" ht="15.75" customHeight="1">
      <c r="A104" s="230"/>
      <c r="B104" s="6" t="s">
        <v>15</v>
      </c>
      <c r="C104" s="5"/>
      <c r="D104" s="5"/>
      <c r="E104" s="5"/>
      <c r="F104" s="6">
        <v>22</v>
      </c>
      <c r="G104" s="6">
        <v>12</v>
      </c>
      <c r="H104" s="6">
        <v>21</v>
      </c>
      <c r="I104" s="6">
        <v>18</v>
      </c>
      <c r="J104" s="6">
        <v>23</v>
      </c>
      <c r="K104" s="227"/>
      <c r="L104" s="6" t="s">
        <v>15</v>
      </c>
      <c r="M104" s="6">
        <v>12</v>
      </c>
      <c r="N104" s="6">
        <v>5</v>
      </c>
      <c r="O104" s="6">
        <v>18</v>
      </c>
      <c r="P104" s="6">
        <v>5</v>
      </c>
      <c r="Q104" s="5"/>
      <c r="R104" s="5"/>
      <c r="S104" s="5"/>
      <c r="T104" s="49"/>
      <c r="U104" s="59">
        <f t="shared" si="19"/>
        <v>136</v>
      </c>
      <c r="W104" s="79" t="s">
        <v>63</v>
      </c>
      <c r="X104" s="82">
        <f>SUM(X97:X103)</f>
        <v>6695</v>
      </c>
    </row>
    <row r="105" spans="1:40" ht="15.75" customHeight="1">
      <c r="A105" s="230"/>
      <c r="B105" s="6" t="s">
        <v>16</v>
      </c>
      <c r="C105" s="5"/>
      <c r="D105" s="5"/>
      <c r="E105" s="5"/>
      <c r="F105" s="6">
        <v>2</v>
      </c>
      <c r="G105" s="6">
        <v>4</v>
      </c>
      <c r="H105" s="6">
        <v>10</v>
      </c>
      <c r="I105" s="6">
        <v>6</v>
      </c>
      <c r="J105" s="6">
        <v>9</v>
      </c>
      <c r="K105" s="227"/>
      <c r="L105" s="6" t="s">
        <v>16</v>
      </c>
      <c r="M105" s="6">
        <v>6</v>
      </c>
      <c r="N105" s="6">
        <v>3</v>
      </c>
      <c r="O105" s="6">
        <v>4</v>
      </c>
      <c r="P105" s="6">
        <v>2</v>
      </c>
      <c r="Q105" s="5"/>
      <c r="R105" s="5"/>
      <c r="S105" s="5"/>
      <c r="T105" s="49"/>
      <c r="U105" s="59">
        <f t="shared" si="19"/>
        <v>46</v>
      </c>
    </row>
    <row r="106" spans="1:40" ht="15.75" customHeight="1">
      <c r="A106" s="230"/>
      <c r="B106" s="6" t="s">
        <v>17</v>
      </c>
      <c r="C106" s="5"/>
      <c r="D106" s="5"/>
      <c r="E106" s="5"/>
      <c r="F106" s="6">
        <v>5</v>
      </c>
      <c r="G106" s="6">
        <v>7</v>
      </c>
      <c r="H106" s="6">
        <v>12</v>
      </c>
      <c r="I106" s="6">
        <v>11</v>
      </c>
      <c r="J106" s="6">
        <v>8</v>
      </c>
      <c r="K106" s="227"/>
      <c r="L106" s="6" t="s">
        <v>17</v>
      </c>
      <c r="M106" s="6">
        <v>5</v>
      </c>
      <c r="N106" s="6">
        <v>4</v>
      </c>
      <c r="O106" s="6">
        <v>5</v>
      </c>
      <c r="P106" s="6">
        <v>2</v>
      </c>
      <c r="Q106" s="5"/>
      <c r="R106" s="5"/>
      <c r="S106" s="5"/>
      <c r="T106" s="49"/>
      <c r="U106" s="59">
        <f t="shared" si="19"/>
        <v>59</v>
      </c>
    </row>
    <row r="107" spans="1:40" ht="15.75" customHeight="1">
      <c r="A107" s="230"/>
      <c r="B107" s="47" t="s">
        <v>18</v>
      </c>
      <c r="C107" s="64"/>
      <c r="D107" s="64"/>
      <c r="E107" s="64"/>
      <c r="F107" s="47">
        <v>7</v>
      </c>
      <c r="G107" s="47">
        <v>10</v>
      </c>
      <c r="H107" s="47">
        <v>15</v>
      </c>
      <c r="I107" s="47">
        <v>6</v>
      </c>
      <c r="J107" s="47">
        <v>7</v>
      </c>
      <c r="K107" s="227"/>
      <c r="L107" s="47" t="s">
        <v>18</v>
      </c>
      <c r="M107" s="47">
        <v>6</v>
      </c>
      <c r="N107" s="47">
        <v>5</v>
      </c>
      <c r="O107" s="47">
        <v>3</v>
      </c>
      <c r="P107" s="47">
        <v>4</v>
      </c>
      <c r="Q107" s="64"/>
      <c r="R107" s="64"/>
      <c r="S107" s="64"/>
      <c r="T107" s="65"/>
      <c r="U107" s="59">
        <f t="shared" si="19"/>
        <v>63</v>
      </c>
    </row>
    <row r="108" spans="1:40" ht="15.75" customHeight="1">
      <c r="A108" s="195" t="s">
        <v>7</v>
      </c>
      <c r="B108" s="56" t="s">
        <v>13</v>
      </c>
      <c r="C108" s="56">
        <v>16</v>
      </c>
      <c r="D108" s="56">
        <v>20</v>
      </c>
      <c r="E108" s="56">
        <v>25</v>
      </c>
      <c r="F108" s="56">
        <v>31</v>
      </c>
      <c r="G108" s="56">
        <v>26</v>
      </c>
      <c r="H108" s="56">
        <v>42</v>
      </c>
      <c r="I108" s="56">
        <v>30</v>
      </c>
      <c r="J108" s="56">
        <v>15</v>
      </c>
      <c r="K108" s="196" t="s">
        <v>7</v>
      </c>
      <c r="L108" s="56" t="s">
        <v>13</v>
      </c>
      <c r="M108" s="56">
        <v>11</v>
      </c>
      <c r="N108" s="56">
        <v>20</v>
      </c>
      <c r="O108" s="56">
        <v>20</v>
      </c>
      <c r="P108" s="56">
        <v>12</v>
      </c>
      <c r="Q108" s="56">
        <v>26</v>
      </c>
      <c r="R108" s="56">
        <v>23</v>
      </c>
      <c r="S108" s="56">
        <v>23</v>
      </c>
      <c r="T108" s="67">
        <v>21</v>
      </c>
      <c r="U108" s="59">
        <f t="shared" si="19"/>
        <v>361</v>
      </c>
    </row>
    <row r="109" spans="1:40" ht="15.75" customHeight="1">
      <c r="A109" s="230"/>
      <c r="B109" s="4" t="s">
        <v>14</v>
      </c>
      <c r="C109" s="4">
        <v>10</v>
      </c>
      <c r="D109" s="4">
        <v>12</v>
      </c>
      <c r="E109" s="4">
        <v>12</v>
      </c>
      <c r="F109" s="4">
        <v>12</v>
      </c>
      <c r="G109" s="4">
        <v>14</v>
      </c>
      <c r="H109" s="4">
        <v>17</v>
      </c>
      <c r="I109" s="4">
        <v>11</v>
      </c>
      <c r="J109" s="4">
        <v>6</v>
      </c>
      <c r="K109" s="227"/>
      <c r="L109" s="4" t="s">
        <v>14</v>
      </c>
      <c r="M109" s="4">
        <v>12</v>
      </c>
      <c r="N109" s="4">
        <v>10</v>
      </c>
      <c r="O109" s="4">
        <v>12</v>
      </c>
      <c r="P109" s="4">
        <v>10</v>
      </c>
      <c r="Q109" s="4">
        <v>8</v>
      </c>
      <c r="R109" s="4">
        <v>7</v>
      </c>
      <c r="S109" s="4">
        <v>4</v>
      </c>
      <c r="T109" s="50">
        <v>2</v>
      </c>
      <c r="U109" s="59">
        <f t="shared" si="19"/>
        <v>159</v>
      </c>
    </row>
    <row r="110" spans="1:40" ht="15.75" customHeight="1">
      <c r="A110" s="230"/>
      <c r="B110" s="4" t="s">
        <v>15</v>
      </c>
      <c r="C110" s="4">
        <v>13</v>
      </c>
      <c r="D110" s="4">
        <v>18</v>
      </c>
      <c r="E110" s="4">
        <v>22</v>
      </c>
      <c r="F110" s="4">
        <v>26</v>
      </c>
      <c r="G110" s="4">
        <v>21</v>
      </c>
      <c r="H110" s="4">
        <v>32</v>
      </c>
      <c r="I110" s="4">
        <v>21</v>
      </c>
      <c r="J110" s="4">
        <v>20</v>
      </c>
      <c r="K110" s="227"/>
      <c r="L110" s="4" t="s">
        <v>15</v>
      </c>
      <c r="M110" s="4">
        <v>21</v>
      </c>
      <c r="N110" s="4">
        <v>19</v>
      </c>
      <c r="O110" s="4">
        <v>20</v>
      </c>
      <c r="P110" s="4">
        <v>17</v>
      </c>
      <c r="Q110" s="4">
        <v>34</v>
      </c>
      <c r="R110" s="4">
        <v>21</v>
      </c>
      <c r="S110" s="4">
        <v>24</v>
      </c>
      <c r="T110" s="50">
        <v>30</v>
      </c>
      <c r="U110" s="59">
        <f t="shared" si="19"/>
        <v>359</v>
      </c>
    </row>
    <row r="111" spans="1:40" ht="15.75" customHeight="1">
      <c r="A111" s="230"/>
      <c r="B111" s="4" t="s">
        <v>16</v>
      </c>
      <c r="C111" s="4">
        <v>1</v>
      </c>
      <c r="D111" s="4">
        <v>4</v>
      </c>
      <c r="E111" s="4">
        <v>4</v>
      </c>
      <c r="F111" s="4">
        <v>13</v>
      </c>
      <c r="G111" s="4">
        <v>13</v>
      </c>
      <c r="H111" s="4">
        <v>8</v>
      </c>
      <c r="I111" s="4">
        <v>5</v>
      </c>
      <c r="J111" s="4">
        <v>3</v>
      </c>
      <c r="K111" s="227"/>
      <c r="L111" s="4" t="s">
        <v>16</v>
      </c>
      <c r="M111" s="4">
        <v>8</v>
      </c>
      <c r="N111" s="4">
        <v>7</v>
      </c>
      <c r="O111" s="4">
        <v>8</v>
      </c>
      <c r="P111" s="4">
        <v>7</v>
      </c>
      <c r="Q111" s="4">
        <v>5</v>
      </c>
      <c r="R111" s="4">
        <v>4</v>
      </c>
      <c r="S111" s="4">
        <v>6</v>
      </c>
      <c r="T111" s="50">
        <v>4</v>
      </c>
      <c r="U111" s="59">
        <f t="shared" si="19"/>
        <v>100</v>
      </c>
    </row>
    <row r="112" spans="1:40" ht="15.75" customHeight="1">
      <c r="A112" s="230"/>
      <c r="B112" s="4" t="s">
        <v>17</v>
      </c>
      <c r="C112" s="4">
        <v>2</v>
      </c>
      <c r="D112" s="4">
        <v>5</v>
      </c>
      <c r="E112" s="4">
        <v>3</v>
      </c>
      <c r="F112" s="4">
        <v>7</v>
      </c>
      <c r="G112" s="4">
        <v>9</v>
      </c>
      <c r="H112" s="4">
        <v>13</v>
      </c>
      <c r="I112" s="4">
        <v>4</v>
      </c>
      <c r="J112" s="4">
        <v>7</v>
      </c>
      <c r="K112" s="227"/>
      <c r="L112" s="4" t="s">
        <v>17</v>
      </c>
      <c r="M112" s="4">
        <v>5</v>
      </c>
      <c r="N112" s="4">
        <v>10</v>
      </c>
      <c r="O112" s="4">
        <v>10</v>
      </c>
      <c r="P112" s="4">
        <v>8</v>
      </c>
      <c r="Q112" s="4">
        <v>9</v>
      </c>
      <c r="R112" s="4">
        <v>12</v>
      </c>
      <c r="S112" s="4">
        <v>15</v>
      </c>
      <c r="T112" s="50">
        <v>22</v>
      </c>
      <c r="U112" s="59">
        <f t="shared" si="19"/>
        <v>141</v>
      </c>
    </row>
    <row r="113" spans="1:21" ht="15.75" customHeight="1">
      <c r="A113" s="230"/>
      <c r="B113" s="46" t="s">
        <v>18</v>
      </c>
      <c r="C113" s="46">
        <v>13</v>
      </c>
      <c r="D113" s="46">
        <v>14</v>
      </c>
      <c r="E113" s="46">
        <v>11</v>
      </c>
      <c r="F113" s="46">
        <v>12</v>
      </c>
      <c r="G113" s="46">
        <v>13</v>
      </c>
      <c r="H113" s="46">
        <v>15</v>
      </c>
      <c r="I113" s="46">
        <v>11</v>
      </c>
      <c r="J113" s="46">
        <v>7</v>
      </c>
      <c r="K113" s="227"/>
      <c r="L113" s="46" t="s">
        <v>18</v>
      </c>
      <c r="M113" s="46">
        <v>7</v>
      </c>
      <c r="N113" s="46">
        <v>9</v>
      </c>
      <c r="O113" s="46">
        <v>5</v>
      </c>
      <c r="P113" s="46">
        <v>12</v>
      </c>
      <c r="Q113" s="46">
        <v>13</v>
      </c>
      <c r="R113" s="46">
        <v>7</v>
      </c>
      <c r="S113" s="46">
        <v>3</v>
      </c>
      <c r="T113" s="69">
        <v>5</v>
      </c>
      <c r="U113" s="59">
        <f t="shared" si="19"/>
        <v>157</v>
      </c>
    </row>
    <row r="114" spans="1:21" ht="15.75" customHeight="1">
      <c r="A114" s="193" t="s">
        <v>8</v>
      </c>
      <c r="B114" s="63" t="s">
        <v>13</v>
      </c>
      <c r="C114" s="63">
        <v>16</v>
      </c>
      <c r="D114" s="63">
        <v>18</v>
      </c>
      <c r="E114" s="63">
        <v>23</v>
      </c>
      <c r="F114" s="63">
        <v>19</v>
      </c>
      <c r="G114" s="63">
        <v>29</v>
      </c>
      <c r="H114" s="63">
        <v>29</v>
      </c>
      <c r="I114" s="63">
        <v>25</v>
      </c>
      <c r="J114" s="63">
        <v>17</v>
      </c>
      <c r="K114" s="194" t="s">
        <v>8</v>
      </c>
      <c r="L114" s="63" t="s">
        <v>13</v>
      </c>
      <c r="M114" s="63">
        <v>7</v>
      </c>
      <c r="N114" s="63">
        <v>17</v>
      </c>
      <c r="O114" s="63">
        <v>15</v>
      </c>
      <c r="P114" s="63">
        <v>11</v>
      </c>
      <c r="Q114" s="63">
        <v>12</v>
      </c>
      <c r="R114" s="63">
        <v>14</v>
      </c>
      <c r="S114" s="63">
        <v>13</v>
      </c>
      <c r="T114" s="68">
        <v>10</v>
      </c>
      <c r="U114" s="59">
        <f t="shared" si="19"/>
        <v>275</v>
      </c>
    </row>
    <row r="115" spans="1:21" ht="15.75" customHeight="1">
      <c r="A115" s="230"/>
      <c r="B115" s="6" t="s">
        <v>14</v>
      </c>
      <c r="C115" s="6">
        <v>8</v>
      </c>
      <c r="D115" s="6">
        <v>6</v>
      </c>
      <c r="E115" s="6">
        <v>8</v>
      </c>
      <c r="F115" s="6">
        <v>9</v>
      </c>
      <c r="G115" s="6">
        <v>8</v>
      </c>
      <c r="H115" s="6">
        <v>8</v>
      </c>
      <c r="I115" s="6">
        <v>15</v>
      </c>
      <c r="J115" s="6">
        <v>8</v>
      </c>
      <c r="K115" s="227"/>
      <c r="L115" s="6" t="s">
        <v>14</v>
      </c>
      <c r="M115" s="6">
        <v>6</v>
      </c>
      <c r="N115" s="6">
        <v>7</v>
      </c>
      <c r="O115" s="6">
        <v>5</v>
      </c>
      <c r="P115" s="6">
        <v>9</v>
      </c>
      <c r="Q115" s="6">
        <v>6</v>
      </c>
      <c r="R115" s="6">
        <v>4</v>
      </c>
      <c r="S115" s="6">
        <v>2</v>
      </c>
      <c r="T115" s="51">
        <v>3</v>
      </c>
      <c r="U115" s="59">
        <f t="shared" si="19"/>
        <v>112</v>
      </c>
    </row>
    <row r="116" spans="1:21" ht="15.75" customHeight="1">
      <c r="A116" s="230"/>
      <c r="B116" s="6" t="s">
        <v>15</v>
      </c>
      <c r="C116" s="6">
        <v>17</v>
      </c>
      <c r="D116" s="6">
        <v>26</v>
      </c>
      <c r="E116" s="6">
        <v>13</v>
      </c>
      <c r="F116" s="6">
        <v>20</v>
      </c>
      <c r="G116" s="6">
        <v>23</v>
      </c>
      <c r="H116" s="6">
        <v>25</v>
      </c>
      <c r="I116" s="6">
        <v>25</v>
      </c>
      <c r="J116" s="6">
        <v>20</v>
      </c>
      <c r="K116" s="227"/>
      <c r="L116" s="6" t="s">
        <v>15</v>
      </c>
      <c r="M116" s="6">
        <v>24</v>
      </c>
      <c r="N116" s="6">
        <v>23</v>
      </c>
      <c r="O116" s="6">
        <v>35</v>
      </c>
      <c r="P116" s="6">
        <v>26</v>
      </c>
      <c r="Q116" s="6">
        <v>21</v>
      </c>
      <c r="R116" s="6">
        <v>38</v>
      </c>
      <c r="S116" s="6">
        <v>19</v>
      </c>
      <c r="T116" s="51">
        <v>18</v>
      </c>
      <c r="U116" s="59">
        <f t="shared" si="19"/>
        <v>373</v>
      </c>
    </row>
    <row r="117" spans="1:21" ht="15.75" customHeight="1">
      <c r="A117" s="230"/>
      <c r="B117" s="6" t="s">
        <v>16</v>
      </c>
      <c r="C117" s="6">
        <v>5</v>
      </c>
      <c r="D117" s="6">
        <v>6</v>
      </c>
      <c r="E117" s="6">
        <v>6</v>
      </c>
      <c r="F117" s="6">
        <v>7</v>
      </c>
      <c r="G117" s="6">
        <v>9</v>
      </c>
      <c r="H117" s="6">
        <v>9</v>
      </c>
      <c r="I117" s="6">
        <v>4</v>
      </c>
      <c r="J117" s="6">
        <v>2</v>
      </c>
      <c r="K117" s="227"/>
      <c r="L117" s="6" t="s">
        <v>16</v>
      </c>
      <c r="M117" s="6">
        <v>6</v>
      </c>
      <c r="N117" s="6">
        <v>4</v>
      </c>
      <c r="O117" s="6">
        <v>7</v>
      </c>
      <c r="P117" s="6">
        <v>0</v>
      </c>
      <c r="Q117" s="6">
        <v>3</v>
      </c>
      <c r="R117" s="6">
        <v>3</v>
      </c>
      <c r="S117" s="6">
        <v>4</v>
      </c>
      <c r="T117" s="51">
        <v>6</v>
      </c>
      <c r="U117" s="59">
        <f t="shared" si="19"/>
        <v>81</v>
      </c>
    </row>
    <row r="118" spans="1:21" ht="15.75" customHeight="1">
      <c r="A118" s="230"/>
      <c r="B118" s="6" t="s">
        <v>17</v>
      </c>
      <c r="C118" s="6">
        <v>6</v>
      </c>
      <c r="D118" s="6">
        <v>8</v>
      </c>
      <c r="E118" s="6">
        <v>7</v>
      </c>
      <c r="F118" s="6">
        <v>6</v>
      </c>
      <c r="G118" s="6">
        <v>8</v>
      </c>
      <c r="H118" s="6">
        <v>8</v>
      </c>
      <c r="I118" s="6">
        <v>8</v>
      </c>
      <c r="J118" s="6">
        <v>5</v>
      </c>
      <c r="K118" s="227"/>
      <c r="L118" s="6" t="s">
        <v>17</v>
      </c>
      <c r="M118" s="6">
        <v>10</v>
      </c>
      <c r="N118" s="6">
        <v>7</v>
      </c>
      <c r="O118" s="6">
        <v>7</v>
      </c>
      <c r="P118" s="6">
        <v>8</v>
      </c>
      <c r="Q118" s="6">
        <v>2</v>
      </c>
      <c r="R118" s="6">
        <v>8</v>
      </c>
      <c r="S118" s="6">
        <v>5</v>
      </c>
      <c r="T118" s="51">
        <v>3</v>
      </c>
      <c r="U118" s="59">
        <f t="shared" si="19"/>
        <v>106</v>
      </c>
    </row>
    <row r="119" spans="1:21" ht="15.75" customHeight="1">
      <c r="A119" s="230"/>
      <c r="B119" s="47" t="s">
        <v>18</v>
      </c>
      <c r="C119" s="47">
        <v>18</v>
      </c>
      <c r="D119" s="47">
        <v>4</v>
      </c>
      <c r="E119" s="47">
        <v>6</v>
      </c>
      <c r="F119" s="47">
        <v>7</v>
      </c>
      <c r="G119" s="47">
        <v>12</v>
      </c>
      <c r="H119" s="47">
        <v>9</v>
      </c>
      <c r="I119" s="47">
        <v>9</v>
      </c>
      <c r="J119" s="47">
        <v>9</v>
      </c>
      <c r="K119" s="227"/>
      <c r="L119" s="47" t="s">
        <v>18</v>
      </c>
      <c r="M119" s="47">
        <v>7</v>
      </c>
      <c r="N119" s="47">
        <v>8</v>
      </c>
      <c r="O119" s="47">
        <v>9</v>
      </c>
      <c r="P119" s="47">
        <v>4</v>
      </c>
      <c r="Q119" s="47">
        <v>8</v>
      </c>
      <c r="R119" s="47">
        <v>11</v>
      </c>
      <c r="S119" s="47">
        <v>5</v>
      </c>
      <c r="T119" s="70">
        <v>4</v>
      </c>
      <c r="U119" s="59">
        <f t="shared" si="19"/>
        <v>130</v>
      </c>
    </row>
    <row r="120" spans="1:21" ht="15.75" customHeight="1">
      <c r="A120" s="195" t="s">
        <v>9</v>
      </c>
      <c r="B120" s="56" t="s">
        <v>13</v>
      </c>
      <c r="C120" s="56">
        <v>16</v>
      </c>
      <c r="D120" s="56">
        <v>12</v>
      </c>
      <c r="E120" s="56">
        <v>14</v>
      </c>
      <c r="F120" s="56">
        <v>29</v>
      </c>
      <c r="G120" s="56">
        <v>34</v>
      </c>
      <c r="H120" s="56">
        <v>41</v>
      </c>
      <c r="I120" s="56">
        <v>46</v>
      </c>
      <c r="J120" s="56">
        <v>15</v>
      </c>
      <c r="K120" s="196" t="s">
        <v>9</v>
      </c>
      <c r="L120" s="56" t="s">
        <v>13</v>
      </c>
      <c r="M120" s="56">
        <v>7</v>
      </c>
      <c r="N120" s="56">
        <v>20</v>
      </c>
      <c r="O120" s="56">
        <v>15</v>
      </c>
      <c r="P120" s="56">
        <v>12</v>
      </c>
      <c r="Q120" s="56">
        <v>23</v>
      </c>
      <c r="R120" s="56">
        <v>13</v>
      </c>
      <c r="S120" s="56">
        <v>15</v>
      </c>
      <c r="T120" s="67">
        <v>13</v>
      </c>
      <c r="U120" s="59">
        <f t="shared" si="19"/>
        <v>325</v>
      </c>
    </row>
    <row r="121" spans="1:21" ht="15.75" customHeight="1">
      <c r="A121" s="230"/>
      <c r="B121" s="4" t="s">
        <v>14</v>
      </c>
      <c r="C121" s="4">
        <v>8</v>
      </c>
      <c r="D121" s="4">
        <v>9</v>
      </c>
      <c r="E121" s="4">
        <v>9</v>
      </c>
      <c r="F121" s="4">
        <v>10</v>
      </c>
      <c r="G121" s="4">
        <v>10</v>
      </c>
      <c r="H121" s="4">
        <v>15</v>
      </c>
      <c r="I121" s="4">
        <v>10</v>
      </c>
      <c r="J121" s="4">
        <v>6</v>
      </c>
      <c r="K121" s="227"/>
      <c r="L121" s="4" t="s">
        <v>14</v>
      </c>
      <c r="M121" s="4">
        <v>6</v>
      </c>
      <c r="N121" s="4">
        <v>11</v>
      </c>
      <c r="O121" s="4">
        <v>5</v>
      </c>
      <c r="P121" s="4">
        <v>7</v>
      </c>
      <c r="Q121" s="4">
        <v>5</v>
      </c>
      <c r="R121" s="4">
        <v>3</v>
      </c>
      <c r="S121" s="4">
        <v>3</v>
      </c>
      <c r="T121" s="50">
        <v>2</v>
      </c>
      <c r="U121" s="59">
        <f t="shared" si="19"/>
        <v>119</v>
      </c>
    </row>
    <row r="122" spans="1:21" ht="15.75" customHeight="1">
      <c r="A122" s="230"/>
      <c r="B122" s="4" t="s">
        <v>15</v>
      </c>
      <c r="C122" s="4">
        <v>17</v>
      </c>
      <c r="D122" s="4">
        <v>24</v>
      </c>
      <c r="E122" s="4">
        <v>21</v>
      </c>
      <c r="F122" s="4">
        <v>24</v>
      </c>
      <c r="G122" s="4">
        <v>25</v>
      </c>
      <c r="H122" s="4">
        <v>21</v>
      </c>
      <c r="I122" s="4">
        <v>23</v>
      </c>
      <c r="J122" s="4">
        <v>19</v>
      </c>
      <c r="K122" s="227"/>
      <c r="L122" s="4" t="s">
        <v>15</v>
      </c>
      <c r="M122" s="4">
        <v>24</v>
      </c>
      <c r="N122" s="4">
        <v>16</v>
      </c>
      <c r="O122" s="4">
        <v>35</v>
      </c>
      <c r="P122" s="4">
        <v>20</v>
      </c>
      <c r="Q122" s="4">
        <v>21</v>
      </c>
      <c r="R122" s="4">
        <v>39</v>
      </c>
      <c r="S122" s="4">
        <v>20</v>
      </c>
      <c r="T122" s="50">
        <v>20</v>
      </c>
      <c r="U122" s="59">
        <f t="shared" si="19"/>
        <v>369</v>
      </c>
    </row>
    <row r="123" spans="1:21" ht="15.75" customHeight="1">
      <c r="A123" s="230"/>
      <c r="B123" s="4" t="s">
        <v>16</v>
      </c>
      <c r="C123" s="4">
        <v>5</v>
      </c>
      <c r="D123" s="4">
        <v>5</v>
      </c>
      <c r="E123" s="4">
        <v>6</v>
      </c>
      <c r="F123" s="4">
        <v>12</v>
      </c>
      <c r="G123" s="4">
        <v>11</v>
      </c>
      <c r="H123" s="4">
        <v>6</v>
      </c>
      <c r="I123" s="4">
        <v>5</v>
      </c>
      <c r="J123" s="4">
        <v>2</v>
      </c>
      <c r="K123" s="227"/>
      <c r="L123" s="4" t="s">
        <v>16</v>
      </c>
      <c r="M123" s="4">
        <v>6</v>
      </c>
      <c r="N123" s="4">
        <v>5</v>
      </c>
      <c r="O123" s="4">
        <v>7</v>
      </c>
      <c r="P123" s="4">
        <v>3</v>
      </c>
      <c r="Q123" s="4">
        <v>3</v>
      </c>
      <c r="R123" s="4">
        <v>2</v>
      </c>
      <c r="S123" s="4">
        <v>6</v>
      </c>
      <c r="T123" s="50">
        <v>3</v>
      </c>
      <c r="U123" s="59">
        <f t="shared" si="19"/>
        <v>87</v>
      </c>
    </row>
    <row r="124" spans="1:21" ht="15.75" customHeight="1">
      <c r="A124" s="230"/>
      <c r="B124" s="4" t="s">
        <v>17</v>
      </c>
      <c r="C124" s="4">
        <v>6</v>
      </c>
      <c r="D124" s="4">
        <v>8</v>
      </c>
      <c r="E124" s="4">
        <v>6</v>
      </c>
      <c r="F124" s="4">
        <v>4</v>
      </c>
      <c r="G124" s="4">
        <v>7</v>
      </c>
      <c r="H124" s="4">
        <v>5</v>
      </c>
      <c r="I124" s="4">
        <v>8</v>
      </c>
      <c r="J124" s="4">
        <v>3</v>
      </c>
      <c r="K124" s="227"/>
      <c r="L124" s="4" t="s">
        <v>17</v>
      </c>
      <c r="M124" s="4">
        <v>10</v>
      </c>
      <c r="N124" s="4">
        <v>3</v>
      </c>
      <c r="O124" s="4">
        <v>7</v>
      </c>
      <c r="P124" s="4">
        <v>8</v>
      </c>
      <c r="Q124" s="4">
        <v>5</v>
      </c>
      <c r="R124" s="4">
        <v>5</v>
      </c>
      <c r="S124" s="4">
        <v>4</v>
      </c>
      <c r="T124" s="50">
        <v>5</v>
      </c>
      <c r="U124" s="59">
        <f t="shared" si="19"/>
        <v>94</v>
      </c>
    </row>
    <row r="125" spans="1:21" ht="15.75" customHeight="1">
      <c r="A125" s="230"/>
      <c r="B125" s="46" t="s">
        <v>18</v>
      </c>
      <c r="C125" s="46">
        <v>18</v>
      </c>
      <c r="D125" s="46">
        <v>12</v>
      </c>
      <c r="E125" s="46">
        <v>8</v>
      </c>
      <c r="F125" s="46">
        <v>8</v>
      </c>
      <c r="G125" s="46">
        <v>10</v>
      </c>
      <c r="H125" s="46">
        <v>16</v>
      </c>
      <c r="I125" s="46">
        <v>9</v>
      </c>
      <c r="J125" s="46">
        <v>6</v>
      </c>
      <c r="K125" s="227"/>
      <c r="L125" s="46" t="s">
        <v>18</v>
      </c>
      <c r="M125" s="46">
        <v>7</v>
      </c>
      <c r="N125" s="46">
        <v>2</v>
      </c>
      <c r="O125" s="46">
        <v>9</v>
      </c>
      <c r="P125" s="46">
        <v>4</v>
      </c>
      <c r="Q125" s="46">
        <v>6</v>
      </c>
      <c r="R125" s="46">
        <v>8</v>
      </c>
      <c r="S125" s="46">
        <v>6</v>
      </c>
      <c r="T125" s="69">
        <v>8</v>
      </c>
      <c r="U125" s="59">
        <f t="shared" si="19"/>
        <v>137</v>
      </c>
    </row>
    <row r="126" spans="1:21" ht="15.75" customHeight="1">
      <c r="A126" s="193" t="s">
        <v>10</v>
      </c>
      <c r="B126" s="63" t="s">
        <v>13</v>
      </c>
      <c r="C126" s="121">
        <v>13</v>
      </c>
      <c r="D126" s="121">
        <v>17</v>
      </c>
      <c r="E126" s="121">
        <v>22</v>
      </c>
      <c r="F126" s="121">
        <v>21</v>
      </c>
      <c r="G126" s="121">
        <v>42</v>
      </c>
      <c r="H126" s="121">
        <v>30</v>
      </c>
      <c r="I126" s="121">
        <v>28</v>
      </c>
      <c r="J126" s="121">
        <v>18</v>
      </c>
      <c r="K126" s="194" t="s">
        <v>10</v>
      </c>
      <c r="L126" s="63" t="s">
        <v>13</v>
      </c>
      <c r="M126" s="121">
        <v>18</v>
      </c>
      <c r="N126" s="121">
        <v>13</v>
      </c>
      <c r="O126" s="121">
        <v>11</v>
      </c>
      <c r="P126" s="121">
        <v>7</v>
      </c>
      <c r="Q126" s="121">
        <v>16</v>
      </c>
      <c r="R126" s="121">
        <v>21</v>
      </c>
      <c r="S126" s="121">
        <v>13</v>
      </c>
      <c r="T126" s="124">
        <v>8</v>
      </c>
      <c r="U126" s="59">
        <f t="shared" si="19"/>
        <v>298</v>
      </c>
    </row>
    <row r="127" spans="1:21" ht="15.75" customHeight="1">
      <c r="A127" s="230"/>
      <c r="B127" s="6" t="s">
        <v>14</v>
      </c>
      <c r="C127" s="122">
        <v>8</v>
      </c>
      <c r="D127" s="122">
        <v>9</v>
      </c>
      <c r="E127" s="122">
        <v>9</v>
      </c>
      <c r="F127" s="122">
        <v>10</v>
      </c>
      <c r="G127" s="122">
        <v>10</v>
      </c>
      <c r="H127" s="122">
        <v>15</v>
      </c>
      <c r="I127" s="122">
        <v>10</v>
      </c>
      <c r="J127" s="122">
        <v>6</v>
      </c>
      <c r="K127" s="227"/>
      <c r="L127" s="6" t="s">
        <v>14</v>
      </c>
      <c r="M127" s="122">
        <v>9</v>
      </c>
      <c r="N127" s="122">
        <v>8</v>
      </c>
      <c r="O127" s="122">
        <v>10</v>
      </c>
      <c r="P127" s="122">
        <v>2</v>
      </c>
      <c r="Q127" s="122">
        <v>1</v>
      </c>
      <c r="R127" s="122">
        <v>5</v>
      </c>
      <c r="S127" s="122">
        <v>4</v>
      </c>
      <c r="T127" s="125">
        <v>5</v>
      </c>
      <c r="U127" s="59">
        <f t="shared" si="19"/>
        <v>121</v>
      </c>
    </row>
    <row r="128" spans="1:21" ht="15.75" customHeight="1">
      <c r="A128" s="230"/>
      <c r="B128" s="6" t="s">
        <v>15</v>
      </c>
      <c r="C128" s="122">
        <v>17</v>
      </c>
      <c r="D128" s="122">
        <v>24</v>
      </c>
      <c r="E128" s="122">
        <v>21</v>
      </c>
      <c r="F128" s="122">
        <v>24</v>
      </c>
      <c r="G128" s="122">
        <v>25</v>
      </c>
      <c r="H128" s="122">
        <v>21</v>
      </c>
      <c r="I128" s="122">
        <v>23</v>
      </c>
      <c r="J128" s="122">
        <v>19</v>
      </c>
      <c r="K128" s="227"/>
      <c r="L128" s="6" t="s">
        <v>15</v>
      </c>
      <c r="M128" s="122">
        <v>21</v>
      </c>
      <c r="N128" s="122">
        <v>18</v>
      </c>
      <c r="O128" s="122">
        <v>15</v>
      </c>
      <c r="P128" s="122">
        <v>17</v>
      </c>
      <c r="Q128" s="122">
        <v>25</v>
      </c>
      <c r="R128" s="122">
        <v>26</v>
      </c>
      <c r="S128" s="122">
        <v>17</v>
      </c>
      <c r="T128" s="125">
        <v>23</v>
      </c>
      <c r="U128" s="59">
        <f t="shared" si="19"/>
        <v>336</v>
      </c>
    </row>
    <row r="129" spans="1:40" ht="15.75" customHeight="1">
      <c r="A129" s="230"/>
      <c r="B129" s="6" t="s">
        <v>16</v>
      </c>
      <c r="C129" s="122">
        <v>5</v>
      </c>
      <c r="D129" s="122">
        <v>5</v>
      </c>
      <c r="E129" s="122">
        <v>6</v>
      </c>
      <c r="F129" s="122">
        <v>12</v>
      </c>
      <c r="G129" s="122">
        <v>11</v>
      </c>
      <c r="H129" s="122">
        <v>6</v>
      </c>
      <c r="I129" s="122">
        <v>5</v>
      </c>
      <c r="J129" s="122">
        <v>2</v>
      </c>
      <c r="K129" s="227"/>
      <c r="L129" s="6" t="s">
        <v>16</v>
      </c>
      <c r="M129" s="122">
        <v>2</v>
      </c>
      <c r="N129" s="122">
        <v>4</v>
      </c>
      <c r="O129" s="122">
        <v>3</v>
      </c>
      <c r="P129" s="122">
        <v>10</v>
      </c>
      <c r="Q129" s="122">
        <v>6</v>
      </c>
      <c r="R129" s="122">
        <v>2</v>
      </c>
      <c r="S129" s="122">
        <v>6</v>
      </c>
      <c r="T129" s="125">
        <v>2</v>
      </c>
      <c r="U129" s="59">
        <f t="shared" si="19"/>
        <v>87</v>
      </c>
    </row>
    <row r="130" spans="1:40" ht="15.75" customHeight="1">
      <c r="A130" s="230"/>
      <c r="B130" s="6" t="s">
        <v>17</v>
      </c>
      <c r="C130" s="122">
        <v>6</v>
      </c>
      <c r="D130" s="122">
        <v>8</v>
      </c>
      <c r="E130" s="122">
        <v>6</v>
      </c>
      <c r="F130" s="122">
        <v>4</v>
      </c>
      <c r="G130" s="122">
        <v>7</v>
      </c>
      <c r="H130" s="122">
        <v>5</v>
      </c>
      <c r="I130" s="122">
        <v>8</v>
      </c>
      <c r="J130" s="122">
        <v>3</v>
      </c>
      <c r="K130" s="227"/>
      <c r="L130" s="6" t="s">
        <v>17</v>
      </c>
      <c r="M130" s="122">
        <v>3</v>
      </c>
      <c r="N130" s="122">
        <v>7</v>
      </c>
      <c r="O130" s="122">
        <v>7</v>
      </c>
      <c r="P130" s="122">
        <v>8</v>
      </c>
      <c r="Q130" s="122">
        <v>9</v>
      </c>
      <c r="R130" s="122">
        <v>7</v>
      </c>
      <c r="S130" s="122">
        <v>10</v>
      </c>
      <c r="T130" s="125">
        <v>2</v>
      </c>
      <c r="U130" s="59">
        <f t="shared" si="19"/>
        <v>100</v>
      </c>
    </row>
    <row r="131" spans="1:40" ht="15.75" customHeight="1">
      <c r="A131" s="230"/>
      <c r="B131" s="47" t="s">
        <v>18</v>
      </c>
      <c r="C131" s="123">
        <v>15</v>
      </c>
      <c r="D131" s="123">
        <v>10</v>
      </c>
      <c r="E131" s="123">
        <v>10</v>
      </c>
      <c r="F131" s="123">
        <v>9</v>
      </c>
      <c r="G131" s="123">
        <v>12</v>
      </c>
      <c r="H131" s="123">
        <v>11</v>
      </c>
      <c r="I131" s="123">
        <v>12</v>
      </c>
      <c r="J131" s="123">
        <v>6</v>
      </c>
      <c r="K131" s="227"/>
      <c r="L131" s="47" t="s">
        <v>18</v>
      </c>
      <c r="M131" s="123">
        <v>2</v>
      </c>
      <c r="N131" s="123">
        <v>3</v>
      </c>
      <c r="O131" s="123">
        <v>9</v>
      </c>
      <c r="P131" s="123">
        <v>7</v>
      </c>
      <c r="Q131" s="123">
        <v>11</v>
      </c>
      <c r="R131" s="123">
        <v>8</v>
      </c>
      <c r="S131" s="123">
        <v>10</v>
      </c>
      <c r="T131" s="126">
        <v>5</v>
      </c>
      <c r="U131" s="59">
        <f t="shared" si="19"/>
        <v>140</v>
      </c>
    </row>
    <row r="132" spans="1:40" ht="15.75" customHeight="1">
      <c r="A132" s="195" t="s">
        <v>11</v>
      </c>
      <c r="B132" s="56" t="s">
        <v>13</v>
      </c>
      <c r="C132" s="127">
        <v>6</v>
      </c>
      <c r="D132" s="127">
        <v>20</v>
      </c>
      <c r="E132" s="127">
        <v>17</v>
      </c>
      <c r="F132" s="127">
        <v>34</v>
      </c>
      <c r="G132" s="127">
        <v>26</v>
      </c>
      <c r="H132" s="127">
        <v>27</v>
      </c>
      <c r="I132" s="127">
        <v>32</v>
      </c>
      <c r="J132" s="127">
        <v>17</v>
      </c>
      <c r="K132" s="196" t="s">
        <v>11</v>
      </c>
      <c r="L132" s="56" t="s">
        <v>13</v>
      </c>
      <c r="M132" s="127">
        <v>17</v>
      </c>
      <c r="N132" s="127">
        <v>19</v>
      </c>
      <c r="O132" s="127">
        <v>19</v>
      </c>
      <c r="P132" s="127">
        <v>19</v>
      </c>
      <c r="Q132" s="127">
        <v>15</v>
      </c>
      <c r="R132" s="127">
        <v>12</v>
      </c>
      <c r="S132" s="127">
        <v>7</v>
      </c>
      <c r="T132" s="130">
        <v>4</v>
      </c>
      <c r="U132" s="59">
        <f t="shared" si="19"/>
        <v>291</v>
      </c>
    </row>
    <row r="133" spans="1:40" ht="15.75" customHeight="1">
      <c r="A133" s="230"/>
      <c r="B133" s="4" t="s">
        <v>14</v>
      </c>
      <c r="C133" s="128">
        <v>6</v>
      </c>
      <c r="D133" s="128">
        <v>5</v>
      </c>
      <c r="E133" s="128">
        <v>9</v>
      </c>
      <c r="F133" s="128">
        <v>12</v>
      </c>
      <c r="G133" s="128">
        <v>13</v>
      </c>
      <c r="H133" s="128">
        <v>7</v>
      </c>
      <c r="I133" s="128">
        <v>14</v>
      </c>
      <c r="J133" s="128">
        <v>10</v>
      </c>
      <c r="K133" s="227"/>
      <c r="L133" s="4" t="s">
        <v>14</v>
      </c>
      <c r="M133" s="128">
        <v>11</v>
      </c>
      <c r="N133" s="128">
        <v>2</v>
      </c>
      <c r="O133" s="128">
        <v>7</v>
      </c>
      <c r="P133" s="128">
        <v>7</v>
      </c>
      <c r="Q133" s="128">
        <v>6</v>
      </c>
      <c r="R133" s="128">
        <v>5</v>
      </c>
      <c r="S133" s="128">
        <v>4</v>
      </c>
      <c r="T133" s="131">
        <v>1</v>
      </c>
      <c r="U133" s="59">
        <f t="shared" si="19"/>
        <v>119</v>
      </c>
    </row>
    <row r="134" spans="1:40" ht="15.75" customHeight="1">
      <c r="A134" s="230"/>
      <c r="B134" s="4" t="s">
        <v>15</v>
      </c>
      <c r="C134" s="128">
        <v>8</v>
      </c>
      <c r="D134" s="128">
        <v>19</v>
      </c>
      <c r="E134" s="128">
        <v>21</v>
      </c>
      <c r="F134" s="128">
        <v>18</v>
      </c>
      <c r="G134" s="128">
        <v>24</v>
      </c>
      <c r="H134" s="128">
        <v>20</v>
      </c>
      <c r="I134" s="128">
        <v>28</v>
      </c>
      <c r="J134" s="128">
        <v>24</v>
      </c>
      <c r="K134" s="227"/>
      <c r="L134" s="4" t="s">
        <v>15</v>
      </c>
      <c r="M134" s="128">
        <v>18</v>
      </c>
      <c r="N134" s="128">
        <v>25</v>
      </c>
      <c r="O134" s="128">
        <v>26</v>
      </c>
      <c r="P134" s="128">
        <v>16</v>
      </c>
      <c r="Q134" s="128">
        <v>18</v>
      </c>
      <c r="R134" s="128">
        <v>15</v>
      </c>
      <c r="S134" s="128">
        <v>12</v>
      </c>
      <c r="T134" s="131">
        <v>8</v>
      </c>
      <c r="U134" s="59">
        <f t="shared" si="19"/>
        <v>300</v>
      </c>
    </row>
    <row r="135" spans="1:40" ht="15.75" customHeight="1">
      <c r="A135" s="230"/>
      <c r="B135" s="4" t="s">
        <v>16</v>
      </c>
      <c r="C135" s="128">
        <v>2</v>
      </c>
      <c r="D135" s="128">
        <v>6</v>
      </c>
      <c r="E135" s="128">
        <v>3</v>
      </c>
      <c r="F135" s="128">
        <v>8</v>
      </c>
      <c r="G135" s="128">
        <v>16</v>
      </c>
      <c r="H135" s="128">
        <v>6</v>
      </c>
      <c r="I135" s="128">
        <v>4</v>
      </c>
      <c r="J135" s="128">
        <v>11</v>
      </c>
      <c r="K135" s="227"/>
      <c r="L135" s="4" t="s">
        <v>16</v>
      </c>
      <c r="M135" s="128">
        <v>11</v>
      </c>
      <c r="N135" s="128">
        <v>3</v>
      </c>
      <c r="O135" s="128">
        <v>11</v>
      </c>
      <c r="P135" s="128">
        <v>4</v>
      </c>
      <c r="Q135" s="128">
        <v>4</v>
      </c>
      <c r="R135" s="128">
        <v>3</v>
      </c>
      <c r="S135" s="128">
        <v>2</v>
      </c>
      <c r="T135" s="131">
        <v>3</v>
      </c>
      <c r="U135" s="59">
        <f t="shared" si="19"/>
        <v>97</v>
      </c>
    </row>
    <row r="136" spans="1:40" ht="15.75" customHeight="1">
      <c r="A136" s="230"/>
      <c r="B136" s="4" t="s">
        <v>17</v>
      </c>
      <c r="C136" s="128">
        <v>3</v>
      </c>
      <c r="D136" s="128">
        <v>5</v>
      </c>
      <c r="E136" s="128">
        <v>3</v>
      </c>
      <c r="F136" s="128">
        <v>6</v>
      </c>
      <c r="G136" s="128">
        <v>7</v>
      </c>
      <c r="H136" s="128">
        <v>7</v>
      </c>
      <c r="I136" s="128">
        <v>8</v>
      </c>
      <c r="J136" s="128">
        <v>8</v>
      </c>
      <c r="K136" s="227"/>
      <c r="L136" s="4" t="s">
        <v>17</v>
      </c>
      <c r="M136" s="128">
        <v>4</v>
      </c>
      <c r="N136" s="128">
        <v>3</v>
      </c>
      <c r="O136" s="128">
        <v>9</v>
      </c>
      <c r="P136" s="128">
        <v>6</v>
      </c>
      <c r="Q136" s="128">
        <v>6</v>
      </c>
      <c r="R136" s="128">
        <v>2</v>
      </c>
      <c r="S136" s="128">
        <v>5</v>
      </c>
      <c r="T136" s="131">
        <v>3</v>
      </c>
      <c r="U136" s="59">
        <f t="shared" si="19"/>
        <v>85</v>
      </c>
    </row>
    <row r="137" spans="1:40" ht="15.75" customHeight="1">
      <c r="A137" s="231"/>
      <c r="B137" s="61" t="s">
        <v>18</v>
      </c>
      <c r="C137" s="129">
        <v>3</v>
      </c>
      <c r="D137" s="129">
        <v>9</v>
      </c>
      <c r="E137" s="129">
        <v>4</v>
      </c>
      <c r="F137" s="129">
        <v>8</v>
      </c>
      <c r="G137" s="129">
        <v>17</v>
      </c>
      <c r="H137" s="129">
        <v>8</v>
      </c>
      <c r="I137" s="129">
        <v>11</v>
      </c>
      <c r="J137" s="129">
        <v>4</v>
      </c>
      <c r="K137" s="232"/>
      <c r="L137" s="61" t="s">
        <v>18</v>
      </c>
      <c r="M137" s="129">
        <v>9</v>
      </c>
      <c r="N137" s="129">
        <v>3</v>
      </c>
      <c r="O137" s="129">
        <v>1</v>
      </c>
      <c r="P137" s="129">
        <v>5</v>
      </c>
      <c r="Q137" s="129">
        <v>3</v>
      </c>
      <c r="R137" s="129">
        <v>1</v>
      </c>
      <c r="S137" s="129">
        <v>4</v>
      </c>
      <c r="T137" s="132">
        <v>2</v>
      </c>
      <c r="U137" s="59">
        <f t="shared" si="19"/>
        <v>92</v>
      </c>
    </row>
    <row r="139" spans="1:40" ht="15.75" customHeight="1">
      <c r="A139" s="1"/>
      <c r="B139" s="1"/>
      <c r="C139" s="183" t="s">
        <v>0</v>
      </c>
      <c r="D139" s="225"/>
      <c r="E139" s="225"/>
      <c r="F139" s="225"/>
      <c r="G139" s="226"/>
      <c r="H139" s="2"/>
      <c r="I139" s="1"/>
    </row>
    <row r="140" spans="1:40" ht="15.75" customHeight="1">
      <c r="A140" s="1"/>
      <c r="B140" s="183" t="s">
        <v>1</v>
      </c>
      <c r="C140" s="225"/>
      <c r="D140" s="226"/>
      <c r="E140" s="1"/>
      <c r="F140" s="184" t="s">
        <v>2</v>
      </c>
      <c r="G140" s="225"/>
      <c r="H140" s="226"/>
      <c r="I140" s="1"/>
      <c r="K140" s="1"/>
      <c r="L140" s="183" t="s">
        <v>26</v>
      </c>
      <c r="M140" s="225"/>
      <c r="N140" s="226"/>
      <c r="O140" s="1"/>
      <c r="P140" s="184" t="s">
        <v>91</v>
      </c>
      <c r="Q140" s="225"/>
      <c r="R140" s="226"/>
      <c r="S140" s="1"/>
    </row>
    <row r="141" spans="1:40" ht="15.75" customHeight="1">
      <c r="A141" s="54" t="s">
        <v>35</v>
      </c>
      <c r="B141" s="54" t="s">
        <v>4</v>
      </c>
      <c r="C141" s="54" t="s">
        <v>12</v>
      </c>
      <c r="D141" s="54" t="s">
        <v>19</v>
      </c>
      <c r="E141" s="54" t="s">
        <v>20</v>
      </c>
      <c r="F141" s="54" t="s">
        <v>21</v>
      </c>
      <c r="G141" s="54" t="s">
        <v>22</v>
      </c>
      <c r="H141" s="54" t="s">
        <v>23</v>
      </c>
      <c r="I141" s="54" t="s">
        <v>24</v>
      </c>
      <c r="J141" s="54" t="s">
        <v>25</v>
      </c>
      <c r="K141" s="54" t="s">
        <v>35</v>
      </c>
      <c r="L141" s="54" t="s">
        <v>4</v>
      </c>
      <c r="M141" s="54" t="s">
        <v>27</v>
      </c>
      <c r="N141" s="54" t="s">
        <v>28</v>
      </c>
      <c r="O141" s="54" t="s">
        <v>29</v>
      </c>
      <c r="P141" s="54" t="s">
        <v>30</v>
      </c>
      <c r="Q141" s="54" t="s">
        <v>31</v>
      </c>
      <c r="R141" s="54" t="s">
        <v>32</v>
      </c>
      <c r="S141" s="54" t="s">
        <v>33</v>
      </c>
      <c r="T141" s="54" t="s">
        <v>34</v>
      </c>
      <c r="U141" s="54" t="s">
        <v>55</v>
      </c>
    </row>
    <row r="142" spans="1:40" ht="15.75" customHeight="1">
      <c r="A142" s="195" t="s">
        <v>5</v>
      </c>
      <c r="B142" s="56" t="s">
        <v>13</v>
      </c>
      <c r="C142" s="57"/>
      <c r="D142" s="57"/>
      <c r="E142" s="56">
        <v>4</v>
      </c>
      <c r="F142" s="56">
        <v>22</v>
      </c>
      <c r="G142" s="56">
        <v>18</v>
      </c>
      <c r="H142" s="56">
        <v>28</v>
      </c>
      <c r="I142" s="56">
        <v>25</v>
      </c>
      <c r="J142" s="56">
        <v>31</v>
      </c>
      <c r="K142" s="196" t="s">
        <v>5</v>
      </c>
      <c r="L142" s="56" t="s">
        <v>13</v>
      </c>
      <c r="M142" s="56">
        <v>19</v>
      </c>
      <c r="N142" s="56">
        <v>22</v>
      </c>
      <c r="O142" s="56">
        <v>15</v>
      </c>
      <c r="P142" s="56">
        <v>10</v>
      </c>
      <c r="Q142" s="56">
        <v>6</v>
      </c>
      <c r="R142" s="57"/>
      <c r="S142" s="57"/>
      <c r="T142" s="58"/>
      <c r="U142" s="59">
        <f>SUM(M142:T142,C142:J142)</f>
        <v>200</v>
      </c>
      <c r="W142" s="197" t="s">
        <v>91</v>
      </c>
      <c r="X142" s="198"/>
      <c r="AG142" s="190" t="s">
        <v>58</v>
      </c>
      <c r="AH142" s="191"/>
      <c r="AI142" s="191"/>
      <c r="AJ142" s="191"/>
      <c r="AK142" s="191"/>
      <c r="AL142" s="191"/>
      <c r="AM142" s="191"/>
      <c r="AN142" s="192"/>
    </row>
    <row r="143" spans="1:40" ht="15.75" customHeight="1">
      <c r="A143" s="230"/>
      <c r="B143" s="4" t="s">
        <v>14</v>
      </c>
      <c r="C143" s="5"/>
      <c r="D143" s="5"/>
      <c r="E143" s="4">
        <v>3</v>
      </c>
      <c r="F143" s="4">
        <v>3</v>
      </c>
      <c r="G143" s="4">
        <v>5</v>
      </c>
      <c r="H143" s="4">
        <v>7</v>
      </c>
      <c r="I143" s="4">
        <v>6</v>
      </c>
      <c r="J143" s="4">
        <v>5</v>
      </c>
      <c r="K143" s="227"/>
      <c r="L143" s="4" t="s">
        <v>14</v>
      </c>
      <c r="M143" s="4">
        <v>6</v>
      </c>
      <c r="N143" s="4">
        <v>6</v>
      </c>
      <c r="O143" s="4">
        <v>4</v>
      </c>
      <c r="P143" s="4">
        <v>3</v>
      </c>
      <c r="Q143" s="4">
        <v>3</v>
      </c>
      <c r="R143" s="5"/>
      <c r="S143" s="5"/>
      <c r="T143" s="49"/>
      <c r="U143" s="59">
        <f t="shared" ref="U143:U183" si="27">SUM(M143:T143,C143:J143)</f>
        <v>51</v>
      </c>
      <c r="W143" s="55" t="s">
        <v>5</v>
      </c>
      <c r="X143" s="48">
        <f>SUM(U142:U147)</f>
        <v>609</v>
      </c>
      <c r="AG143" s="98" t="s">
        <v>4</v>
      </c>
      <c r="AH143" s="98" t="s">
        <v>5</v>
      </c>
      <c r="AI143" s="98" t="s">
        <v>6</v>
      </c>
      <c r="AJ143" s="98" t="s">
        <v>7</v>
      </c>
      <c r="AK143" s="98" t="s">
        <v>8</v>
      </c>
      <c r="AL143" s="98" t="s">
        <v>9</v>
      </c>
      <c r="AM143" s="98" t="s">
        <v>10</v>
      </c>
      <c r="AN143" s="98" t="s">
        <v>11</v>
      </c>
    </row>
    <row r="144" spans="1:40" ht="15.75" customHeight="1">
      <c r="A144" s="230"/>
      <c r="B144" s="4" t="s">
        <v>15</v>
      </c>
      <c r="C144" s="5"/>
      <c r="D144" s="5"/>
      <c r="E144" s="4">
        <v>2</v>
      </c>
      <c r="F144" s="4">
        <v>7</v>
      </c>
      <c r="G144" s="4">
        <v>7</v>
      </c>
      <c r="H144" s="4">
        <v>17</v>
      </c>
      <c r="I144" s="4">
        <v>26</v>
      </c>
      <c r="J144" s="4">
        <v>21</v>
      </c>
      <c r="K144" s="227"/>
      <c r="L144" s="4" t="s">
        <v>15</v>
      </c>
      <c r="M144" s="4">
        <v>31</v>
      </c>
      <c r="N144" s="4">
        <v>21</v>
      </c>
      <c r="O144" s="4">
        <v>17</v>
      </c>
      <c r="P144" s="4">
        <v>14</v>
      </c>
      <c r="Q144" s="4">
        <v>11</v>
      </c>
      <c r="R144" s="5"/>
      <c r="S144" s="5"/>
      <c r="T144" s="49"/>
      <c r="U144" s="59">
        <f t="shared" si="27"/>
        <v>174</v>
      </c>
      <c r="W144" s="55" t="s">
        <v>6</v>
      </c>
      <c r="X144" s="48">
        <f>SUM(U148:U153)</f>
        <v>558</v>
      </c>
      <c r="AG144" s="79" t="s">
        <v>13</v>
      </c>
      <c r="AH144" s="79">
        <f t="shared" ref="AH144:AH149" si="28">U142</f>
        <v>200</v>
      </c>
      <c r="AI144" s="79">
        <f t="shared" ref="AI144:AI149" si="29">U148</f>
        <v>173</v>
      </c>
      <c r="AJ144" s="79">
        <f t="shared" ref="AJ144:AJ149" si="30">U154</f>
        <v>384</v>
      </c>
      <c r="AK144" s="79">
        <f t="shared" ref="AK144:AK149" si="31">U160</f>
        <v>342</v>
      </c>
      <c r="AL144" s="79">
        <f t="shared" ref="AL144:AL149" si="32">U166</f>
        <v>313</v>
      </c>
      <c r="AM144" s="79">
        <f t="shared" ref="AM144:AM149" si="33">U172</f>
        <v>328</v>
      </c>
      <c r="AN144" s="79">
        <f t="shared" ref="AN144:AN149" si="34">U178</f>
        <v>243</v>
      </c>
    </row>
    <row r="145" spans="1:40" ht="15.75" customHeight="1">
      <c r="A145" s="230"/>
      <c r="B145" s="4" t="s">
        <v>16</v>
      </c>
      <c r="C145" s="5"/>
      <c r="D145" s="5"/>
      <c r="E145" s="4">
        <v>2</v>
      </c>
      <c r="F145" s="4">
        <v>1</v>
      </c>
      <c r="G145" s="4">
        <v>8</v>
      </c>
      <c r="H145" s="4">
        <v>5</v>
      </c>
      <c r="I145" s="4">
        <v>12</v>
      </c>
      <c r="J145" s="4">
        <v>4</v>
      </c>
      <c r="K145" s="227"/>
      <c r="L145" s="4" t="s">
        <v>16</v>
      </c>
      <c r="M145" s="4">
        <v>15</v>
      </c>
      <c r="N145" s="4">
        <v>6</v>
      </c>
      <c r="O145" s="4">
        <v>3</v>
      </c>
      <c r="P145" s="4">
        <v>1</v>
      </c>
      <c r="Q145" s="4">
        <v>5</v>
      </c>
      <c r="R145" s="5"/>
      <c r="S145" s="5"/>
      <c r="T145" s="49"/>
      <c r="U145" s="59">
        <f t="shared" si="27"/>
        <v>62</v>
      </c>
      <c r="W145" s="55" t="s">
        <v>7</v>
      </c>
      <c r="X145" s="48">
        <f>SUM(U154:U159)</f>
        <v>1322</v>
      </c>
      <c r="AG145" s="97" t="s">
        <v>14</v>
      </c>
      <c r="AH145" s="97">
        <f t="shared" si="28"/>
        <v>51</v>
      </c>
      <c r="AI145" s="97">
        <f t="shared" si="29"/>
        <v>47</v>
      </c>
      <c r="AJ145" s="97">
        <f t="shared" si="30"/>
        <v>211</v>
      </c>
      <c r="AK145" s="97">
        <f t="shared" si="31"/>
        <v>111</v>
      </c>
      <c r="AL145" s="97">
        <f t="shared" si="32"/>
        <v>121</v>
      </c>
      <c r="AM145" s="97">
        <f t="shared" si="33"/>
        <v>129</v>
      </c>
      <c r="AN145" s="97">
        <f t="shared" si="34"/>
        <v>113</v>
      </c>
    </row>
    <row r="146" spans="1:40" ht="15.75" customHeight="1">
      <c r="A146" s="230"/>
      <c r="B146" s="4" t="s">
        <v>17</v>
      </c>
      <c r="C146" s="5"/>
      <c r="D146" s="5"/>
      <c r="E146" s="4">
        <v>2</v>
      </c>
      <c r="F146" s="4">
        <v>3</v>
      </c>
      <c r="G146" s="4">
        <v>2</v>
      </c>
      <c r="H146" s="4">
        <v>3</v>
      </c>
      <c r="I146" s="4">
        <v>10</v>
      </c>
      <c r="J146" s="4">
        <v>7</v>
      </c>
      <c r="K146" s="227"/>
      <c r="L146" s="4" t="s">
        <v>17</v>
      </c>
      <c r="M146" s="4">
        <v>8</v>
      </c>
      <c r="N146" s="4">
        <v>5</v>
      </c>
      <c r="O146" s="4">
        <v>2</v>
      </c>
      <c r="P146" s="4">
        <v>3</v>
      </c>
      <c r="Q146" s="4">
        <v>7</v>
      </c>
      <c r="R146" s="5"/>
      <c r="S146" s="5"/>
      <c r="T146" s="49"/>
      <c r="U146" s="59">
        <f t="shared" si="27"/>
        <v>52</v>
      </c>
      <c r="W146" s="55" t="s">
        <v>61</v>
      </c>
      <c r="X146" s="48">
        <f>SUM(U160:U165)</f>
        <v>1154</v>
      </c>
      <c r="AG146" s="79" t="s">
        <v>15</v>
      </c>
      <c r="AH146" s="79">
        <f t="shared" si="28"/>
        <v>174</v>
      </c>
      <c r="AI146" s="79">
        <f t="shared" si="29"/>
        <v>152</v>
      </c>
      <c r="AJ146" s="79">
        <f t="shared" si="30"/>
        <v>380</v>
      </c>
      <c r="AK146" s="79">
        <f t="shared" si="31"/>
        <v>375</v>
      </c>
      <c r="AL146" s="79">
        <f t="shared" si="32"/>
        <v>324</v>
      </c>
      <c r="AM146" s="79">
        <f t="shared" si="33"/>
        <v>360</v>
      </c>
      <c r="AN146" s="79">
        <f t="shared" si="34"/>
        <v>272</v>
      </c>
    </row>
    <row r="147" spans="1:40" ht="15.75" customHeight="1">
      <c r="A147" s="230"/>
      <c r="B147" s="46" t="s">
        <v>18</v>
      </c>
      <c r="C147" s="64"/>
      <c r="D147" s="64"/>
      <c r="E147" s="46">
        <v>5</v>
      </c>
      <c r="F147" s="46">
        <v>7</v>
      </c>
      <c r="G147" s="46">
        <v>11</v>
      </c>
      <c r="H147" s="46">
        <v>6</v>
      </c>
      <c r="I147" s="46">
        <v>7</v>
      </c>
      <c r="J147" s="46">
        <v>7</v>
      </c>
      <c r="K147" s="227"/>
      <c r="L147" s="46" t="s">
        <v>18</v>
      </c>
      <c r="M147" s="46">
        <v>5</v>
      </c>
      <c r="N147" s="46">
        <v>9</v>
      </c>
      <c r="O147" s="46">
        <v>5</v>
      </c>
      <c r="P147" s="46">
        <v>4</v>
      </c>
      <c r="Q147" s="46">
        <v>4</v>
      </c>
      <c r="R147" s="64"/>
      <c r="S147" s="64"/>
      <c r="T147" s="65"/>
      <c r="U147" s="59">
        <f t="shared" si="27"/>
        <v>70</v>
      </c>
      <c r="W147" s="55" t="s">
        <v>9</v>
      </c>
      <c r="X147" s="48">
        <f>SUM(U166:U171)</f>
        <v>1003</v>
      </c>
      <c r="AG147" s="97" t="s">
        <v>16</v>
      </c>
      <c r="AH147" s="97">
        <f t="shared" si="28"/>
        <v>62</v>
      </c>
      <c r="AI147" s="97">
        <f t="shared" si="29"/>
        <v>58</v>
      </c>
      <c r="AJ147" s="97">
        <f t="shared" si="30"/>
        <v>103</v>
      </c>
      <c r="AK147" s="97">
        <f t="shared" si="31"/>
        <v>108</v>
      </c>
      <c r="AL147" s="97">
        <f t="shared" si="32"/>
        <v>51</v>
      </c>
      <c r="AM147" s="97">
        <f t="shared" si="33"/>
        <v>106</v>
      </c>
      <c r="AN147" s="97">
        <f t="shared" si="34"/>
        <v>60</v>
      </c>
    </row>
    <row r="148" spans="1:40" ht="15.75" customHeight="1">
      <c r="A148" s="193" t="s">
        <v>6</v>
      </c>
      <c r="B148" s="63" t="s">
        <v>13</v>
      </c>
      <c r="C148" s="57"/>
      <c r="D148" s="57"/>
      <c r="E148" s="57"/>
      <c r="F148" s="63">
        <v>10</v>
      </c>
      <c r="G148" s="63">
        <v>22</v>
      </c>
      <c r="H148" s="63">
        <v>27</v>
      </c>
      <c r="I148" s="63">
        <v>28</v>
      </c>
      <c r="J148" s="63">
        <v>27</v>
      </c>
      <c r="K148" s="194" t="s">
        <v>6</v>
      </c>
      <c r="L148" s="63" t="s">
        <v>13</v>
      </c>
      <c r="M148" s="63">
        <v>22</v>
      </c>
      <c r="N148" s="63">
        <v>15</v>
      </c>
      <c r="O148" s="63">
        <v>14</v>
      </c>
      <c r="P148" s="63">
        <v>8</v>
      </c>
      <c r="Q148" s="57"/>
      <c r="R148" s="57"/>
      <c r="S148" s="57"/>
      <c r="T148" s="58"/>
      <c r="U148" s="59">
        <f t="shared" si="27"/>
        <v>173</v>
      </c>
      <c r="W148" s="55" t="s">
        <v>10</v>
      </c>
      <c r="X148" s="48">
        <f>SUM(U172:U177)</f>
        <v>1163</v>
      </c>
      <c r="AG148" s="79" t="s">
        <v>17</v>
      </c>
      <c r="AH148" s="79">
        <f t="shared" si="28"/>
        <v>52</v>
      </c>
      <c r="AI148" s="79">
        <f t="shared" si="29"/>
        <v>66</v>
      </c>
      <c r="AJ148" s="79">
        <f t="shared" si="30"/>
        <v>97</v>
      </c>
      <c r="AK148" s="79">
        <f t="shared" si="31"/>
        <v>111</v>
      </c>
      <c r="AL148" s="79">
        <f t="shared" si="32"/>
        <v>95</v>
      </c>
      <c r="AM148" s="79">
        <f t="shared" si="33"/>
        <v>113</v>
      </c>
      <c r="AN148" s="79">
        <f t="shared" si="34"/>
        <v>98</v>
      </c>
    </row>
    <row r="149" spans="1:40" ht="15.75" customHeight="1">
      <c r="A149" s="230"/>
      <c r="B149" s="6" t="s">
        <v>14</v>
      </c>
      <c r="C149" s="5"/>
      <c r="D149" s="5"/>
      <c r="E149" s="5"/>
      <c r="F149" s="6">
        <v>4</v>
      </c>
      <c r="G149" s="6">
        <v>12</v>
      </c>
      <c r="H149" s="6">
        <v>6</v>
      </c>
      <c r="I149" s="6">
        <v>9</v>
      </c>
      <c r="J149" s="6">
        <v>2</v>
      </c>
      <c r="K149" s="227"/>
      <c r="L149" s="6" t="s">
        <v>14</v>
      </c>
      <c r="M149" s="6">
        <v>7</v>
      </c>
      <c r="N149" s="6">
        <v>3</v>
      </c>
      <c r="O149" s="6">
        <v>2</v>
      </c>
      <c r="P149" s="6">
        <v>2</v>
      </c>
      <c r="Q149" s="5"/>
      <c r="R149" s="5"/>
      <c r="S149" s="5"/>
      <c r="T149" s="49"/>
      <c r="U149" s="59">
        <f t="shared" si="27"/>
        <v>47</v>
      </c>
      <c r="W149" s="81" t="s">
        <v>11</v>
      </c>
      <c r="X149" s="80">
        <f>SUM(U178:U183)</f>
        <v>888</v>
      </c>
      <c r="AG149" s="97" t="s">
        <v>18</v>
      </c>
      <c r="AH149" s="97">
        <f t="shared" si="28"/>
        <v>70</v>
      </c>
      <c r="AI149" s="97">
        <f t="shared" si="29"/>
        <v>62</v>
      </c>
      <c r="AJ149" s="97">
        <f t="shared" si="30"/>
        <v>147</v>
      </c>
      <c r="AK149" s="97">
        <f t="shared" si="31"/>
        <v>107</v>
      </c>
      <c r="AL149" s="97">
        <f t="shared" si="32"/>
        <v>99</v>
      </c>
      <c r="AM149" s="97">
        <f t="shared" si="33"/>
        <v>127</v>
      </c>
      <c r="AN149" s="97">
        <f t="shared" si="34"/>
        <v>102</v>
      </c>
    </row>
    <row r="150" spans="1:40" ht="15.75" customHeight="1">
      <c r="A150" s="230"/>
      <c r="B150" s="6" t="s">
        <v>15</v>
      </c>
      <c r="C150" s="5"/>
      <c r="D150" s="5"/>
      <c r="E150" s="5"/>
      <c r="F150" s="6">
        <v>12</v>
      </c>
      <c r="G150" s="6">
        <v>15</v>
      </c>
      <c r="H150" s="6">
        <v>20</v>
      </c>
      <c r="I150" s="6">
        <v>29</v>
      </c>
      <c r="J150" s="6">
        <v>30</v>
      </c>
      <c r="K150" s="227"/>
      <c r="L150" s="6" t="s">
        <v>15</v>
      </c>
      <c r="M150" s="6">
        <v>20</v>
      </c>
      <c r="N150" s="6">
        <v>5</v>
      </c>
      <c r="O150" s="6">
        <v>6</v>
      </c>
      <c r="P150" s="6">
        <v>15</v>
      </c>
      <c r="Q150" s="5"/>
      <c r="R150" s="5"/>
      <c r="S150" s="5"/>
      <c r="T150" s="49"/>
      <c r="U150" s="59">
        <f t="shared" si="27"/>
        <v>152</v>
      </c>
      <c r="W150" s="79" t="s">
        <v>63</v>
      </c>
      <c r="X150" s="82">
        <f>SUM(X143:X149)</f>
        <v>6697</v>
      </c>
    </row>
    <row r="151" spans="1:40" ht="15.75" customHeight="1">
      <c r="A151" s="230"/>
      <c r="B151" s="6" t="s">
        <v>16</v>
      </c>
      <c r="C151" s="5"/>
      <c r="D151" s="5"/>
      <c r="E151" s="5"/>
      <c r="F151" s="6">
        <v>8</v>
      </c>
      <c r="G151" s="6">
        <v>6</v>
      </c>
      <c r="H151" s="6">
        <v>6</v>
      </c>
      <c r="I151" s="6">
        <v>8</v>
      </c>
      <c r="J151" s="6">
        <v>11</v>
      </c>
      <c r="K151" s="227"/>
      <c r="L151" s="6" t="s">
        <v>16</v>
      </c>
      <c r="M151" s="6">
        <v>6</v>
      </c>
      <c r="N151" s="6">
        <v>5</v>
      </c>
      <c r="O151" s="6">
        <v>4</v>
      </c>
      <c r="P151" s="6">
        <v>4</v>
      </c>
      <c r="Q151" s="5"/>
      <c r="R151" s="5"/>
      <c r="S151" s="5"/>
      <c r="T151" s="49"/>
      <c r="U151" s="59">
        <f t="shared" si="27"/>
        <v>58</v>
      </c>
    </row>
    <row r="152" spans="1:40" ht="15.75" customHeight="1">
      <c r="A152" s="230"/>
      <c r="B152" s="6" t="s">
        <v>17</v>
      </c>
      <c r="C152" s="5"/>
      <c r="D152" s="5"/>
      <c r="E152" s="5"/>
      <c r="F152" s="6">
        <v>5</v>
      </c>
      <c r="G152" s="6">
        <v>8</v>
      </c>
      <c r="H152" s="6">
        <v>10</v>
      </c>
      <c r="I152" s="6">
        <v>15</v>
      </c>
      <c r="J152" s="6">
        <v>10</v>
      </c>
      <c r="K152" s="227"/>
      <c r="L152" s="6" t="s">
        <v>17</v>
      </c>
      <c r="M152" s="6">
        <v>8</v>
      </c>
      <c r="N152" s="6">
        <v>3</v>
      </c>
      <c r="O152" s="6">
        <v>4</v>
      </c>
      <c r="P152" s="6">
        <v>3</v>
      </c>
      <c r="Q152" s="5"/>
      <c r="R152" s="5"/>
      <c r="S152" s="5"/>
      <c r="T152" s="49"/>
      <c r="U152" s="59">
        <f t="shared" si="27"/>
        <v>66</v>
      </c>
    </row>
    <row r="153" spans="1:40" ht="15.75" customHeight="1">
      <c r="A153" s="230"/>
      <c r="B153" s="47" t="s">
        <v>18</v>
      </c>
      <c r="C153" s="64"/>
      <c r="D153" s="64"/>
      <c r="E153" s="64"/>
      <c r="F153" s="47">
        <v>7</v>
      </c>
      <c r="G153" s="47">
        <v>10</v>
      </c>
      <c r="H153" s="47">
        <v>10</v>
      </c>
      <c r="I153" s="47">
        <v>8</v>
      </c>
      <c r="J153" s="47">
        <v>8</v>
      </c>
      <c r="K153" s="227"/>
      <c r="L153" s="47" t="s">
        <v>18</v>
      </c>
      <c r="M153" s="47">
        <v>5</v>
      </c>
      <c r="N153" s="47">
        <v>4</v>
      </c>
      <c r="O153" s="47">
        <v>7</v>
      </c>
      <c r="P153" s="47">
        <v>3</v>
      </c>
      <c r="Q153" s="64"/>
      <c r="R153" s="64"/>
      <c r="S153" s="64"/>
      <c r="T153" s="65"/>
      <c r="U153" s="59">
        <f t="shared" si="27"/>
        <v>62</v>
      </c>
    </row>
    <row r="154" spans="1:40" ht="15.75" customHeight="1">
      <c r="A154" s="195" t="s">
        <v>7</v>
      </c>
      <c r="B154" s="56" t="s">
        <v>13</v>
      </c>
      <c r="C154" s="56">
        <v>10</v>
      </c>
      <c r="D154" s="56">
        <v>16</v>
      </c>
      <c r="E154" s="56">
        <v>27</v>
      </c>
      <c r="F154" s="56">
        <v>32</v>
      </c>
      <c r="G154" s="56">
        <v>24</v>
      </c>
      <c r="H154" s="56">
        <v>32</v>
      </c>
      <c r="I154" s="56">
        <v>30</v>
      </c>
      <c r="J154" s="56">
        <v>24</v>
      </c>
      <c r="K154" s="196" t="s">
        <v>7</v>
      </c>
      <c r="L154" s="56" t="s">
        <v>13</v>
      </c>
      <c r="M154" s="56">
        <v>25</v>
      </c>
      <c r="N154" s="56">
        <v>20</v>
      </c>
      <c r="O154" s="56">
        <v>21</v>
      </c>
      <c r="P154" s="56">
        <v>23</v>
      </c>
      <c r="Q154" s="56">
        <v>29</v>
      </c>
      <c r="R154" s="56">
        <v>34</v>
      </c>
      <c r="S154" s="56">
        <v>24</v>
      </c>
      <c r="T154" s="67">
        <v>13</v>
      </c>
      <c r="U154" s="59">
        <f t="shared" si="27"/>
        <v>384</v>
      </c>
    </row>
    <row r="155" spans="1:40" ht="15.75" customHeight="1">
      <c r="A155" s="230"/>
      <c r="B155" s="4" t="s">
        <v>14</v>
      </c>
      <c r="C155" s="4">
        <v>4</v>
      </c>
      <c r="D155" s="4">
        <v>22</v>
      </c>
      <c r="E155" s="4">
        <v>21</v>
      </c>
      <c r="F155" s="4">
        <v>21</v>
      </c>
      <c r="G155" s="4">
        <v>12</v>
      </c>
      <c r="H155" s="4">
        <v>15</v>
      </c>
      <c r="I155" s="4">
        <v>20</v>
      </c>
      <c r="J155" s="4">
        <v>11</v>
      </c>
      <c r="K155" s="227"/>
      <c r="L155" s="4" t="s">
        <v>14</v>
      </c>
      <c r="M155" s="4">
        <v>14</v>
      </c>
      <c r="N155" s="4">
        <v>12</v>
      </c>
      <c r="O155" s="4">
        <v>12</v>
      </c>
      <c r="P155" s="4">
        <v>10</v>
      </c>
      <c r="Q155" s="4">
        <v>13</v>
      </c>
      <c r="R155" s="4">
        <v>15</v>
      </c>
      <c r="S155" s="4">
        <v>7</v>
      </c>
      <c r="T155" s="50">
        <v>2</v>
      </c>
      <c r="U155" s="59">
        <f t="shared" si="27"/>
        <v>211</v>
      </c>
    </row>
    <row r="156" spans="1:40" ht="15.75" customHeight="1">
      <c r="A156" s="230"/>
      <c r="B156" s="4" t="s">
        <v>15</v>
      </c>
      <c r="C156" s="4">
        <v>8</v>
      </c>
      <c r="D156" s="4">
        <v>19</v>
      </c>
      <c r="E156" s="4">
        <v>24</v>
      </c>
      <c r="F156" s="4">
        <v>27</v>
      </c>
      <c r="G156" s="4">
        <v>25</v>
      </c>
      <c r="H156" s="4">
        <v>30</v>
      </c>
      <c r="I156" s="4">
        <v>35</v>
      </c>
      <c r="J156" s="4">
        <v>24</v>
      </c>
      <c r="K156" s="227"/>
      <c r="L156" s="4" t="s">
        <v>15</v>
      </c>
      <c r="M156" s="4">
        <v>20</v>
      </c>
      <c r="N156" s="4">
        <v>25</v>
      </c>
      <c r="O156" s="4">
        <v>20</v>
      </c>
      <c r="P156" s="4">
        <v>25</v>
      </c>
      <c r="Q156" s="4">
        <v>29</v>
      </c>
      <c r="R156" s="4">
        <v>33</v>
      </c>
      <c r="S156" s="4">
        <v>22</v>
      </c>
      <c r="T156" s="50">
        <v>14</v>
      </c>
      <c r="U156" s="59">
        <f t="shared" si="27"/>
        <v>380</v>
      </c>
    </row>
    <row r="157" spans="1:40" ht="15.75" customHeight="1">
      <c r="A157" s="230"/>
      <c r="B157" s="4" t="s">
        <v>16</v>
      </c>
      <c r="C157" s="4">
        <v>1</v>
      </c>
      <c r="D157" s="4">
        <v>7</v>
      </c>
      <c r="E157" s="4">
        <v>4</v>
      </c>
      <c r="F157" s="4">
        <v>8</v>
      </c>
      <c r="G157" s="4">
        <v>7</v>
      </c>
      <c r="H157" s="4">
        <v>7</v>
      </c>
      <c r="I157" s="4">
        <v>5</v>
      </c>
      <c r="J157" s="4">
        <v>5</v>
      </c>
      <c r="K157" s="227"/>
      <c r="L157" s="4" t="s">
        <v>16</v>
      </c>
      <c r="M157" s="4">
        <v>10</v>
      </c>
      <c r="N157" s="4">
        <v>7</v>
      </c>
      <c r="O157" s="4">
        <v>12</v>
      </c>
      <c r="P157" s="4">
        <v>9</v>
      </c>
      <c r="Q157" s="4">
        <v>10</v>
      </c>
      <c r="R157" s="4">
        <v>8</v>
      </c>
      <c r="S157" s="4">
        <v>1</v>
      </c>
      <c r="T157" s="50">
        <v>2</v>
      </c>
      <c r="U157" s="59">
        <f t="shared" si="27"/>
        <v>103</v>
      </c>
    </row>
    <row r="158" spans="1:40" ht="15.75" customHeight="1">
      <c r="A158" s="230"/>
      <c r="B158" s="4" t="s">
        <v>17</v>
      </c>
      <c r="C158" s="4">
        <v>1</v>
      </c>
      <c r="D158" s="4">
        <v>4</v>
      </c>
      <c r="E158" s="4">
        <v>2</v>
      </c>
      <c r="F158" s="4">
        <v>5</v>
      </c>
      <c r="G158" s="4">
        <v>3</v>
      </c>
      <c r="H158" s="4">
        <v>11</v>
      </c>
      <c r="I158" s="4">
        <v>14</v>
      </c>
      <c r="J158" s="4">
        <v>9</v>
      </c>
      <c r="K158" s="227"/>
      <c r="L158" s="4" t="s">
        <v>17</v>
      </c>
      <c r="M158" s="4">
        <v>5</v>
      </c>
      <c r="N158" s="4">
        <v>4</v>
      </c>
      <c r="O158" s="4">
        <v>6</v>
      </c>
      <c r="P158" s="4">
        <v>5</v>
      </c>
      <c r="Q158" s="4">
        <v>7</v>
      </c>
      <c r="R158" s="4">
        <v>11</v>
      </c>
      <c r="S158" s="4">
        <v>9</v>
      </c>
      <c r="T158" s="50">
        <v>1</v>
      </c>
      <c r="U158" s="59">
        <f t="shared" si="27"/>
        <v>97</v>
      </c>
    </row>
    <row r="159" spans="1:40" ht="15.75" customHeight="1">
      <c r="A159" s="230"/>
      <c r="B159" s="46" t="s">
        <v>18</v>
      </c>
      <c r="C159" s="46">
        <v>9</v>
      </c>
      <c r="D159" s="46">
        <v>13</v>
      </c>
      <c r="E159" s="46">
        <v>12</v>
      </c>
      <c r="F159" s="46">
        <v>6</v>
      </c>
      <c r="G159" s="46">
        <v>8</v>
      </c>
      <c r="H159" s="46">
        <v>15</v>
      </c>
      <c r="I159" s="46">
        <v>12</v>
      </c>
      <c r="J159" s="46">
        <v>6</v>
      </c>
      <c r="K159" s="227"/>
      <c r="L159" s="46" t="s">
        <v>18</v>
      </c>
      <c r="M159" s="46">
        <v>4</v>
      </c>
      <c r="N159" s="46">
        <v>5</v>
      </c>
      <c r="O159" s="46">
        <v>4</v>
      </c>
      <c r="P159" s="46">
        <v>7</v>
      </c>
      <c r="Q159" s="46">
        <v>20</v>
      </c>
      <c r="R159" s="46">
        <v>14</v>
      </c>
      <c r="S159" s="46">
        <v>7</v>
      </c>
      <c r="T159" s="69">
        <v>5</v>
      </c>
      <c r="U159" s="59">
        <f t="shared" si="27"/>
        <v>147</v>
      </c>
    </row>
    <row r="160" spans="1:40" ht="15.75" customHeight="1">
      <c r="A160" s="193" t="s">
        <v>8</v>
      </c>
      <c r="B160" s="63" t="s">
        <v>13</v>
      </c>
      <c r="C160" s="63">
        <v>18</v>
      </c>
      <c r="D160" s="63">
        <v>16</v>
      </c>
      <c r="E160" s="63">
        <v>29</v>
      </c>
      <c r="F160" s="63">
        <v>21</v>
      </c>
      <c r="G160" s="63">
        <v>20</v>
      </c>
      <c r="H160" s="63">
        <v>34</v>
      </c>
      <c r="I160" s="63">
        <v>42</v>
      </c>
      <c r="J160" s="63">
        <v>17</v>
      </c>
      <c r="K160" s="194" t="s">
        <v>8</v>
      </c>
      <c r="L160" s="63" t="s">
        <v>13</v>
      </c>
      <c r="M160" s="63">
        <v>9</v>
      </c>
      <c r="N160" s="63">
        <v>20</v>
      </c>
      <c r="O160" s="63">
        <v>20</v>
      </c>
      <c r="P160" s="63">
        <v>19</v>
      </c>
      <c r="Q160" s="63">
        <v>24</v>
      </c>
      <c r="R160" s="63">
        <v>27</v>
      </c>
      <c r="S160" s="63">
        <v>17</v>
      </c>
      <c r="T160" s="68">
        <v>9</v>
      </c>
      <c r="U160" s="59">
        <f t="shared" si="27"/>
        <v>342</v>
      </c>
    </row>
    <row r="161" spans="1:21" ht="15.75" customHeight="1">
      <c r="A161" s="230"/>
      <c r="B161" s="6" t="s">
        <v>14</v>
      </c>
      <c r="C161" s="6">
        <v>5</v>
      </c>
      <c r="D161" s="6">
        <v>4</v>
      </c>
      <c r="E161" s="6">
        <v>9</v>
      </c>
      <c r="F161" s="6">
        <v>11</v>
      </c>
      <c r="G161" s="6">
        <v>12</v>
      </c>
      <c r="H161" s="6">
        <v>12</v>
      </c>
      <c r="I161" s="6">
        <v>9</v>
      </c>
      <c r="J161" s="6">
        <v>10</v>
      </c>
      <c r="K161" s="227"/>
      <c r="L161" s="6" t="s">
        <v>14</v>
      </c>
      <c r="M161" s="6">
        <v>7</v>
      </c>
      <c r="N161" s="6">
        <v>5</v>
      </c>
      <c r="O161" s="6">
        <v>5</v>
      </c>
      <c r="P161" s="6">
        <v>4</v>
      </c>
      <c r="Q161" s="6">
        <v>4</v>
      </c>
      <c r="R161" s="6">
        <v>5</v>
      </c>
      <c r="S161" s="6">
        <v>6</v>
      </c>
      <c r="T161" s="51">
        <v>3</v>
      </c>
      <c r="U161" s="59">
        <f t="shared" si="27"/>
        <v>111</v>
      </c>
    </row>
    <row r="162" spans="1:21" ht="15.75" customHeight="1">
      <c r="A162" s="230"/>
      <c r="B162" s="6" t="s">
        <v>15</v>
      </c>
      <c r="C162" s="6">
        <v>17</v>
      </c>
      <c r="D162" s="6">
        <v>23</v>
      </c>
      <c r="E162" s="6">
        <v>18</v>
      </c>
      <c r="F162" s="6">
        <v>19</v>
      </c>
      <c r="G162" s="6">
        <v>26</v>
      </c>
      <c r="H162" s="6">
        <v>27</v>
      </c>
      <c r="I162" s="6">
        <v>27</v>
      </c>
      <c r="J162" s="6">
        <v>28</v>
      </c>
      <c r="K162" s="227"/>
      <c r="L162" s="6" t="s">
        <v>15</v>
      </c>
      <c r="M162" s="6">
        <v>22</v>
      </c>
      <c r="N162" s="6">
        <v>25</v>
      </c>
      <c r="O162" s="6">
        <v>22</v>
      </c>
      <c r="P162" s="6">
        <v>30</v>
      </c>
      <c r="Q162" s="6">
        <v>22</v>
      </c>
      <c r="R162" s="6">
        <v>31</v>
      </c>
      <c r="S162" s="6">
        <v>26</v>
      </c>
      <c r="T162" s="51">
        <v>12</v>
      </c>
      <c r="U162" s="59">
        <f t="shared" si="27"/>
        <v>375</v>
      </c>
    </row>
    <row r="163" spans="1:21" ht="15.75" customHeight="1">
      <c r="A163" s="230"/>
      <c r="B163" s="6" t="s">
        <v>16</v>
      </c>
      <c r="C163" s="6">
        <v>3</v>
      </c>
      <c r="D163" s="6">
        <v>6</v>
      </c>
      <c r="E163" s="6">
        <v>5</v>
      </c>
      <c r="F163" s="6">
        <v>6</v>
      </c>
      <c r="G163" s="6">
        <v>15</v>
      </c>
      <c r="H163" s="6">
        <v>22</v>
      </c>
      <c r="I163" s="6">
        <v>11</v>
      </c>
      <c r="J163" s="6">
        <v>6</v>
      </c>
      <c r="K163" s="227"/>
      <c r="L163" s="6" t="s">
        <v>16</v>
      </c>
      <c r="M163" s="6">
        <v>5</v>
      </c>
      <c r="N163" s="6">
        <v>9</v>
      </c>
      <c r="O163" s="6">
        <v>4</v>
      </c>
      <c r="P163" s="6">
        <v>3</v>
      </c>
      <c r="Q163" s="6">
        <v>5</v>
      </c>
      <c r="R163" s="6">
        <v>4</v>
      </c>
      <c r="S163" s="6">
        <v>2</v>
      </c>
      <c r="T163" s="51">
        <v>2</v>
      </c>
      <c r="U163" s="59">
        <f t="shared" si="27"/>
        <v>108</v>
      </c>
    </row>
    <row r="164" spans="1:21" ht="15.75" customHeight="1">
      <c r="A164" s="230"/>
      <c r="B164" s="6" t="s">
        <v>17</v>
      </c>
      <c r="C164" s="6">
        <v>6</v>
      </c>
      <c r="D164" s="6">
        <v>9</v>
      </c>
      <c r="E164" s="6">
        <v>6</v>
      </c>
      <c r="F164" s="6">
        <v>7</v>
      </c>
      <c r="G164" s="6">
        <v>13</v>
      </c>
      <c r="H164" s="6">
        <v>10</v>
      </c>
      <c r="I164" s="6">
        <v>21</v>
      </c>
      <c r="J164" s="6">
        <v>9</v>
      </c>
      <c r="K164" s="227"/>
      <c r="L164" s="6" t="s">
        <v>17</v>
      </c>
      <c r="M164" s="6">
        <v>5</v>
      </c>
      <c r="N164" s="6">
        <v>1</v>
      </c>
      <c r="O164" s="6">
        <v>6</v>
      </c>
      <c r="P164" s="6">
        <v>3</v>
      </c>
      <c r="Q164" s="6">
        <v>2</v>
      </c>
      <c r="R164" s="6">
        <v>5</v>
      </c>
      <c r="S164" s="6">
        <v>6</v>
      </c>
      <c r="T164" s="51">
        <v>2</v>
      </c>
      <c r="U164" s="59">
        <f t="shared" si="27"/>
        <v>111</v>
      </c>
    </row>
    <row r="165" spans="1:21" ht="15.75" customHeight="1">
      <c r="A165" s="230"/>
      <c r="B165" s="47" t="s">
        <v>18</v>
      </c>
      <c r="C165" s="47">
        <v>17</v>
      </c>
      <c r="D165" s="47">
        <v>6</v>
      </c>
      <c r="E165" s="47">
        <v>3</v>
      </c>
      <c r="F165" s="47">
        <v>6</v>
      </c>
      <c r="G165" s="47">
        <v>11</v>
      </c>
      <c r="H165" s="47">
        <v>8</v>
      </c>
      <c r="I165" s="47">
        <v>14</v>
      </c>
      <c r="J165" s="47">
        <v>2</v>
      </c>
      <c r="K165" s="227"/>
      <c r="L165" s="47" t="s">
        <v>18</v>
      </c>
      <c r="M165" s="47">
        <v>2</v>
      </c>
      <c r="N165" s="47">
        <v>4</v>
      </c>
      <c r="O165" s="47">
        <v>4</v>
      </c>
      <c r="P165" s="47">
        <v>3</v>
      </c>
      <c r="Q165" s="47">
        <v>7</v>
      </c>
      <c r="R165" s="47">
        <v>9</v>
      </c>
      <c r="S165" s="47">
        <v>6</v>
      </c>
      <c r="T165" s="70">
        <v>5</v>
      </c>
      <c r="U165" s="59">
        <f t="shared" si="27"/>
        <v>107</v>
      </c>
    </row>
    <row r="166" spans="1:21" ht="15.75" customHeight="1">
      <c r="A166" s="195" t="s">
        <v>9</v>
      </c>
      <c r="B166" s="56" t="s">
        <v>13</v>
      </c>
      <c r="C166" s="56">
        <v>5</v>
      </c>
      <c r="D166" s="56">
        <v>14</v>
      </c>
      <c r="E166" s="56">
        <v>13</v>
      </c>
      <c r="F166" s="56">
        <v>23</v>
      </c>
      <c r="G166" s="56">
        <v>27</v>
      </c>
      <c r="H166" s="56">
        <v>34</v>
      </c>
      <c r="I166" s="56">
        <v>40</v>
      </c>
      <c r="J166" s="56">
        <v>15</v>
      </c>
      <c r="K166" s="196" t="s">
        <v>9</v>
      </c>
      <c r="L166" s="56" t="s">
        <v>13</v>
      </c>
      <c r="M166" s="56">
        <v>16</v>
      </c>
      <c r="N166" s="56">
        <v>22</v>
      </c>
      <c r="O166" s="56">
        <v>20</v>
      </c>
      <c r="P166" s="56">
        <v>16</v>
      </c>
      <c r="Q166" s="56">
        <v>22</v>
      </c>
      <c r="R166" s="56">
        <v>21</v>
      </c>
      <c r="S166" s="56">
        <v>15</v>
      </c>
      <c r="T166" s="67">
        <v>10</v>
      </c>
      <c r="U166" s="59">
        <f t="shared" si="27"/>
        <v>313</v>
      </c>
    </row>
    <row r="167" spans="1:21" ht="15.75" customHeight="1">
      <c r="A167" s="230"/>
      <c r="B167" s="4" t="s">
        <v>14</v>
      </c>
      <c r="C167" s="4">
        <v>3</v>
      </c>
      <c r="D167" s="4">
        <v>9</v>
      </c>
      <c r="E167" s="4">
        <v>11</v>
      </c>
      <c r="F167" s="4">
        <v>10</v>
      </c>
      <c r="G167" s="4">
        <v>11</v>
      </c>
      <c r="H167" s="4">
        <v>14</v>
      </c>
      <c r="I167" s="4">
        <v>12</v>
      </c>
      <c r="J167" s="4">
        <v>9</v>
      </c>
      <c r="K167" s="227"/>
      <c r="L167" s="4" t="s">
        <v>14</v>
      </c>
      <c r="M167" s="4">
        <v>10</v>
      </c>
      <c r="N167" s="4">
        <v>9</v>
      </c>
      <c r="O167" s="4">
        <v>5</v>
      </c>
      <c r="P167" s="4">
        <v>9</v>
      </c>
      <c r="Q167" s="4">
        <v>4</v>
      </c>
      <c r="R167" s="4">
        <v>3</v>
      </c>
      <c r="S167" s="4">
        <v>1</v>
      </c>
      <c r="T167" s="50">
        <v>1</v>
      </c>
      <c r="U167" s="59">
        <f t="shared" si="27"/>
        <v>121</v>
      </c>
    </row>
    <row r="168" spans="1:21" ht="15.75" customHeight="1">
      <c r="A168" s="230"/>
      <c r="B168" s="4" t="s">
        <v>15</v>
      </c>
      <c r="C168" s="4">
        <v>7</v>
      </c>
      <c r="D168" s="4">
        <v>13</v>
      </c>
      <c r="E168" s="4">
        <v>22</v>
      </c>
      <c r="F168" s="4">
        <v>22</v>
      </c>
      <c r="G168" s="4">
        <v>29</v>
      </c>
      <c r="H168" s="4">
        <v>25</v>
      </c>
      <c r="I168" s="4">
        <v>19</v>
      </c>
      <c r="J168" s="4">
        <v>13</v>
      </c>
      <c r="K168" s="227"/>
      <c r="L168" s="4" t="s">
        <v>15</v>
      </c>
      <c r="M168" s="4">
        <v>17</v>
      </c>
      <c r="N168" s="4">
        <v>20</v>
      </c>
      <c r="O168" s="4">
        <v>22</v>
      </c>
      <c r="P168" s="4">
        <v>21</v>
      </c>
      <c r="Q168" s="4">
        <v>31</v>
      </c>
      <c r="R168" s="4">
        <v>26</v>
      </c>
      <c r="S168" s="4">
        <v>16</v>
      </c>
      <c r="T168" s="50">
        <v>21</v>
      </c>
      <c r="U168" s="59">
        <f t="shared" si="27"/>
        <v>324</v>
      </c>
    </row>
    <row r="169" spans="1:21" ht="15.75" customHeight="1">
      <c r="A169" s="230"/>
      <c r="B169" s="4" t="s">
        <v>16</v>
      </c>
      <c r="C169" s="4">
        <v>0</v>
      </c>
      <c r="D169" s="4">
        <v>4</v>
      </c>
      <c r="E169" s="4">
        <v>4</v>
      </c>
      <c r="F169" s="4">
        <v>4</v>
      </c>
      <c r="G169" s="4">
        <v>9</v>
      </c>
      <c r="H169" s="4">
        <v>7</v>
      </c>
      <c r="I169" s="4">
        <v>3</v>
      </c>
      <c r="J169" s="4">
        <v>0</v>
      </c>
      <c r="K169" s="227"/>
      <c r="L169" s="4" t="s">
        <v>16</v>
      </c>
      <c r="M169" s="4">
        <v>5</v>
      </c>
      <c r="N169" s="4">
        <v>2</v>
      </c>
      <c r="O169" s="4">
        <v>4</v>
      </c>
      <c r="P169" s="4">
        <v>3</v>
      </c>
      <c r="Q169" s="4">
        <v>1</v>
      </c>
      <c r="R169" s="4">
        <v>2</v>
      </c>
      <c r="S169" s="4">
        <v>3</v>
      </c>
      <c r="T169" s="50">
        <v>0</v>
      </c>
      <c r="U169" s="59">
        <f t="shared" si="27"/>
        <v>51</v>
      </c>
    </row>
    <row r="170" spans="1:21" ht="15.75" customHeight="1">
      <c r="A170" s="230"/>
      <c r="B170" s="4" t="s">
        <v>17</v>
      </c>
      <c r="C170" s="4">
        <v>1</v>
      </c>
      <c r="D170" s="4">
        <v>7</v>
      </c>
      <c r="E170" s="4">
        <v>9</v>
      </c>
      <c r="F170" s="4">
        <v>11</v>
      </c>
      <c r="G170" s="4">
        <v>12</v>
      </c>
      <c r="H170" s="4">
        <v>8</v>
      </c>
      <c r="I170" s="4">
        <v>6</v>
      </c>
      <c r="J170" s="4">
        <v>4</v>
      </c>
      <c r="K170" s="227"/>
      <c r="L170" s="4" t="s">
        <v>17</v>
      </c>
      <c r="M170" s="4">
        <v>2</v>
      </c>
      <c r="N170" s="4">
        <v>4</v>
      </c>
      <c r="O170" s="4">
        <v>6</v>
      </c>
      <c r="P170" s="4">
        <v>8</v>
      </c>
      <c r="Q170" s="4">
        <v>8</v>
      </c>
      <c r="R170" s="4">
        <v>3</v>
      </c>
      <c r="S170" s="4">
        <v>2</v>
      </c>
      <c r="T170" s="50">
        <v>4</v>
      </c>
      <c r="U170" s="59">
        <f t="shared" si="27"/>
        <v>95</v>
      </c>
    </row>
    <row r="171" spans="1:21" ht="15.75" customHeight="1">
      <c r="A171" s="230"/>
      <c r="B171" s="46" t="s">
        <v>18</v>
      </c>
      <c r="C171" s="46">
        <v>4</v>
      </c>
      <c r="D171" s="46">
        <v>6</v>
      </c>
      <c r="E171" s="46">
        <v>9</v>
      </c>
      <c r="F171" s="46">
        <v>4</v>
      </c>
      <c r="G171" s="46">
        <v>4</v>
      </c>
      <c r="H171" s="46">
        <v>11</v>
      </c>
      <c r="I171" s="46">
        <v>7</v>
      </c>
      <c r="J171" s="46">
        <v>5</v>
      </c>
      <c r="K171" s="227"/>
      <c r="L171" s="46" t="s">
        <v>18</v>
      </c>
      <c r="M171" s="46">
        <v>6</v>
      </c>
      <c r="N171" s="46">
        <v>8</v>
      </c>
      <c r="O171" s="46">
        <v>4</v>
      </c>
      <c r="P171" s="46">
        <v>6</v>
      </c>
      <c r="Q171" s="46">
        <v>3</v>
      </c>
      <c r="R171" s="46">
        <v>7</v>
      </c>
      <c r="S171" s="46">
        <v>9</v>
      </c>
      <c r="T171" s="69">
        <v>6</v>
      </c>
      <c r="U171" s="59">
        <f t="shared" si="27"/>
        <v>99</v>
      </c>
    </row>
    <row r="172" spans="1:21" ht="15.75" customHeight="1">
      <c r="A172" s="193" t="s">
        <v>10</v>
      </c>
      <c r="B172" s="63" t="s">
        <v>13</v>
      </c>
      <c r="C172" s="121">
        <v>17</v>
      </c>
      <c r="D172" s="121">
        <v>21</v>
      </c>
      <c r="E172" s="121">
        <v>22</v>
      </c>
      <c r="F172" s="121">
        <v>20</v>
      </c>
      <c r="G172" s="121">
        <v>34</v>
      </c>
      <c r="H172" s="121">
        <v>35</v>
      </c>
      <c r="I172" s="121">
        <v>30</v>
      </c>
      <c r="J172" s="121">
        <v>25</v>
      </c>
      <c r="K172" s="194" t="s">
        <v>10</v>
      </c>
      <c r="L172" s="63" t="s">
        <v>13</v>
      </c>
      <c r="M172" s="121">
        <v>13</v>
      </c>
      <c r="N172" s="121">
        <v>19</v>
      </c>
      <c r="O172" s="121">
        <v>13</v>
      </c>
      <c r="P172" s="121">
        <v>14</v>
      </c>
      <c r="Q172" s="121">
        <v>18</v>
      </c>
      <c r="R172" s="121">
        <v>21</v>
      </c>
      <c r="S172" s="121">
        <v>17</v>
      </c>
      <c r="T172" s="124">
        <v>9</v>
      </c>
      <c r="U172" s="59">
        <f t="shared" si="27"/>
        <v>328</v>
      </c>
    </row>
    <row r="173" spans="1:21" ht="15.75" customHeight="1">
      <c r="A173" s="230"/>
      <c r="B173" s="6" t="s">
        <v>14</v>
      </c>
      <c r="C173" s="122">
        <v>5</v>
      </c>
      <c r="D173" s="122">
        <v>4</v>
      </c>
      <c r="E173" s="122">
        <v>8</v>
      </c>
      <c r="F173" s="122">
        <v>16</v>
      </c>
      <c r="G173" s="122">
        <v>16</v>
      </c>
      <c r="H173" s="122">
        <v>14</v>
      </c>
      <c r="I173" s="122">
        <v>12</v>
      </c>
      <c r="J173" s="122">
        <v>10</v>
      </c>
      <c r="K173" s="227"/>
      <c r="L173" s="6" t="s">
        <v>14</v>
      </c>
      <c r="M173" s="122">
        <v>9</v>
      </c>
      <c r="N173" s="122">
        <v>5</v>
      </c>
      <c r="O173" s="122">
        <v>7</v>
      </c>
      <c r="P173" s="122">
        <v>11</v>
      </c>
      <c r="Q173" s="122">
        <v>4</v>
      </c>
      <c r="R173" s="122">
        <v>3</v>
      </c>
      <c r="S173" s="122">
        <v>1</v>
      </c>
      <c r="T173" s="125">
        <v>4</v>
      </c>
      <c r="U173" s="59">
        <f t="shared" si="27"/>
        <v>129</v>
      </c>
    </row>
    <row r="174" spans="1:21" ht="15.75" customHeight="1">
      <c r="A174" s="230"/>
      <c r="B174" s="6" t="s">
        <v>15</v>
      </c>
      <c r="C174" s="122">
        <v>15</v>
      </c>
      <c r="D174" s="122">
        <v>18</v>
      </c>
      <c r="E174" s="122">
        <v>16</v>
      </c>
      <c r="F174" s="122">
        <v>19</v>
      </c>
      <c r="G174" s="122">
        <v>28</v>
      </c>
      <c r="H174" s="122">
        <v>25</v>
      </c>
      <c r="I174" s="122">
        <v>24</v>
      </c>
      <c r="J174" s="122">
        <v>22</v>
      </c>
      <c r="K174" s="227"/>
      <c r="L174" s="6" t="s">
        <v>15</v>
      </c>
      <c r="M174" s="122">
        <v>25</v>
      </c>
      <c r="N174" s="122">
        <v>24</v>
      </c>
      <c r="O174" s="122">
        <v>28</v>
      </c>
      <c r="P174" s="122">
        <v>21</v>
      </c>
      <c r="Q174" s="122">
        <v>20</v>
      </c>
      <c r="R174" s="122">
        <v>21</v>
      </c>
      <c r="S174" s="122">
        <v>26</v>
      </c>
      <c r="T174" s="125">
        <v>28</v>
      </c>
      <c r="U174" s="59">
        <f t="shared" si="27"/>
        <v>360</v>
      </c>
    </row>
    <row r="175" spans="1:21" ht="15.75" customHeight="1">
      <c r="A175" s="230"/>
      <c r="B175" s="6" t="s">
        <v>16</v>
      </c>
      <c r="C175" s="122">
        <v>3</v>
      </c>
      <c r="D175" s="122">
        <v>4</v>
      </c>
      <c r="E175" s="122">
        <v>5</v>
      </c>
      <c r="F175" s="122">
        <v>13</v>
      </c>
      <c r="G175" s="122">
        <v>14</v>
      </c>
      <c r="H175" s="122">
        <v>14</v>
      </c>
      <c r="I175" s="122">
        <v>9</v>
      </c>
      <c r="J175" s="122">
        <v>12</v>
      </c>
      <c r="K175" s="227"/>
      <c r="L175" s="6" t="s">
        <v>16</v>
      </c>
      <c r="M175" s="122">
        <v>2</v>
      </c>
      <c r="N175" s="122">
        <v>7</v>
      </c>
      <c r="O175" s="122">
        <v>6</v>
      </c>
      <c r="P175" s="122">
        <v>5</v>
      </c>
      <c r="Q175" s="122">
        <v>3</v>
      </c>
      <c r="R175" s="122">
        <v>3</v>
      </c>
      <c r="S175" s="122">
        <v>2</v>
      </c>
      <c r="T175" s="125">
        <v>4</v>
      </c>
      <c r="U175" s="59">
        <f t="shared" si="27"/>
        <v>106</v>
      </c>
    </row>
    <row r="176" spans="1:21" ht="15.75" customHeight="1">
      <c r="A176" s="230"/>
      <c r="B176" s="6" t="s">
        <v>17</v>
      </c>
      <c r="C176" s="122">
        <v>7</v>
      </c>
      <c r="D176" s="122">
        <v>8</v>
      </c>
      <c r="E176" s="122">
        <v>6</v>
      </c>
      <c r="F176" s="122">
        <v>8</v>
      </c>
      <c r="G176" s="122">
        <v>10</v>
      </c>
      <c r="H176" s="122">
        <v>19</v>
      </c>
      <c r="I176" s="122">
        <v>15</v>
      </c>
      <c r="J176" s="122">
        <v>3</v>
      </c>
      <c r="K176" s="227"/>
      <c r="L176" s="6" t="s">
        <v>17</v>
      </c>
      <c r="M176" s="122">
        <v>7</v>
      </c>
      <c r="N176" s="122">
        <v>4</v>
      </c>
      <c r="O176" s="122">
        <v>6</v>
      </c>
      <c r="P176" s="122">
        <v>6</v>
      </c>
      <c r="Q176" s="122">
        <v>6</v>
      </c>
      <c r="R176" s="122">
        <v>1</v>
      </c>
      <c r="S176" s="122">
        <v>4</v>
      </c>
      <c r="T176" s="125">
        <v>3</v>
      </c>
      <c r="U176" s="59">
        <f t="shared" si="27"/>
        <v>113</v>
      </c>
    </row>
    <row r="177" spans="1:21" ht="15.75" customHeight="1">
      <c r="A177" s="230"/>
      <c r="B177" s="47" t="s">
        <v>18</v>
      </c>
      <c r="C177" s="123">
        <v>16</v>
      </c>
      <c r="D177" s="123">
        <v>3</v>
      </c>
      <c r="E177" s="123">
        <v>7</v>
      </c>
      <c r="F177" s="123">
        <v>6</v>
      </c>
      <c r="G177" s="123">
        <v>12</v>
      </c>
      <c r="H177" s="123">
        <v>10</v>
      </c>
      <c r="I177" s="123">
        <v>9</v>
      </c>
      <c r="J177" s="123">
        <v>8</v>
      </c>
      <c r="K177" s="227"/>
      <c r="L177" s="47" t="s">
        <v>18</v>
      </c>
      <c r="M177" s="123">
        <v>3</v>
      </c>
      <c r="N177" s="123">
        <v>5</v>
      </c>
      <c r="O177" s="123">
        <v>5</v>
      </c>
      <c r="P177" s="123">
        <v>6</v>
      </c>
      <c r="Q177" s="123">
        <v>13</v>
      </c>
      <c r="R177" s="123">
        <v>6</v>
      </c>
      <c r="S177" s="123">
        <v>14</v>
      </c>
      <c r="T177" s="126">
        <v>4</v>
      </c>
      <c r="U177" s="59">
        <f t="shared" si="27"/>
        <v>127</v>
      </c>
    </row>
    <row r="178" spans="1:21" ht="15.75" customHeight="1">
      <c r="A178" s="195" t="s">
        <v>11</v>
      </c>
      <c r="B178" s="56" t="s">
        <v>13</v>
      </c>
      <c r="C178" s="127">
        <v>7</v>
      </c>
      <c r="D178" s="127">
        <v>11</v>
      </c>
      <c r="E178" s="127">
        <v>16</v>
      </c>
      <c r="F178" s="127">
        <v>21</v>
      </c>
      <c r="G178" s="127">
        <v>27</v>
      </c>
      <c r="H178" s="127">
        <v>32</v>
      </c>
      <c r="I178" s="127">
        <v>30</v>
      </c>
      <c r="J178" s="127">
        <v>19</v>
      </c>
      <c r="K178" s="196" t="s">
        <v>11</v>
      </c>
      <c r="L178" s="56" t="s">
        <v>13</v>
      </c>
      <c r="M178" s="127">
        <v>13</v>
      </c>
      <c r="N178" s="127">
        <v>10</v>
      </c>
      <c r="O178" s="127">
        <v>15</v>
      </c>
      <c r="P178" s="127">
        <v>13</v>
      </c>
      <c r="Q178" s="127">
        <v>7</v>
      </c>
      <c r="R178" s="127">
        <v>9</v>
      </c>
      <c r="S178" s="127">
        <v>8</v>
      </c>
      <c r="T178" s="130">
        <v>5</v>
      </c>
      <c r="U178" s="59">
        <f t="shared" si="27"/>
        <v>243</v>
      </c>
    </row>
    <row r="179" spans="1:21" ht="15.75" customHeight="1">
      <c r="A179" s="230"/>
      <c r="B179" s="4" t="s">
        <v>14</v>
      </c>
      <c r="C179" s="128">
        <v>3</v>
      </c>
      <c r="D179" s="128">
        <v>9</v>
      </c>
      <c r="E179" s="128">
        <v>10</v>
      </c>
      <c r="F179" s="128">
        <v>11</v>
      </c>
      <c r="G179" s="128">
        <v>12</v>
      </c>
      <c r="H179" s="128">
        <v>14</v>
      </c>
      <c r="I179" s="128">
        <v>11</v>
      </c>
      <c r="J179" s="128">
        <v>8</v>
      </c>
      <c r="K179" s="227"/>
      <c r="L179" s="4" t="s">
        <v>14</v>
      </c>
      <c r="M179" s="128">
        <v>6</v>
      </c>
      <c r="N179" s="128">
        <v>7</v>
      </c>
      <c r="O179" s="128">
        <v>4</v>
      </c>
      <c r="P179" s="128">
        <v>4</v>
      </c>
      <c r="Q179" s="128">
        <v>3</v>
      </c>
      <c r="R179" s="128">
        <v>5</v>
      </c>
      <c r="S179" s="128">
        <v>3</v>
      </c>
      <c r="T179" s="131">
        <v>3</v>
      </c>
      <c r="U179" s="59">
        <f t="shared" si="27"/>
        <v>113</v>
      </c>
    </row>
    <row r="180" spans="1:21" ht="15.75" customHeight="1">
      <c r="A180" s="230"/>
      <c r="B180" s="4" t="s">
        <v>15</v>
      </c>
      <c r="C180" s="128">
        <v>4</v>
      </c>
      <c r="D180" s="128">
        <v>15</v>
      </c>
      <c r="E180" s="128">
        <v>24</v>
      </c>
      <c r="F180" s="128">
        <v>25</v>
      </c>
      <c r="G180" s="128">
        <v>26</v>
      </c>
      <c r="H180" s="128">
        <v>23</v>
      </c>
      <c r="I180" s="128">
        <v>19</v>
      </c>
      <c r="J180" s="128">
        <v>12</v>
      </c>
      <c r="K180" s="227"/>
      <c r="L180" s="4" t="s">
        <v>15</v>
      </c>
      <c r="M180" s="128">
        <v>14</v>
      </c>
      <c r="N180" s="128">
        <v>12</v>
      </c>
      <c r="O180" s="128">
        <v>20</v>
      </c>
      <c r="P180" s="128">
        <v>14</v>
      </c>
      <c r="Q180" s="128">
        <v>12</v>
      </c>
      <c r="R180" s="128">
        <v>23</v>
      </c>
      <c r="S180" s="128">
        <v>11</v>
      </c>
      <c r="T180" s="131">
        <v>18</v>
      </c>
      <c r="U180" s="59">
        <f t="shared" si="27"/>
        <v>272</v>
      </c>
    </row>
    <row r="181" spans="1:21" ht="15.75" customHeight="1">
      <c r="A181" s="230"/>
      <c r="B181" s="4" t="s">
        <v>16</v>
      </c>
      <c r="C181" s="128">
        <v>0</v>
      </c>
      <c r="D181" s="128">
        <v>3</v>
      </c>
      <c r="E181" s="128">
        <v>7</v>
      </c>
      <c r="F181" s="128">
        <v>6</v>
      </c>
      <c r="G181" s="128">
        <v>8</v>
      </c>
      <c r="H181" s="128">
        <v>7</v>
      </c>
      <c r="I181" s="128">
        <v>3</v>
      </c>
      <c r="J181" s="128">
        <v>1</v>
      </c>
      <c r="K181" s="227"/>
      <c r="L181" s="4" t="s">
        <v>16</v>
      </c>
      <c r="M181" s="128">
        <v>7</v>
      </c>
      <c r="N181" s="128">
        <v>4</v>
      </c>
      <c r="O181" s="128">
        <v>3</v>
      </c>
      <c r="P181" s="128">
        <v>3</v>
      </c>
      <c r="Q181" s="128">
        <v>2</v>
      </c>
      <c r="R181" s="128">
        <v>2</v>
      </c>
      <c r="S181" s="128">
        <v>4</v>
      </c>
      <c r="T181" s="131">
        <v>0</v>
      </c>
      <c r="U181" s="59">
        <f t="shared" si="27"/>
        <v>60</v>
      </c>
    </row>
    <row r="182" spans="1:21" ht="15.75" customHeight="1">
      <c r="A182" s="230"/>
      <c r="B182" s="4" t="s">
        <v>17</v>
      </c>
      <c r="C182" s="128">
        <v>3</v>
      </c>
      <c r="D182" s="128">
        <v>4</v>
      </c>
      <c r="E182" s="128">
        <v>14</v>
      </c>
      <c r="F182" s="128">
        <v>12</v>
      </c>
      <c r="G182" s="128">
        <v>9</v>
      </c>
      <c r="H182" s="128">
        <v>9</v>
      </c>
      <c r="I182" s="128">
        <v>7</v>
      </c>
      <c r="J182" s="128">
        <v>4</v>
      </c>
      <c r="K182" s="227"/>
      <c r="L182" s="4" t="s">
        <v>17</v>
      </c>
      <c r="M182" s="128">
        <v>6</v>
      </c>
      <c r="N182" s="128">
        <v>3</v>
      </c>
      <c r="O182" s="128">
        <v>9</v>
      </c>
      <c r="P182" s="128">
        <v>7</v>
      </c>
      <c r="Q182" s="128">
        <v>4</v>
      </c>
      <c r="R182" s="128">
        <v>3</v>
      </c>
      <c r="S182" s="128">
        <v>3</v>
      </c>
      <c r="T182" s="131">
        <v>1</v>
      </c>
      <c r="U182" s="59">
        <f t="shared" si="27"/>
        <v>98</v>
      </c>
    </row>
    <row r="183" spans="1:21" ht="15.75" customHeight="1">
      <c r="A183" s="231"/>
      <c r="B183" s="61" t="s">
        <v>18</v>
      </c>
      <c r="C183" s="129">
        <v>2</v>
      </c>
      <c r="D183" s="129">
        <v>7</v>
      </c>
      <c r="E183" s="129">
        <v>2</v>
      </c>
      <c r="F183" s="129">
        <v>5</v>
      </c>
      <c r="G183" s="129">
        <v>14</v>
      </c>
      <c r="H183" s="129">
        <v>9</v>
      </c>
      <c r="I183" s="129">
        <v>7</v>
      </c>
      <c r="J183" s="129">
        <v>5</v>
      </c>
      <c r="K183" s="232"/>
      <c r="L183" s="61" t="s">
        <v>18</v>
      </c>
      <c r="M183" s="129">
        <v>7</v>
      </c>
      <c r="N183" s="129">
        <v>11</v>
      </c>
      <c r="O183" s="129">
        <v>9</v>
      </c>
      <c r="P183" s="129">
        <v>4</v>
      </c>
      <c r="Q183" s="129">
        <v>6</v>
      </c>
      <c r="R183" s="129">
        <v>4</v>
      </c>
      <c r="S183" s="129">
        <v>6</v>
      </c>
      <c r="T183" s="132">
        <v>4</v>
      </c>
      <c r="U183" s="59">
        <f t="shared" si="27"/>
        <v>102</v>
      </c>
    </row>
  </sheetData>
  <mergeCells count="90">
    <mergeCell ref="C1:G1"/>
    <mergeCell ref="B2:D2"/>
    <mergeCell ref="F2:H2"/>
    <mergeCell ref="L2:N2"/>
    <mergeCell ref="P2:R2"/>
    <mergeCell ref="AD4:AE4"/>
    <mergeCell ref="AG4:AN4"/>
    <mergeCell ref="AP4:AW4"/>
    <mergeCell ref="Z8:AA8"/>
    <mergeCell ref="A10:A15"/>
    <mergeCell ref="K10:K15"/>
    <mergeCell ref="Z10:AA10"/>
    <mergeCell ref="Z6:AA6"/>
    <mergeCell ref="K4:K9"/>
    <mergeCell ref="W4:X4"/>
    <mergeCell ref="Z4:AA4"/>
    <mergeCell ref="A16:A21"/>
    <mergeCell ref="K16:K21"/>
    <mergeCell ref="A4:A9"/>
    <mergeCell ref="A22:A27"/>
    <mergeCell ref="K22:K27"/>
    <mergeCell ref="A28:A33"/>
    <mergeCell ref="K28:K33"/>
    <mergeCell ref="A34:A39"/>
    <mergeCell ref="K34:K39"/>
    <mergeCell ref="A56:A61"/>
    <mergeCell ref="K56:K61"/>
    <mergeCell ref="A40:A45"/>
    <mergeCell ref="K40:K45"/>
    <mergeCell ref="C47:G47"/>
    <mergeCell ref="B48:D48"/>
    <mergeCell ref="F48:H48"/>
    <mergeCell ref="P48:R48"/>
    <mergeCell ref="A50:A55"/>
    <mergeCell ref="K50:K55"/>
    <mergeCell ref="W50:X50"/>
    <mergeCell ref="AG50:AN50"/>
    <mergeCell ref="L48:N48"/>
    <mergeCell ref="A62:A67"/>
    <mergeCell ref="K62:K67"/>
    <mergeCell ref="A68:A73"/>
    <mergeCell ref="K68:K73"/>
    <mergeCell ref="A74:A79"/>
    <mergeCell ref="K74:K79"/>
    <mergeCell ref="AG96:AN96"/>
    <mergeCell ref="A80:A85"/>
    <mergeCell ref="K80:K85"/>
    <mergeCell ref="A86:A91"/>
    <mergeCell ref="K86:K91"/>
    <mergeCell ref="C93:G93"/>
    <mergeCell ref="B94:D94"/>
    <mergeCell ref="F94:H94"/>
    <mergeCell ref="L94:N94"/>
    <mergeCell ref="P94:R94"/>
    <mergeCell ref="A96:A101"/>
    <mergeCell ref="K96:K101"/>
    <mergeCell ref="W96:X96"/>
    <mergeCell ref="A102:A107"/>
    <mergeCell ref="K102:K107"/>
    <mergeCell ref="A108:A113"/>
    <mergeCell ref="K108:K113"/>
    <mergeCell ref="A114:A119"/>
    <mergeCell ref="K114:K119"/>
    <mergeCell ref="A120:A125"/>
    <mergeCell ref="K120:K125"/>
    <mergeCell ref="A126:A131"/>
    <mergeCell ref="K126:K131"/>
    <mergeCell ref="A132:A137"/>
    <mergeCell ref="K132:K137"/>
    <mergeCell ref="C139:G139"/>
    <mergeCell ref="B140:D140"/>
    <mergeCell ref="F140:H140"/>
    <mergeCell ref="L140:N140"/>
    <mergeCell ref="P140:R140"/>
    <mergeCell ref="W142:X142"/>
    <mergeCell ref="AG142:AN142"/>
    <mergeCell ref="A148:A153"/>
    <mergeCell ref="K148:K153"/>
    <mergeCell ref="A154:A159"/>
    <mergeCell ref="K154:K159"/>
    <mergeCell ref="A142:A147"/>
    <mergeCell ref="K142:K147"/>
    <mergeCell ref="A178:A183"/>
    <mergeCell ref="K178:K183"/>
    <mergeCell ref="A160:A165"/>
    <mergeCell ref="K160:K165"/>
    <mergeCell ref="A166:A171"/>
    <mergeCell ref="K166:K171"/>
    <mergeCell ref="A172:A177"/>
    <mergeCell ref="K172:K177"/>
  </mergeCells>
  <printOptions horizontalCentered="1" verticalCentered="1"/>
  <pageMargins left="0.25" right="0.25" top="0.25" bottom="0.25" header="0" footer="0"/>
  <pageSetup pageOrder="overThenDown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00E9D-1D63-4E28-BDDE-7C84CCFD9281}">
  <sheetPr>
    <outlinePr summaryBelow="0" summaryRight="0"/>
    <pageSetUpPr fitToPage="1"/>
  </sheetPr>
  <dimension ref="A1:AW229"/>
  <sheetViews>
    <sheetView topLeftCell="AN1" workbookViewId="0">
      <selection activeCell="R180" sqref="R180"/>
    </sheetView>
  </sheetViews>
  <sheetFormatPr defaultColWidth="12.5703125" defaultRowHeight="15.75" customHeight="1"/>
  <cols>
    <col min="1" max="1" width="13.140625" bestFit="1" customWidth="1"/>
    <col min="2" max="2" width="16.140625" bestFit="1" customWidth="1"/>
    <col min="3" max="10" width="10.42578125" customWidth="1"/>
    <col min="11" max="11" width="13.140625" bestFit="1" customWidth="1"/>
    <col min="12" max="12" width="16.140625" bestFit="1" customWidth="1"/>
    <col min="13" max="20" width="10.42578125" customWidth="1"/>
    <col min="21" max="22" width="9.140625"/>
    <col min="23" max="23" width="13" bestFit="1" customWidth="1"/>
    <col min="24" max="26" width="9.140625"/>
    <col min="27" max="27" width="14.140625" customWidth="1"/>
  </cols>
  <sheetData>
    <row r="1" spans="1:49" ht="18.75" customHeight="1">
      <c r="A1" s="1"/>
      <c r="B1" s="1"/>
      <c r="C1" s="183" t="s">
        <v>0</v>
      </c>
      <c r="D1" s="225"/>
      <c r="E1" s="225"/>
      <c r="F1" s="225"/>
      <c r="G1" s="226"/>
      <c r="H1" s="2"/>
      <c r="I1" s="1"/>
    </row>
    <row r="2" spans="1:49" ht="18.75" customHeight="1">
      <c r="A2" s="1"/>
      <c r="B2" s="183" t="s">
        <v>1</v>
      </c>
      <c r="C2" s="225"/>
      <c r="D2" s="226"/>
      <c r="E2" s="1"/>
      <c r="F2" s="184" t="s">
        <v>92</v>
      </c>
      <c r="G2" s="225"/>
      <c r="H2" s="226"/>
      <c r="I2" s="1"/>
      <c r="K2" s="1"/>
      <c r="L2" s="183" t="s">
        <v>26</v>
      </c>
      <c r="M2" s="225"/>
      <c r="N2" s="226"/>
      <c r="O2" s="1"/>
      <c r="P2" s="184" t="s">
        <v>92</v>
      </c>
      <c r="Q2" s="225"/>
      <c r="R2" s="226"/>
      <c r="S2" s="1"/>
    </row>
    <row r="3" spans="1:49" ht="18.75" customHeight="1">
      <c r="A3" s="54" t="s">
        <v>35</v>
      </c>
      <c r="B3" s="54" t="s">
        <v>4</v>
      </c>
      <c r="C3" s="54" t="s">
        <v>12</v>
      </c>
      <c r="D3" s="54" t="s">
        <v>19</v>
      </c>
      <c r="E3" s="54" t="s">
        <v>20</v>
      </c>
      <c r="F3" s="54" t="s">
        <v>21</v>
      </c>
      <c r="G3" s="54" t="s">
        <v>22</v>
      </c>
      <c r="H3" s="54" t="s">
        <v>23</v>
      </c>
      <c r="I3" s="54" t="s">
        <v>24</v>
      </c>
      <c r="J3" s="54" t="s">
        <v>25</v>
      </c>
      <c r="K3" s="54" t="s">
        <v>35</v>
      </c>
      <c r="L3" s="54" t="s">
        <v>4</v>
      </c>
      <c r="M3" s="54" t="s">
        <v>27</v>
      </c>
      <c r="N3" s="54" t="s">
        <v>28</v>
      </c>
      <c r="O3" s="54" t="s">
        <v>29</v>
      </c>
      <c r="P3" s="54" t="s">
        <v>30</v>
      </c>
      <c r="Q3" s="54" t="s">
        <v>31</v>
      </c>
      <c r="R3" s="54" t="s">
        <v>32</v>
      </c>
      <c r="S3" s="54" t="s">
        <v>33</v>
      </c>
      <c r="T3" s="54" t="s">
        <v>34</v>
      </c>
      <c r="U3" s="54" t="s">
        <v>55</v>
      </c>
    </row>
    <row r="4" spans="1:49" ht="18.75" customHeight="1">
      <c r="A4" s="195" t="s">
        <v>5</v>
      </c>
      <c r="B4" s="56" t="s">
        <v>13</v>
      </c>
      <c r="C4" s="57"/>
      <c r="D4" s="57"/>
      <c r="E4" s="56">
        <v>9</v>
      </c>
      <c r="F4" s="56">
        <v>24</v>
      </c>
      <c r="G4" s="56">
        <v>22</v>
      </c>
      <c r="H4" s="56">
        <v>25</v>
      </c>
      <c r="I4" s="56">
        <v>27</v>
      </c>
      <c r="J4" s="56">
        <v>30</v>
      </c>
      <c r="K4" s="196" t="s">
        <v>5</v>
      </c>
      <c r="L4" s="56" t="s">
        <v>13</v>
      </c>
      <c r="M4" s="56">
        <v>20</v>
      </c>
      <c r="N4" s="56">
        <v>25</v>
      </c>
      <c r="O4" s="56">
        <v>18</v>
      </c>
      <c r="P4" s="56">
        <v>18</v>
      </c>
      <c r="Q4" s="56">
        <v>17</v>
      </c>
      <c r="R4" s="57"/>
      <c r="S4" s="57"/>
      <c r="T4" s="58"/>
      <c r="U4" s="59">
        <f>SUM(M4:T4,C4:J4)</f>
        <v>235</v>
      </c>
      <c r="W4" s="197" t="s">
        <v>92</v>
      </c>
      <c r="X4" s="198"/>
      <c r="Z4" s="197" t="s">
        <v>56</v>
      </c>
      <c r="AA4" s="203"/>
      <c r="AB4" s="83">
        <f>SUM(X12,X58,X104,X150,X196)</f>
        <v>25493</v>
      </c>
      <c r="AD4" s="197" t="s">
        <v>57</v>
      </c>
      <c r="AE4" s="198"/>
      <c r="AG4" s="190" t="s">
        <v>58</v>
      </c>
      <c r="AH4" s="191"/>
      <c r="AI4" s="191"/>
      <c r="AJ4" s="191"/>
      <c r="AK4" s="191"/>
      <c r="AL4" s="191"/>
      <c r="AM4" s="191"/>
      <c r="AN4" s="192"/>
      <c r="AP4" s="190" t="s">
        <v>59</v>
      </c>
      <c r="AQ4" s="191"/>
      <c r="AR4" s="191"/>
      <c r="AS4" s="191"/>
      <c r="AT4" s="191"/>
      <c r="AU4" s="191"/>
      <c r="AV4" s="191"/>
      <c r="AW4" s="192"/>
    </row>
    <row r="5" spans="1:49" ht="18.75" customHeight="1">
      <c r="A5" s="230"/>
      <c r="B5" s="4" t="s">
        <v>14</v>
      </c>
      <c r="C5" s="5"/>
      <c r="D5" s="5"/>
      <c r="E5" s="4">
        <v>5</v>
      </c>
      <c r="F5" s="4">
        <v>9</v>
      </c>
      <c r="G5" s="4">
        <v>5</v>
      </c>
      <c r="H5" s="4">
        <v>10</v>
      </c>
      <c r="I5" s="4">
        <v>2</v>
      </c>
      <c r="J5" s="4">
        <v>8</v>
      </c>
      <c r="K5" s="227"/>
      <c r="L5" s="4" t="s">
        <v>14</v>
      </c>
      <c r="M5" s="4">
        <v>4</v>
      </c>
      <c r="N5" s="4">
        <v>5</v>
      </c>
      <c r="O5" s="4">
        <v>10</v>
      </c>
      <c r="P5" s="4">
        <v>6</v>
      </c>
      <c r="Q5" s="4">
        <v>8</v>
      </c>
      <c r="R5" s="5"/>
      <c r="S5" s="5"/>
      <c r="T5" s="49"/>
      <c r="U5" s="60">
        <f>SUM(C5:J5,M5:T5)</f>
        <v>72</v>
      </c>
      <c r="W5" s="55" t="s">
        <v>5</v>
      </c>
      <c r="X5" s="48">
        <f>SUM(U4:U9)</f>
        <v>725</v>
      </c>
      <c r="AD5" s="55" t="s">
        <v>5</v>
      </c>
      <c r="AE5" s="48">
        <f t="shared" ref="AE5:AE11" si="0">AVERAGE(X5,X51,X97,X143,X189)</f>
        <v>374.4</v>
      </c>
      <c r="AG5" s="98" t="s">
        <v>4</v>
      </c>
      <c r="AH5" s="98" t="s">
        <v>5</v>
      </c>
      <c r="AI5" s="98" t="s">
        <v>6</v>
      </c>
      <c r="AJ5" s="98" t="s">
        <v>7</v>
      </c>
      <c r="AK5" s="98" t="s">
        <v>8</v>
      </c>
      <c r="AL5" s="98" t="s">
        <v>9</v>
      </c>
      <c r="AM5" s="98" t="s">
        <v>10</v>
      </c>
      <c r="AN5" s="98" t="s">
        <v>11</v>
      </c>
      <c r="AP5" s="98" t="s">
        <v>4</v>
      </c>
      <c r="AQ5" s="98" t="s">
        <v>5</v>
      </c>
      <c r="AR5" s="98" t="s">
        <v>6</v>
      </c>
      <c r="AS5" s="98" t="s">
        <v>7</v>
      </c>
      <c r="AT5" s="98" t="s">
        <v>8</v>
      </c>
      <c r="AU5" s="98" t="s">
        <v>9</v>
      </c>
      <c r="AV5" s="98" t="s">
        <v>10</v>
      </c>
      <c r="AW5" s="98" t="s">
        <v>11</v>
      </c>
    </row>
    <row r="6" spans="1:49" ht="18.75" customHeight="1">
      <c r="A6" s="230"/>
      <c r="B6" s="4" t="s">
        <v>15</v>
      </c>
      <c r="C6" s="5"/>
      <c r="D6" s="5"/>
      <c r="E6" s="4">
        <v>3</v>
      </c>
      <c r="F6" s="4">
        <v>22</v>
      </c>
      <c r="G6" s="4">
        <v>14</v>
      </c>
      <c r="H6" s="4">
        <v>30</v>
      </c>
      <c r="I6" s="4">
        <v>21</v>
      </c>
      <c r="J6" s="4">
        <v>23</v>
      </c>
      <c r="K6" s="227"/>
      <c r="L6" s="4" t="s">
        <v>15</v>
      </c>
      <c r="M6" s="4">
        <v>19</v>
      </c>
      <c r="N6" s="4">
        <v>13</v>
      </c>
      <c r="O6" s="4">
        <v>31</v>
      </c>
      <c r="P6" s="4">
        <v>25</v>
      </c>
      <c r="Q6" s="4">
        <v>26</v>
      </c>
      <c r="R6" s="5"/>
      <c r="S6" s="5"/>
      <c r="T6" s="49"/>
      <c r="U6" s="60">
        <f t="shared" ref="U6:U45" si="1">SUM(C6:J6,M6:T6)</f>
        <v>227</v>
      </c>
      <c r="W6" s="55" t="s">
        <v>6</v>
      </c>
      <c r="X6" s="48">
        <f>SUM(U10:U15)</f>
        <v>527</v>
      </c>
      <c r="Z6" s="197" t="s">
        <v>60</v>
      </c>
      <c r="AA6" s="203"/>
      <c r="AB6" s="83"/>
      <c r="AD6" s="55" t="s">
        <v>6</v>
      </c>
      <c r="AE6" s="48">
        <f t="shared" si="0"/>
        <v>313.39999999999998</v>
      </c>
      <c r="AG6" s="79" t="s">
        <v>13</v>
      </c>
      <c r="AH6" s="79">
        <f t="shared" ref="AH6:AH11" si="2">U4</f>
        <v>235</v>
      </c>
      <c r="AI6" s="79">
        <f t="shared" ref="AI6:AI11" si="3">U10</f>
        <v>190</v>
      </c>
      <c r="AJ6" s="79">
        <f t="shared" ref="AJ6:AJ11" si="4">U16</f>
        <v>352</v>
      </c>
      <c r="AK6" s="79">
        <f t="shared" ref="AK6:AK11" si="5">U22</f>
        <v>320</v>
      </c>
      <c r="AL6" s="79">
        <f t="shared" ref="AL6:AL11" si="6">U28</f>
        <v>310</v>
      </c>
      <c r="AM6" s="79">
        <f t="shared" ref="AM6:AM11" si="7">U34</f>
        <v>336</v>
      </c>
      <c r="AN6" s="79">
        <f t="shared" ref="AN6:AN11" si="8">U40</f>
        <v>265</v>
      </c>
      <c r="AP6" s="79" t="s">
        <v>13</v>
      </c>
      <c r="AQ6" s="79">
        <f t="shared" ref="AQ6:AW11" si="9">SUM(AH6,AH52,AH98,AH144,AH190)</f>
        <v>594</v>
      </c>
      <c r="AR6" s="79">
        <f t="shared" si="9"/>
        <v>521</v>
      </c>
      <c r="AS6" s="79">
        <f t="shared" si="9"/>
        <v>1454</v>
      </c>
      <c r="AT6" s="79">
        <f t="shared" si="9"/>
        <v>1368</v>
      </c>
      <c r="AU6" s="79">
        <f t="shared" si="9"/>
        <v>1302</v>
      </c>
      <c r="AV6" s="79">
        <f t="shared" si="9"/>
        <v>1265</v>
      </c>
      <c r="AW6" s="79">
        <f t="shared" si="9"/>
        <v>986</v>
      </c>
    </row>
    <row r="7" spans="1:49" ht="18.75" customHeight="1">
      <c r="A7" s="230"/>
      <c r="B7" s="4" t="s">
        <v>16</v>
      </c>
      <c r="C7" s="5"/>
      <c r="D7" s="5"/>
      <c r="E7" s="4">
        <v>2</v>
      </c>
      <c r="F7" s="4">
        <v>2</v>
      </c>
      <c r="G7" s="4">
        <v>7</v>
      </c>
      <c r="H7" s="4">
        <v>1</v>
      </c>
      <c r="I7" s="4">
        <v>4</v>
      </c>
      <c r="J7" s="4">
        <v>5</v>
      </c>
      <c r="K7" s="227"/>
      <c r="L7" s="4" t="s">
        <v>16</v>
      </c>
      <c r="M7" s="4">
        <v>2</v>
      </c>
      <c r="N7" s="4">
        <v>0</v>
      </c>
      <c r="O7" s="4">
        <v>5</v>
      </c>
      <c r="P7" s="4">
        <v>4</v>
      </c>
      <c r="Q7" s="4">
        <v>8</v>
      </c>
      <c r="R7" s="5"/>
      <c r="S7" s="5"/>
      <c r="T7" s="49"/>
      <c r="U7" s="60">
        <f t="shared" si="1"/>
        <v>40</v>
      </c>
      <c r="W7" s="55" t="s">
        <v>7</v>
      </c>
      <c r="X7" s="48">
        <f>SUM(U16:U21)</f>
        <v>1297</v>
      </c>
      <c r="AD7" s="55" t="s">
        <v>7</v>
      </c>
      <c r="AE7" s="48">
        <f t="shared" si="0"/>
        <v>1054.2</v>
      </c>
      <c r="AG7" s="97" t="s">
        <v>14</v>
      </c>
      <c r="AH7" s="97">
        <f t="shared" si="2"/>
        <v>72</v>
      </c>
      <c r="AI7" s="97">
        <f t="shared" si="3"/>
        <v>45</v>
      </c>
      <c r="AJ7" s="97">
        <f t="shared" si="4"/>
        <v>171</v>
      </c>
      <c r="AK7" s="97">
        <f t="shared" si="5"/>
        <v>138</v>
      </c>
      <c r="AL7" s="97">
        <f t="shared" si="6"/>
        <v>132</v>
      </c>
      <c r="AM7" s="97">
        <f t="shared" si="7"/>
        <v>138</v>
      </c>
      <c r="AN7" s="97">
        <f t="shared" si="8"/>
        <v>102</v>
      </c>
      <c r="AP7" s="97" t="s">
        <v>14</v>
      </c>
      <c r="AQ7" s="97">
        <f t="shared" si="9"/>
        <v>189</v>
      </c>
      <c r="AR7" s="97">
        <f t="shared" si="9"/>
        <v>142</v>
      </c>
      <c r="AS7" s="97">
        <f t="shared" si="9"/>
        <v>717</v>
      </c>
      <c r="AT7" s="97">
        <f t="shared" si="9"/>
        <v>494</v>
      </c>
      <c r="AU7" s="97">
        <f t="shared" si="9"/>
        <v>586</v>
      </c>
      <c r="AV7" s="97">
        <f t="shared" si="9"/>
        <v>522</v>
      </c>
      <c r="AW7" s="97">
        <f t="shared" si="9"/>
        <v>399</v>
      </c>
    </row>
    <row r="8" spans="1:49" ht="18.75" customHeight="1">
      <c r="A8" s="230"/>
      <c r="B8" s="4" t="s">
        <v>17</v>
      </c>
      <c r="C8" s="5"/>
      <c r="D8" s="5"/>
      <c r="E8" s="4">
        <v>2</v>
      </c>
      <c r="F8" s="4">
        <v>7</v>
      </c>
      <c r="G8" s="4">
        <v>10</v>
      </c>
      <c r="H8" s="4">
        <v>19</v>
      </c>
      <c r="I8" s="4">
        <v>6</v>
      </c>
      <c r="J8" s="4">
        <v>4</v>
      </c>
      <c r="K8" s="227"/>
      <c r="L8" s="4" t="s">
        <v>17</v>
      </c>
      <c r="M8" s="4">
        <v>5</v>
      </c>
      <c r="N8" s="4">
        <v>4</v>
      </c>
      <c r="O8" s="4">
        <v>1</v>
      </c>
      <c r="P8" s="4">
        <v>5</v>
      </c>
      <c r="Q8" s="4">
        <v>3</v>
      </c>
      <c r="R8" s="5"/>
      <c r="S8" s="5"/>
      <c r="T8" s="49"/>
      <c r="U8" s="60">
        <f t="shared" si="1"/>
        <v>66</v>
      </c>
      <c r="W8" s="55" t="s">
        <v>61</v>
      </c>
      <c r="X8" s="48">
        <f>SUM(U22:U27)</f>
        <v>1206</v>
      </c>
      <c r="Z8" s="197" t="s">
        <v>62</v>
      </c>
      <c r="AA8" s="203"/>
      <c r="AB8" s="83"/>
      <c r="AD8" s="55" t="s">
        <v>61</v>
      </c>
      <c r="AE8" s="48">
        <f t="shared" si="0"/>
        <v>947.4</v>
      </c>
      <c r="AG8" s="79" t="s">
        <v>15</v>
      </c>
      <c r="AH8" s="79">
        <f t="shared" si="2"/>
        <v>227</v>
      </c>
      <c r="AI8" s="79">
        <f t="shared" si="3"/>
        <v>147</v>
      </c>
      <c r="AJ8" s="79">
        <f t="shared" si="4"/>
        <v>368</v>
      </c>
      <c r="AK8" s="79">
        <f t="shared" si="5"/>
        <v>403</v>
      </c>
      <c r="AL8" s="79">
        <f t="shared" si="6"/>
        <v>274</v>
      </c>
      <c r="AM8" s="79">
        <f t="shared" si="7"/>
        <v>323</v>
      </c>
      <c r="AN8" s="79">
        <f t="shared" si="8"/>
        <v>296</v>
      </c>
      <c r="AP8" s="79" t="s">
        <v>15</v>
      </c>
      <c r="AQ8" s="79">
        <f t="shared" si="9"/>
        <v>543</v>
      </c>
      <c r="AR8" s="79">
        <f t="shared" si="9"/>
        <v>448</v>
      </c>
      <c r="AS8" s="79">
        <f t="shared" si="9"/>
        <v>1624</v>
      </c>
      <c r="AT8" s="79">
        <f t="shared" si="9"/>
        <v>1571</v>
      </c>
      <c r="AU8" s="79">
        <f t="shared" si="9"/>
        <v>1251</v>
      </c>
      <c r="AV8" s="79">
        <f t="shared" si="9"/>
        <v>1282</v>
      </c>
      <c r="AW8" s="79">
        <f t="shared" si="9"/>
        <v>1044</v>
      </c>
    </row>
    <row r="9" spans="1:49" ht="18.75" customHeight="1">
      <c r="A9" s="230"/>
      <c r="B9" s="46" t="s">
        <v>18</v>
      </c>
      <c r="C9" s="64"/>
      <c r="D9" s="64"/>
      <c r="E9" s="46">
        <v>3</v>
      </c>
      <c r="F9" s="46">
        <v>5</v>
      </c>
      <c r="G9" s="46">
        <v>12</v>
      </c>
      <c r="H9" s="46">
        <v>5</v>
      </c>
      <c r="I9" s="46">
        <v>10</v>
      </c>
      <c r="J9" s="46">
        <v>8</v>
      </c>
      <c r="K9" s="227"/>
      <c r="L9" s="46" t="s">
        <v>18</v>
      </c>
      <c r="M9" s="46">
        <v>8</v>
      </c>
      <c r="N9" s="46">
        <v>6</v>
      </c>
      <c r="O9" s="46">
        <v>8</v>
      </c>
      <c r="P9" s="46">
        <v>10</v>
      </c>
      <c r="Q9" s="46">
        <v>10</v>
      </c>
      <c r="R9" s="64"/>
      <c r="S9" s="64"/>
      <c r="T9" s="65"/>
      <c r="U9" s="60">
        <f t="shared" si="1"/>
        <v>85</v>
      </c>
      <c r="W9" s="55" t="s">
        <v>9</v>
      </c>
      <c r="X9" s="48">
        <f>SUM(U28:U33)</f>
        <v>1056</v>
      </c>
      <c r="AD9" s="55" t="s">
        <v>9</v>
      </c>
      <c r="AE9" s="48">
        <f t="shared" si="0"/>
        <v>874.4</v>
      </c>
      <c r="AG9" s="97" t="s">
        <v>16</v>
      </c>
      <c r="AH9" s="97">
        <f t="shared" si="2"/>
        <v>40</v>
      </c>
      <c r="AI9" s="97">
        <f t="shared" si="3"/>
        <v>38</v>
      </c>
      <c r="AJ9" s="97">
        <f t="shared" si="4"/>
        <v>109</v>
      </c>
      <c r="AK9" s="97">
        <f t="shared" si="5"/>
        <v>103</v>
      </c>
      <c r="AL9" s="97">
        <f t="shared" si="6"/>
        <v>106</v>
      </c>
      <c r="AM9" s="97">
        <f t="shared" si="7"/>
        <v>103</v>
      </c>
      <c r="AN9" s="97">
        <f t="shared" si="8"/>
        <v>78</v>
      </c>
      <c r="AP9" s="97" t="s">
        <v>16</v>
      </c>
      <c r="AQ9" s="97">
        <f t="shared" si="9"/>
        <v>134</v>
      </c>
      <c r="AR9" s="97">
        <f t="shared" si="9"/>
        <v>152</v>
      </c>
      <c r="AS9" s="97">
        <f t="shared" si="9"/>
        <v>416</v>
      </c>
      <c r="AT9" s="97">
        <f t="shared" si="9"/>
        <v>369</v>
      </c>
      <c r="AU9" s="97">
        <f t="shared" si="9"/>
        <v>365</v>
      </c>
      <c r="AV9" s="97">
        <f t="shared" si="9"/>
        <v>354</v>
      </c>
      <c r="AW9" s="97">
        <f t="shared" si="9"/>
        <v>275</v>
      </c>
    </row>
    <row r="10" spans="1:49" ht="18.75" customHeight="1">
      <c r="A10" s="193" t="s">
        <v>6</v>
      </c>
      <c r="B10" s="63" t="s">
        <v>13</v>
      </c>
      <c r="C10" s="57"/>
      <c r="D10" s="57"/>
      <c r="E10" s="57"/>
      <c r="F10" s="63">
        <v>24</v>
      </c>
      <c r="G10" s="63">
        <v>30</v>
      </c>
      <c r="H10" s="63">
        <v>32</v>
      </c>
      <c r="I10" s="63">
        <v>22</v>
      </c>
      <c r="J10" s="63">
        <v>24</v>
      </c>
      <c r="K10" s="194" t="s">
        <v>6</v>
      </c>
      <c r="L10" s="63" t="s">
        <v>13</v>
      </c>
      <c r="M10" s="63">
        <v>15</v>
      </c>
      <c r="N10" s="63">
        <v>13</v>
      </c>
      <c r="O10" s="63">
        <v>15</v>
      </c>
      <c r="P10" s="63">
        <v>15</v>
      </c>
      <c r="Q10" s="57"/>
      <c r="R10" s="57"/>
      <c r="S10" s="57"/>
      <c r="T10" s="58"/>
      <c r="U10" s="60">
        <f t="shared" si="1"/>
        <v>190</v>
      </c>
      <c r="W10" s="55" t="s">
        <v>10</v>
      </c>
      <c r="X10" s="48">
        <f>SUM(U34:U39)</f>
        <v>1127</v>
      </c>
      <c r="Z10" s="197" t="s">
        <v>74</v>
      </c>
      <c r="AA10" s="203"/>
      <c r="AB10" s="83"/>
      <c r="AD10" s="55" t="s">
        <v>10</v>
      </c>
      <c r="AE10" s="48">
        <f t="shared" si="0"/>
        <v>859.6</v>
      </c>
      <c r="AG10" s="79" t="s">
        <v>17</v>
      </c>
      <c r="AH10" s="79">
        <f t="shared" si="2"/>
        <v>66</v>
      </c>
      <c r="AI10" s="79">
        <f t="shared" si="3"/>
        <v>56</v>
      </c>
      <c r="AJ10" s="79">
        <f t="shared" si="4"/>
        <v>122</v>
      </c>
      <c r="AK10" s="79">
        <f t="shared" si="5"/>
        <v>97</v>
      </c>
      <c r="AL10" s="79">
        <f t="shared" si="6"/>
        <v>99</v>
      </c>
      <c r="AM10" s="79">
        <f t="shared" si="7"/>
        <v>111</v>
      </c>
      <c r="AN10" s="79">
        <f t="shared" si="8"/>
        <v>69</v>
      </c>
      <c r="AP10" s="79" t="s">
        <v>17</v>
      </c>
      <c r="AQ10" s="79">
        <f t="shared" si="9"/>
        <v>175</v>
      </c>
      <c r="AR10" s="79">
        <f t="shared" si="9"/>
        <v>175</v>
      </c>
      <c r="AS10" s="79">
        <f t="shared" si="9"/>
        <v>467</v>
      </c>
      <c r="AT10" s="79">
        <f t="shared" si="9"/>
        <v>426</v>
      </c>
      <c r="AU10" s="79">
        <f t="shared" si="9"/>
        <v>406</v>
      </c>
      <c r="AV10" s="79">
        <f t="shared" si="9"/>
        <v>420</v>
      </c>
      <c r="AW10" s="79">
        <f t="shared" si="9"/>
        <v>288</v>
      </c>
    </row>
    <row r="11" spans="1:49" ht="18.75" customHeight="1">
      <c r="A11" s="230"/>
      <c r="B11" s="6" t="s">
        <v>14</v>
      </c>
      <c r="C11" s="5"/>
      <c r="D11" s="5"/>
      <c r="E11" s="5"/>
      <c r="F11" s="6">
        <v>0</v>
      </c>
      <c r="G11" s="6">
        <v>2</v>
      </c>
      <c r="H11" s="6">
        <v>4</v>
      </c>
      <c r="I11" s="6">
        <v>7</v>
      </c>
      <c r="J11" s="6">
        <v>7</v>
      </c>
      <c r="K11" s="227"/>
      <c r="L11" s="6" t="s">
        <v>14</v>
      </c>
      <c r="M11" s="6">
        <v>7</v>
      </c>
      <c r="N11" s="6">
        <v>6</v>
      </c>
      <c r="O11" s="6">
        <v>6</v>
      </c>
      <c r="P11" s="6">
        <v>6</v>
      </c>
      <c r="Q11" s="5"/>
      <c r="R11" s="5"/>
      <c r="S11" s="5"/>
      <c r="T11" s="49"/>
      <c r="U11" s="60">
        <f t="shared" si="1"/>
        <v>45</v>
      </c>
      <c r="W11" s="81" t="s">
        <v>11</v>
      </c>
      <c r="X11" s="80">
        <f>SUM(U40:U45)</f>
        <v>913</v>
      </c>
      <c r="AD11" s="81" t="s">
        <v>11</v>
      </c>
      <c r="AE11" s="48">
        <f t="shared" si="0"/>
        <v>675.2</v>
      </c>
      <c r="AG11" s="97" t="s">
        <v>18</v>
      </c>
      <c r="AH11" s="97">
        <f t="shared" si="2"/>
        <v>85</v>
      </c>
      <c r="AI11" s="97">
        <f t="shared" si="3"/>
        <v>51</v>
      </c>
      <c r="AJ11" s="97">
        <f t="shared" si="4"/>
        <v>175</v>
      </c>
      <c r="AK11" s="97">
        <f t="shared" si="5"/>
        <v>145</v>
      </c>
      <c r="AL11" s="97">
        <f t="shared" si="6"/>
        <v>135</v>
      </c>
      <c r="AM11" s="97">
        <f t="shared" si="7"/>
        <v>116</v>
      </c>
      <c r="AN11" s="97">
        <f t="shared" si="8"/>
        <v>103</v>
      </c>
      <c r="AP11" s="97" t="s">
        <v>18</v>
      </c>
      <c r="AQ11" s="97">
        <f t="shared" si="9"/>
        <v>237</v>
      </c>
      <c r="AR11" s="97">
        <f t="shared" si="9"/>
        <v>129</v>
      </c>
      <c r="AS11" s="97">
        <f t="shared" si="9"/>
        <v>593</v>
      </c>
      <c r="AT11" s="97">
        <f t="shared" si="9"/>
        <v>509</v>
      </c>
      <c r="AU11" s="97">
        <f t="shared" si="9"/>
        <v>462</v>
      </c>
      <c r="AV11" s="97">
        <f t="shared" si="9"/>
        <v>455</v>
      </c>
      <c r="AW11" s="97">
        <f t="shared" si="9"/>
        <v>384</v>
      </c>
    </row>
    <row r="12" spans="1:49" ht="18.75" customHeight="1">
      <c r="A12" s="230"/>
      <c r="B12" s="6" t="s">
        <v>15</v>
      </c>
      <c r="C12" s="5"/>
      <c r="D12" s="5"/>
      <c r="E12" s="5"/>
      <c r="F12" s="6">
        <v>15</v>
      </c>
      <c r="G12" s="6">
        <v>25</v>
      </c>
      <c r="H12" s="6">
        <v>24</v>
      </c>
      <c r="I12" s="6">
        <v>21</v>
      </c>
      <c r="J12" s="6">
        <v>17</v>
      </c>
      <c r="K12" s="227"/>
      <c r="L12" s="6" t="s">
        <v>15</v>
      </c>
      <c r="M12" s="6">
        <v>21</v>
      </c>
      <c r="N12" s="6">
        <v>8</v>
      </c>
      <c r="O12" s="6">
        <v>9</v>
      </c>
      <c r="P12" s="6">
        <v>7</v>
      </c>
      <c r="Q12" s="5"/>
      <c r="R12" s="5"/>
      <c r="S12" s="5"/>
      <c r="T12" s="49"/>
      <c r="U12" s="60">
        <f t="shared" si="1"/>
        <v>147</v>
      </c>
      <c r="W12" s="79" t="s">
        <v>63</v>
      </c>
      <c r="X12" s="82">
        <f>SUM(X5:X11)</f>
        <v>6851</v>
      </c>
      <c r="AD12" s="79" t="s">
        <v>40</v>
      </c>
      <c r="AE12" s="82">
        <f>AVERAGE(AE5:AE11)</f>
        <v>728.37142857142862</v>
      </c>
    </row>
    <row r="13" spans="1:49" ht="18.75" customHeight="1">
      <c r="A13" s="230"/>
      <c r="B13" s="6" t="s">
        <v>16</v>
      </c>
      <c r="C13" s="5"/>
      <c r="D13" s="5"/>
      <c r="E13" s="5"/>
      <c r="F13" s="6">
        <v>4</v>
      </c>
      <c r="G13" s="6">
        <v>5</v>
      </c>
      <c r="H13" s="6">
        <v>4</v>
      </c>
      <c r="I13" s="6">
        <v>6</v>
      </c>
      <c r="J13" s="6">
        <v>2</v>
      </c>
      <c r="K13" s="227"/>
      <c r="L13" s="6" t="s">
        <v>16</v>
      </c>
      <c r="M13" s="6">
        <v>2</v>
      </c>
      <c r="N13" s="6">
        <v>2</v>
      </c>
      <c r="O13" s="6">
        <v>5</v>
      </c>
      <c r="P13" s="6">
        <v>8</v>
      </c>
      <c r="Q13" s="5"/>
      <c r="R13" s="5"/>
      <c r="S13" s="5"/>
      <c r="T13" s="49"/>
      <c r="U13" s="60">
        <f t="shared" si="1"/>
        <v>38</v>
      </c>
    </row>
    <row r="14" spans="1:49" ht="18.75" customHeight="1">
      <c r="A14" s="230"/>
      <c r="B14" s="6" t="s">
        <v>17</v>
      </c>
      <c r="C14" s="5"/>
      <c r="D14" s="5"/>
      <c r="E14" s="5"/>
      <c r="F14" s="6">
        <v>4</v>
      </c>
      <c r="G14" s="6">
        <v>7</v>
      </c>
      <c r="H14" s="6">
        <v>8</v>
      </c>
      <c r="I14" s="6">
        <v>10</v>
      </c>
      <c r="J14" s="6">
        <v>14</v>
      </c>
      <c r="K14" s="227"/>
      <c r="L14" s="6" t="s">
        <v>17</v>
      </c>
      <c r="M14" s="6">
        <v>4</v>
      </c>
      <c r="N14" s="6">
        <v>3</v>
      </c>
      <c r="O14" s="6">
        <v>2</v>
      </c>
      <c r="P14" s="6">
        <v>4</v>
      </c>
      <c r="Q14" s="5"/>
      <c r="R14" s="5"/>
      <c r="S14" s="5"/>
      <c r="T14" s="49"/>
      <c r="U14" s="60">
        <f t="shared" si="1"/>
        <v>56</v>
      </c>
    </row>
    <row r="15" spans="1:49" ht="18.75" customHeight="1">
      <c r="A15" s="230"/>
      <c r="B15" s="47" t="s">
        <v>18</v>
      </c>
      <c r="C15" s="64"/>
      <c r="D15" s="64"/>
      <c r="E15" s="64"/>
      <c r="F15" s="47">
        <v>5</v>
      </c>
      <c r="G15" s="47">
        <v>10</v>
      </c>
      <c r="H15" s="47">
        <v>11</v>
      </c>
      <c r="I15" s="47">
        <v>5</v>
      </c>
      <c r="J15" s="47">
        <v>4</v>
      </c>
      <c r="K15" s="227"/>
      <c r="L15" s="47" t="s">
        <v>18</v>
      </c>
      <c r="M15" s="47">
        <v>5</v>
      </c>
      <c r="N15" s="47">
        <v>4</v>
      </c>
      <c r="O15" s="47">
        <v>4</v>
      </c>
      <c r="P15" s="47">
        <v>3</v>
      </c>
      <c r="Q15" s="64"/>
      <c r="R15" s="64"/>
      <c r="S15" s="64"/>
      <c r="T15" s="65"/>
      <c r="U15" s="60">
        <f t="shared" si="1"/>
        <v>51</v>
      </c>
    </row>
    <row r="16" spans="1:49" ht="18.75" customHeight="1">
      <c r="A16" s="195" t="s">
        <v>7</v>
      </c>
      <c r="B16" s="56" t="s">
        <v>13</v>
      </c>
      <c r="C16" s="56">
        <v>15</v>
      </c>
      <c r="D16" s="56">
        <v>13</v>
      </c>
      <c r="E16" s="56">
        <v>10</v>
      </c>
      <c r="F16" s="56">
        <v>30</v>
      </c>
      <c r="G16" s="56">
        <v>29</v>
      </c>
      <c r="H16" s="56">
        <v>33</v>
      </c>
      <c r="I16" s="56">
        <v>27</v>
      </c>
      <c r="J16" s="56">
        <v>23</v>
      </c>
      <c r="K16" s="196" t="s">
        <v>7</v>
      </c>
      <c r="L16" s="56" t="s">
        <v>13</v>
      </c>
      <c r="M16" s="56">
        <v>25</v>
      </c>
      <c r="N16" s="56">
        <v>25</v>
      </c>
      <c r="O16" s="56">
        <v>20</v>
      </c>
      <c r="P16" s="56">
        <v>21</v>
      </c>
      <c r="Q16" s="56">
        <v>36</v>
      </c>
      <c r="R16" s="56">
        <v>25</v>
      </c>
      <c r="S16" s="56">
        <v>11</v>
      </c>
      <c r="T16" s="67">
        <v>9</v>
      </c>
      <c r="U16" s="60">
        <f t="shared" si="1"/>
        <v>352</v>
      </c>
    </row>
    <row r="17" spans="1:33" ht="18.75" customHeight="1">
      <c r="A17" s="230"/>
      <c r="B17" s="4" t="s">
        <v>14</v>
      </c>
      <c r="C17" s="4">
        <v>10</v>
      </c>
      <c r="D17" s="4">
        <v>8</v>
      </c>
      <c r="E17" s="4">
        <v>12</v>
      </c>
      <c r="F17" s="4">
        <v>12</v>
      </c>
      <c r="G17" s="4">
        <v>12</v>
      </c>
      <c r="H17" s="4">
        <v>15</v>
      </c>
      <c r="I17" s="4">
        <v>13</v>
      </c>
      <c r="J17" s="4">
        <v>8</v>
      </c>
      <c r="K17" s="227"/>
      <c r="L17" s="4" t="s">
        <v>14</v>
      </c>
      <c r="M17" s="4">
        <v>12</v>
      </c>
      <c r="N17" s="4">
        <v>10</v>
      </c>
      <c r="O17" s="4">
        <v>14</v>
      </c>
      <c r="P17" s="4">
        <v>15</v>
      </c>
      <c r="Q17" s="4">
        <v>9</v>
      </c>
      <c r="R17" s="4">
        <v>11</v>
      </c>
      <c r="S17" s="4">
        <v>6</v>
      </c>
      <c r="T17" s="50">
        <v>4</v>
      </c>
      <c r="U17" s="60">
        <f t="shared" si="1"/>
        <v>171</v>
      </c>
    </row>
    <row r="18" spans="1:33" ht="18.75" customHeight="1">
      <c r="A18" s="230"/>
      <c r="B18" s="4" t="s">
        <v>15</v>
      </c>
      <c r="C18" s="4">
        <v>15</v>
      </c>
      <c r="D18" s="4">
        <v>17</v>
      </c>
      <c r="E18" s="4">
        <v>22</v>
      </c>
      <c r="F18" s="4">
        <v>27</v>
      </c>
      <c r="G18" s="4">
        <v>22</v>
      </c>
      <c r="H18" s="4">
        <v>25</v>
      </c>
      <c r="I18" s="4">
        <v>23</v>
      </c>
      <c r="J18" s="4">
        <v>21</v>
      </c>
      <c r="K18" s="227"/>
      <c r="L18" s="4" t="s">
        <v>15</v>
      </c>
      <c r="M18" s="4">
        <v>20</v>
      </c>
      <c r="N18" s="4">
        <v>25</v>
      </c>
      <c r="O18" s="4">
        <v>27</v>
      </c>
      <c r="P18" s="4">
        <v>28</v>
      </c>
      <c r="Q18" s="4">
        <v>31</v>
      </c>
      <c r="R18" s="4">
        <v>29</v>
      </c>
      <c r="S18" s="4">
        <v>19</v>
      </c>
      <c r="T18" s="50">
        <v>17</v>
      </c>
      <c r="U18" s="60">
        <f t="shared" si="1"/>
        <v>368</v>
      </c>
    </row>
    <row r="19" spans="1:33" ht="18.75" customHeight="1">
      <c r="A19" s="230"/>
      <c r="B19" s="4" t="s">
        <v>16</v>
      </c>
      <c r="C19" s="4">
        <v>5</v>
      </c>
      <c r="D19" s="4">
        <v>8</v>
      </c>
      <c r="E19" s="4">
        <v>6</v>
      </c>
      <c r="F19" s="4">
        <v>5</v>
      </c>
      <c r="G19" s="4">
        <v>10</v>
      </c>
      <c r="H19" s="4">
        <v>9</v>
      </c>
      <c r="I19" s="4">
        <v>7</v>
      </c>
      <c r="J19" s="4">
        <v>3</v>
      </c>
      <c r="K19" s="227"/>
      <c r="L19" s="4" t="s">
        <v>16</v>
      </c>
      <c r="M19" s="4">
        <v>0</v>
      </c>
      <c r="N19" s="4">
        <v>7</v>
      </c>
      <c r="O19" s="4">
        <v>25</v>
      </c>
      <c r="P19" s="4">
        <v>8</v>
      </c>
      <c r="Q19" s="4">
        <v>4</v>
      </c>
      <c r="R19" s="4">
        <v>3</v>
      </c>
      <c r="S19" s="4">
        <v>6</v>
      </c>
      <c r="T19" s="50">
        <v>3</v>
      </c>
      <c r="U19" s="60">
        <f t="shared" si="1"/>
        <v>109</v>
      </c>
    </row>
    <row r="20" spans="1:33" ht="18.75" customHeight="1">
      <c r="A20" s="230"/>
      <c r="B20" s="4" t="s">
        <v>17</v>
      </c>
      <c r="C20" s="4">
        <v>8</v>
      </c>
      <c r="D20" s="4">
        <v>8</v>
      </c>
      <c r="E20" s="4">
        <v>15</v>
      </c>
      <c r="F20" s="4">
        <v>9</v>
      </c>
      <c r="G20" s="4">
        <v>11</v>
      </c>
      <c r="H20" s="4">
        <v>11</v>
      </c>
      <c r="I20" s="4">
        <v>8</v>
      </c>
      <c r="J20" s="4">
        <v>4</v>
      </c>
      <c r="K20" s="227"/>
      <c r="L20" s="4" t="s">
        <v>17</v>
      </c>
      <c r="M20" s="4">
        <v>11</v>
      </c>
      <c r="N20" s="4">
        <v>4</v>
      </c>
      <c r="O20" s="4">
        <v>6</v>
      </c>
      <c r="P20" s="4">
        <v>7</v>
      </c>
      <c r="Q20" s="4">
        <v>8</v>
      </c>
      <c r="R20" s="4">
        <v>6</v>
      </c>
      <c r="S20" s="4">
        <v>2</v>
      </c>
      <c r="T20" s="50">
        <v>4</v>
      </c>
      <c r="U20" s="60">
        <f t="shared" si="1"/>
        <v>122</v>
      </c>
    </row>
    <row r="21" spans="1:33" ht="18.75" customHeight="1">
      <c r="A21" s="230"/>
      <c r="B21" s="46" t="s">
        <v>18</v>
      </c>
      <c r="C21" s="46">
        <v>12</v>
      </c>
      <c r="D21" s="46">
        <v>14</v>
      </c>
      <c r="E21" s="46">
        <v>16</v>
      </c>
      <c r="F21" s="46">
        <v>10</v>
      </c>
      <c r="G21" s="46">
        <v>15</v>
      </c>
      <c r="H21" s="46">
        <v>15</v>
      </c>
      <c r="I21" s="46">
        <v>16</v>
      </c>
      <c r="J21" s="46">
        <v>9</v>
      </c>
      <c r="K21" s="227"/>
      <c r="L21" s="46" t="s">
        <v>18</v>
      </c>
      <c r="M21" s="46">
        <v>10</v>
      </c>
      <c r="N21" s="46">
        <v>5</v>
      </c>
      <c r="O21" s="46">
        <v>10</v>
      </c>
      <c r="P21" s="46">
        <v>12</v>
      </c>
      <c r="Q21" s="46">
        <v>13</v>
      </c>
      <c r="R21" s="46">
        <v>10</v>
      </c>
      <c r="S21" s="46">
        <v>3</v>
      </c>
      <c r="T21" s="69">
        <v>5</v>
      </c>
      <c r="U21" s="60">
        <f t="shared" si="1"/>
        <v>175</v>
      </c>
    </row>
    <row r="22" spans="1:33" ht="18.75" customHeight="1">
      <c r="A22" s="193" t="s">
        <v>8</v>
      </c>
      <c r="B22" s="63" t="s">
        <v>13</v>
      </c>
      <c r="C22" s="63">
        <v>18</v>
      </c>
      <c r="D22" s="63">
        <v>17</v>
      </c>
      <c r="E22" s="63">
        <v>23</v>
      </c>
      <c r="F22" s="63">
        <v>25</v>
      </c>
      <c r="G22" s="63">
        <v>33</v>
      </c>
      <c r="H22" s="63">
        <v>34</v>
      </c>
      <c r="I22" s="63">
        <v>25</v>
      </c>
      <c r="J22" s="63">
        <v>6</v>
      </c>
      <c r="K22" s="194" t="s">
        <v>8</v>
      </c>
      <c r="L22" s="63" t="s">
        <v>13</v>
      </c>
      <c r="M22" s="63">
        <v>14</v>
      </c>
      <c r="N22" s="63">
        <v>12</v>
      </c>
      <c r="O22" s="63">
        <v>18</v>
      </c>
      <c r="P22" s="63">
        <v>18</v>
      </c>
      <c r="Q22" s="63">
        <v>17</v>
      </c>
      <c r="R22" s="63">
        <v>26</v>
      </c>
      <c r="S22" s="63">
        <v>13</v>
      </c>
      <c r="T22" s="68">
        <v>21</v>
      </c>
      <c r="U22" s="60">
        <f t="shared" si="1"/>
        <v>320</v>
      </c>
    </row>
    <row r="23" spans="1:33" ht="18.75" customHeight="1">
      <c r="A23" s="230"/>
      <c r="B23" s="6" t="s">
        <v>14</v>
      </c>
      <c r="C23" s="6">
        <v>12</v>
      </c>
      <c r="D23" s="6">
        <v>5</v>
      </c>
      <c r="E23" s="6">
        <v>9</v>
      </c>
      <c r="F23" s="6">
        <v>13</v>
      </c>
      <c r="G23" s="6">
        <v>10</v>
      </c>
      <c r="H23" s="6">
        <v>12</v>
      </c>
      <c r="I23" s="6">
        <v>13</v>
      </c>
      <c r="J23" s="6">
        <v>13</v>
      </c>
      <c r="K23" s="227"/>
      <c r="L23" s="6" t="s">
        <v>14</v>
      </c>
      <c r="M23" s="6">
        <v>4</v>
      </c>
      <c r="N23" s="6">
        <v>11</v>
      </c>
      <c r="O23" s="6">
        <v>10</v>
      </c>
      <c r="P23" s="6">
        <v>6</v>
      </c>
      <c r="Q23" s="6">
        <v>8</v>
      </c>
      <c r="R23" s="6">
        <v>6</v>
      </c>
      <c r="S23" s="6">
        <v>2</v>
      </c>
      <c r="T23" s="51">
        <v>4</v>
      </c>
      <c r="U23" s="60">
        <f t="shared" si="1"/>
        <v>138</v>
      </c>
    </row>
    <row r="24" spans="1:33" ht="18.75" customHeight="1">
      <c r="A24" s="230"/>
      <c r="B24" s="6" t="s">
        <v>15</v>
      </c>
      <c r="C24" s="6">
        <v>16</v>
      </c>
      <c r="D24" s="6">
        <v>29</v>
      </c>
      <c r="E24" s="6">
        <v>17</v>
      </c>
      <c r="F24" s="6">
        <v>21</v>
      </c>
      <c r="G24" s="6">
        <v>27</v>
      </c>
      <c r="H24" s="6">
        <v>32</v>
      </c>
      <c r="I24" s="6">
        <v>33</v>
      </c>
      <c r="J24" s="6">
        <v>26</v>
      </c>
      <c r="K24" s="227"/>
      <c r="L24" s="6" t="s">
        <v>15</v>
      </c>
      <c r="M24" s="6">
        <v>21</v>
      </c>
      <c r="N24" s="6">
        <v>26</v>
      </c>
      <c r="O24" s="6">
        <v>31</v>
      </c>
      <c r="P24" s="6">
        <v>25</v>
      </c>
      <c r="Q24" s="6">
        <v>26</v>
      </c>
      <c r="R24" s="6">
        <v>31</v>
      </c>
      <c r="S24" s="6">
        <v>23</v>
      </c>
      <c r="T24" s="51">
        <v>19</v>
      </c>
      <c r="U24" s="60">
        <f t="shared" si="1"/>
        <v>403</v>
      </c>
    </row>
    <row r="25" spans="1:33" ht="18.75" customHeight="1">
      <c r="A25" s="230"/>
      <c r="B25" s="6" t="s">
        <v>16</v>
      </c>
      <c r="C25" s="6">
        <v>4</v>
      </c>
      <c r="D25" s="6">
        <v>5</v>
      </c>
      <c r="E25" s="6">
        <v>6</v>
      </c>
      <c r="F25" s="6">
        <v>9</v>
      </c>
      <c r="G25" s="6">
        <v>15</v>
      </c>
      <c r="H25" s="6">
        <v>15</v>
      </c>
      <c r="I25" s="6">
        <v>3</v>
      </c>
      <c r="J25" s="6">
        <v>4</v>
      </c>
      <c r="K25" s="227"/>
      <c r="L25" s="6" t="s">
        <v>16</v>
      </c>
      <c r="M25" s="6">
        <v>4</v>
      </c>
      <c r="N25" s="6">
        <v>6</v>
      </c>
      <c r="O25" s="6">
        <v>5</v>
      </c>
      <c r="P25" s="6">
        <v>4</v>
      </c>
      <c r="Q25" s="6">
        <v>8</v>
      </c>
      <c r="R25" s="6">
        <v>9</v>
      </c>
      <c r="S25" s="6">
        <v>3</v>
      </c>
      <c r="T25" s="51">
        <v>3</v>
      </c>
      <c r="U25" s="60">
        <f t="shared" si="1"/>
        <v>103</v>
      </c>
    </row>
    <row r="26" spans="1:33" ht="18.75" customHeight="1">
      <c r="A26" s="230"/>
      <c r="B26" s="6" t="s">
        <v>17</v>
      </c>
      <c r="C26" s="6">
        <v>6</v>
      </c>
      <c r="D26" s="6">
        <v>7</v>
      </c>
      <c r="E26" s="6">
        <v>8</v>
      </c>
      <c r="F26" s="6">
        <v>7</v>
      </c>
      <c r="G26" s="6">
        <v>6</v>
      </c>
      <c r="H26" s="6">
        <v>17</v>
      </c>
      <c r="I26" s="6">
        <v>12</v>
      </c>
      <c r="J26" s="6">
        <v>6</v>
      </c>
      <c r="K26" s="227"/>
      <c r="L26" s="6" t="s">
        <v>17</v>
      </c>
      <c r="M26" s="6">
        <v>2</v>
      </c>
      <c r="N26" s="6">
        <v>3</v>
      </c>
      <c r="O26" s="6">
        <v>1</v>
      </c>
      <c r="P26" s="6">
        <v>5</v>
      </c>
      <c r="Q26" s="6">
        <v>3</v>
      </c>
      <c r="R26" s="6">
        <v>5</v>
      </c>
      <c r="S26" s="6">
        <v>5</v>
      </c>
      <c r="T26" s="51">
        <v>4</v>
      </c>
      <c r="U26" s="60">
        <f t="shared" si="1"/>
        <v>97</v>
      </c>
      <c r="AG26" s="95"/>
    </row>
    <row r="27" spans="1:33" ht="18.75" customHeight="1">
      <c r="A27" s="230"/>
      <c r="B27" s="47" t="s">
        <v>18</v>
      </c>
      <c r="C27" s="47">
        <v>19</v>
      </c>
      <c r="D27" s="47">
        <v>9</v>
      </c>
      <c r="E27" s="47">
        <v>7</v>
      </c>
      <c r="F27" s="47">
        <v>8</v>
      </c>
      <c r="G27" s="47">
        <v>11</v>
      </c>
      <c r="H27" s="47">
        <v>15</v>
      </c>
      <c r="I27" s="47">
        <v>7</v>
      </c>
      <c r="J27" s="47">
        <v>8</v>
      </c>
      <c r="K27" s="227"/>
      <c r="L27" s="47" t="s">
        <v>18</v>
      </c>
      <c r="M27" s="47">
        <v>11</v>
      </c>
      <c r="N27" s="47">
        <v>7</v>
      </c>
      <c r="O27" s="47">
        <v>8</v>
      </c>
      <c r="P27" s="47">
        <v>10</v>
      </c>
      <c r="Q27" s="47">
        <v>10</v>
      </c>
      <c r="R27" s="47">
        <v>8</v>
      </c>
      <c r="S27" s="47">
        <v>4</v>
      </c>
      <c r="T27" s="70">
        <v>3</v>
      </c>
      <c r="U27" s="60">
        <f t="shared" si="1"/>
        <v>145</v>
      </c>
      <c r="AG27" s="96"/>
    </row>
    <row r="28" spans="1:33" ht="18.75" customHeight="1">
      <c r="A28" s="195" t="s">
        <v>9</v>
      </c>
      <c r="B28" s="56" t="s">
        <v>13</v>
      </c>
      <c r="C28" s="56">
        <v>12</v>
      </c>
      <c r="D28" s="56">
        <v>18</v>
      </c>
      <c r="E28" s="56">
        <v>16</v>
      </c>
      <c r="F28" s="56">
        <v>25</v>
      </c>
      <c r="G28" s="56"/>
      <c r="H28" s="56"/>
      <c r="I28" s="56">
        <v>35</v>
      </c>
      <c r="J28" s="56">
        <v>27</v>
      </c>
      <c r="K28" s="196" t="s">
        <v>9</v>
      </c>
      <c r="L28" s="56" t="s">
        <v>13</v>
      </c>
      <c r="M28" s="56">
        <v>11</v>
      </c>
      <c r="N28" s="56">
        <v>20</v>
      </c>
      <c r="O28" s="56">
        <v>21</v>
      </c>
      <c r="P28" s="56">
        <v>25</v>
      </c>
      <c r="Q28" s="56">
        <v>31</v>
      </c>
      <c r="R28" s="56">
        <v>39</v>
      </c>
      <c r="S28" s="56">
        <v>16</v>
      </c>
      <c r="T28" s="67">
        <v>14</v>
      </c>
      <c r="U28" s="60">
        <f t="shared" si="1"/>
        <v>310</v>
      </c>
      <c r="AG28" s="96"/>
    </row>
    <row r="29" spans="1:33" ht="18.75" customHeight="1">
      <c r="A29" s="230"/>
      <c r="B29" s="4" t="s">
        <v>14</v>
      </c>
      <c r="C29" s="4">
        <v>5</v>
      </c>
      <c r="D29" s="4">
        <v>9</v>
      </c>
      <c r="E29" s="4">
        <v>11</v>
      </c>
      <c r="F29" s="4">
        <v>13</v>
      </c>
      <c r="G29" s="4"/>
      <c r="H29" s="4"/>
      <c r="I29" s="4">
        <v>13</v>
      </c>
      <c r="J29" s="4">
        <v>17</v>
      </c>
      <c r="K29" s="227"/>
      <c r="L29" s="4" t="s">
        <v>14</v>
      </c>
      <c r="M29" s="4">
        <v>14</v>
      </c>
      <c r="N29" s="4">
        <v>12</v>
      </c>
      <c r="O29" s="4">
        <v>4</v>
      </c>
      <c r="P29" s="4">
        <v>10</v>
      </c>
      <c r="Q29" s="4">
        <v>9</v>
      </c>
      <c r="R29" s="4">
        <v>8</v>
      </c>
      <c r="S29" s="4">
        <v>5</v>
      </c>
      <c r="T29" s="50">
        <v>2</v>
      </c>
      <c r="U29" s="60">
        <f t="shared" si="1"/>
        <v>132</v>
      </c>
      <c r="AG29" s="96"/>
    </row>
    <row r="30" spans="1:33" ht="18.75" customHeight="1">
      <c r="A30" s="230"/>
      <c r="B30" s="4" t="s">
        <v>15</v>
      </c>
      <c r="C30" s="4">
        <v>19</v>
      </c>
      <c r="D30" s="4">
        <v>21</v>
      </c>
      <c r="E30" s="4">
        <v>17</v>
      </c>
      <c r="F30" s="4">
        <v>15</v>
      </c>
      <c r="G30" s="4"/>
      <c r="H30" s="4"/>
      <c r="I30" s="4">
        <v>31</v>
      </c>
      <c r="J30" s="4">
        <v>19</v>
      </c>
      <c r="K30" s="227"/>
      <c r="L30" s="4" t="s">
        <v>15</v>
      </c>
      <c r="M30" s="4">
        <v>17</v>
      </c>
      <c r="N30" s="4">
        <v>21</v>
      </c>
      <c r="O30" s="4">
        <v>16</v>
      </c>
      <c r="P30" s="4">
        <v>16</v>
      </c>
      <c r="Q30" s="4">
        <v>21</v>
      </c>
      <c r="R30" s="4">
        <v>27</v>
      </c>
      <c r="S30" s="4">
        <v>23</v>
      </c>
      <c r="T30" s="50">
        <v>11</v>
      </c>
      <c r="U30" s="60">
        <f t="shared" si="1"/>
        <v>274</v>
      </c>
      <c r="AG30" s="96"/>
    </row>
    <row r="31" spans="1:33" ht="18.75" customHeight="1">
      <c r="A31" s="230"/>
      <c r="B31" s="4" t="s">
        <v>16</v>
      </c>
      <c r="C31" s="4">
        <v>4</v>
      </c>
      <c r="D31" s="4">
        <v>3</v>
      </c>
      <c r="E31" s="4">
        <v>3</v>
      </c>
      <c r="F31" s="4">
        <v>9</v>
      </c>
      <c r="G31" s="4"/>
      <c r="H31" s="4"/>
      <c r="I31" s="4">
        <v>12</v>
      </c>
      <c r="J31" s="4">
        <v>18</v>
      </c>
      <c r="K31" s="227"/>
      <c r="L31" s="4" t="s">
        <v>16</v>
      </c>
      <c r="M31" s="4">
        <v>13</v>
      </c>
      <c r="N31" s="4">
        <v>10</v>
      </c>
      <c r="O31" s="4">
        <v>8</v>
      </c>
      <c r="P31" s="4">
        <v>7</v>
      </c>
      <c r="Q31" s="4">
        <v>6</v>
      </c>
      <c r="R31" s="4">
        <v>5</v>
      </c>
      <c r="S31" s="4">
        <v>6</v>
      </c>
      <c r="T31" s="50">
        <v>2</v>
      </c>
      <c r="U31" s="60">
        <f t="shared" si="1"/>
        <v>106</v>
      </c>
      <c r="AG31" s="96"/>
    </row>
    <row r="32" spans="1:33" ht="18.75" customHeight="1">
      <c r="A32" s="230"/>
      <c r="B32" s="4" t="s">
        <v>17</v>
      </c>
      <c r="C32" s="4">
        <v>4</v>
      </c>
      <c r="D32" s="4">
        <v>6</v>
      </c>
      <c r="E32" s="4">
        <v>6</v>
      </c>
      <c r="F32" s="4">
        <v>11</v>
      </c>
      <c r="G32" s="4"/>
      <c r="H32" s="4"/>
      <c r="I32" s="4">
        <v>16</v>
      </c>
      <c r="J32" s="4">
        <v>13</v>
      </c>
      <c r="K32" s="227"/>
      <c r="L32" s="4" t="s">
        <v>17</v>
      </c>
      <c r="M32" s="4">
        <v>5</v>
      </c>
      <c r="N32" s="4">
        <v>7</v>
      </c>
      <c r="O32" s="4">
        <v>6</v>
      </c>
      <c r="P32" s="4">
        <v>6</v>
      </c>
      <c r="Q32" s="4">
        <v>5</v>
      </c>
      <c r="R32" s="4">
        <v>8</v>
      </c>
      <c r="S32" s="4">
        <v>5</v>
      </c>
      <c r="T32" s="50">
        <v>1</v>
      </c>
      <c r="U32" s="60">
        <f t="shared" si="1"/>
        <v>99</v>
      </c>
      <c r="AG32" s="96"/>
    </row>
    <row r="33" spans="1:33" ht="18.75" customHeight="1">
      <c r="A33" s="230"/>
      <c r="B33" s="46" t="s">
        <v>18</v>
      </c>
      <c r="C33" s="46">
        <v>12</v>
      </c>
      <c r="D33" s="46">
        <v>9</v>
      </c>
      <c r="E33" s="46">
        <v>8</v>
      </c>
      <c r="F33" s="46">
        <v>4</v>
      </c>
      <c r="G33" s="46"/>
      <c r="H33" s="46"/>
      <c r="I33" s="46">
        <v>13</v>
      </c>
      <c r="J33" s="46">
        <v>22</v>
      </c>
      <c r="K33" s="227"/>
      <c r="L33" s="46" t="s">
        <v>18</v>
      </c>
      <c r="M33" s="46">
        <v>9</v>
      </c>
      <c r="N33" s="46">
        <v>8</v>
      </c>
      <c r="O33" s="46">
        <v>4</v>
      </c>
      <c r="P33" s="46">
        <v>11</v>
      </c>
      <c r="Q33" s="46">
        <v>10</v>
      </c>
      <c r="R33" s="46">
        <v>12</v>
      </c>
      <c r="S33" s="46">
        <v>9</v>
      </c>
      <c r="T33" s="69">
        <v>4</v>
      </c>
      <c r="U33" s="60">
        <f t="shared" si="1"/>
        <v>135</v>
      </c>
      <c r="AG33" s="95"/>
    </row>
    <row r="34" spans="1:33" ht="18.75" customHeight="1">
      <c r="A34" s="193" t="s">
        <v>10</v>
      </c>
      <c r="B34" s="63" t="s">
        <v>13</v>
      </c>
      <c r="C34" s="121">
        <v>16</v>
      </c>
      <c r="D34" s="121">
        <v>20</v>
      </c>
      <c r="E34" s="121">
        <v>23</v>
      </c>
      <c r="F34" s="121">
        <v>21</v>
      </c>
      <c r="G34" s="121">
        <v>40</v>
      </c>
      <c r="H34" s="121">
        <v>33</v>
      </c>
      <c r="I34" s="121">
        <v>32</v>
      </c>
      <c r="J34" s="121">
        <v>22</v>
      </c>
      <c r="K34" s="194" t="s">
        <v>10</v>
      </c>
      <c r="L34" s="63" t="s">
        <v>13</v>
      </c>
      <c r="M34" s="121">
        <v>10</v>
      </c>
      <c r="N34" s="121">
        <v>14</v>
      </c>
      <c r="O34" s="121">
        <v>19</v>
      </c>
      <c r="P34" s="121">
        <v>14</v>
      </c>
      <c r="Q34" s="121">
        <v>26</v>
      </c>
      <c r="R34" s="121">
        <v>19</v>
      </c>
      <c r="S34" s="121">
        <v>12</v>
      </c>
      <c r="T34" s="124">
        <v>15</v>
      </c>
      <c r="U34" s="60">
        <f t="shared" si="1"/>
        <v>336</v>
      </c>
      <c r="AG34" s="96"/>
    </row>
    <row r="35" spans="1:33" ht="18.75" customHeight="1">
      <c r="A35" s="230"/>
      <c r="B35" s="6" t="s">
        <v>14</v>
      </c>
      <c r="C35" s="122">
        <v>6</v>
      </c>
      <c r="D35" s="122">
        <v>11</v>
      </c>
      <c r="E35" s="122">
        <v>12</v>
      </c>
      <c r="F35" s="122">
        <v>13</v>
      </c>
      <c r="G35" s="122">
        <v>14</v>
      </c>
      <c r="H35" s="122">
        <v>14</v>
      </c>
      <c r="I35" s="122">
        <v>12</v>
      </c>
      <c r="J35" s="122">
        <v>12</v>
      </c>
      <c r="K35" s="227"/>
      <c r="L35" s="6" t="s">
        <v>14</v>
      </c>
      <c r="M35" s="122">
        <v>6</v>
      </c>
      <c r="N35" s="122">
        <v>3</v>
      </c>
      <c r="O35" s="122">
        <v>10</v>
      </c>
      <c r="P35" s="122">
        <v>9</v>
      </c>
      <c r="Q35" s="122">
        <v>3</v>
      </c>
      <c r="R35" s="122">
        <v>4</v>
      </c>
      <c r="S35" s="122">
        <v>3</v>
      </c>
      <c r="T35" s="125">
        <v>6</v>
      </c>
      <c r="U35" s="60">
        <f t="shared" si="1"/>
        <v>138</v>
      </c>
      <c r="AG35" s="96"/>
    </row>
    <row r="36" spans="1:33" ht="18.75" customHeight="1">
      <c r="A36" s="230"/>
      <c r="B36" s="6" t="s">
        <v>15</v>
      </c>
      <c r="C36" s="122">
        <v>17</v>
      </c>
      <c r="D36" s="122">
        <v>24</v>
      </c>
      <c r="E36" s="122">
        <v>13</v>
      </c>
      <c r="F36" s="122">
        <v>20</v>
      </c>
      <c r="G36" s="122">
        <v>21</v>
      </c>
      <c r="H36" s="122">
        <v>28</v>
      </c>
      <c r="I36" s="122">
        <v>20</v>
      </c>
      <c r="J36" s="122">
        <v>21</v>
      </c>
      <c r="K36" s="227"/>
      <c r="L36" s="6" t="s">
        <v>15</v>
      </c>
      <c r="M36" s="122">
        <v>19</v>
      </c>
      <c r="N36" s="122">
        <v>22</v>
      </c>
      <c r="O36" s="122">
        <v>12</v>
      </c>
      <c r="P36" s="122">
        <v>17</v>
      </c>
      <c r="Q36" s="122">
        <v>24</v>
      </c>
      <c r="R36" s="122">
        <v>29</v>
      </c>
      <c r="S36" s="122">
        <v>21</v>
      </c>
      <c r="T36" s="125">
        <v>15</v>
      </c>
      <c r="U36" s="60">
        <f t="shared" si="1"/>
        <v>323</v>
      </c>
      <c r="AG36" s="96"/>
    </row>
    <row r="37" spans="1:33" ht="18.75" customHeight="1">
      <c r="A37" s="230"/>
      <c r="B37" s="6" t="s">
        <v>16</v>
      </c>
      <c r="C37" s="122">
        <v>4</v>
      </c>
      <c r="D37" s="122">
        <v>5</v>
      </c>
      <c r="E37" s="122">
        <v>12</v>
      </c>
      <c r="F37" s="122">
        <v>6</v>
      </c>
      <c r="G37" s="122">
        <v>20</v>
      </c>
      <c r="H37" s="122">
        <v>10</v>
      </c>
      <c r="I37" s="122">
        <v>8</v>
      </c>
      <c r="J37" s="122">
        <v>9</v>
      </c>
      <c r="K37" s="227"/>
      <c r="L37" s="6" t="s">
        <v>16</v>
      </c>
      <c r="M37" s="122">
        <v>4</v>
      </c>
      <c r="N37" s="122">
        <v>5</v>
      </c>
      <c r="O37" s="122">
        <v>3</v>
      </c>
      <c r="P37" s="122">
        <v>3</v>
      </c>
      <c r="Q37" s="122">
        <v>2</v>
      </c>
      <c r="R37" s="122">
        <v>3</v>
      </c>
      <c r="S37" s="122">
        <v>5</v>
      </c>
      <c r="T37" s="125">
        <v>4</v>
      </c>
      <c r="U37" s="60">
        <f t="shared" si="1"/>
        <v>103</v>
      </c>
      <c r="AG37" s="96"/>
    </row>
    <row r="38" spans="1:33" ht="18.75" customHeight="1">
      <c r="A38" s="230"/>
      <c r="B38" s="6" t="s">
        <v>17</v>
      </c>
      <c r="C38" s="122">
        <v>7</v>
      </c>
      <c r="D38" s="122">
        <v>7</v>
      </c>
      <c r="E38" s="122">
        <v>9</v>
      </c>
      <c r="F38" s="122">
        <v>8</v>
      </c>
      <c r="G38" s="122">
        <v>9</v>
      </c>
      <c r="H38" s="122">
        <v>13</v>
      </c>
      <c r="I38" s="122">
        <v>15</v>
      </c>
      <c r="J38" s="122">
        <v>10</v>
      </c>
      <c r="K38" s="227"/>
      <c r="L38" s="6" t="s">
        <v>17</v>
      </c>
      <c r="M38" s="122">
        <v>3</v>
      </c>
      <c r="N38" s="122">
        <v>1</v>
      </c>
      <c r="O38" s="122">
        <v>5</v>
      </c>
      <c r="P38" s="122">
        <v>3</v>
      </c>
      <c r="Q38" s="122">
        <v>7</v>
      </c>
      <c r="R38" s="122">
        <v>8</v>
      </c>
      <c r="S38" s="122">
        <v>2</v>
      </c>
      <c r="T38" s="125">
        <v>4</v>
      </c>
      <c r="U38" s="60">
        <f t="shared" si="1"/>
        <v>111</v>
      </c>
      <c r="AG38" s="96"/>
    </row>
    <row r="39" spans="1:33" ht="18.75" customHeight="1">
      <c r="A39" s="230"/>
      <c r="B39" s="47" t="s">
        <v>18</v>
      </c>
      <c r="C39" s="123">
        <v>18</v>
      </c>
      <c r="D39" s="123">
        <v>4</v>
      </c>
      <c r="E39" s="123">
        <v>7</v>
      </c>
      <c r="F39" s="123">
        <v>6</v>
      </c>
      <c r="G39" s="123">
        <v>10</v>
      </c>
      <c r="H39" s="123">
        <v>10</v>
      </c>
      <c r="I39" s="123">
        <v>7</v>
      </c>
      <c r="J39" s="123">
        <v>5</v>
      </c>
      <c r="K39" s="227"/>
      <c r="L39" s="47" t="s">
        <v>18</v>
      </c>
      <c r="M39" s="123">
        <v>8</v>
      </c>
      <c r="N39" s="123">
        <v>7</v>
      </c>
      <c r="O39" s="123">
        <v>5</v>
      </c>
      <c r="P39" s="123">
        <v>6</v>
      </c>
      <c r="Q39" s="123">
        <v>7</v>
      </c>
      <c r="R39" s="123">
        <v>10</v>
      </c>
      <c r="S39" s="123">
        <v>4</v>
      </c>
      <c r="T39" s="126">
        <v>2</v>
      </c>
      <c r="U39" s="60">
        <f t="shared" si="1"/>
        <v>116</v>
      </c>
      <c r="AG39" s="96"/>
    </row>
    <row r="40" spans="1:33" ht="18.75" customHeight="1">
      <c r="A40" s="195" t="s">
        <v>11</v>
      </c>
      <c r="B40" s="56" t="s">
        <v>13</v>
      </c>
      <c r="C40" s="127">
        <v>9</v>
      </c>
      <c r="D40" s="127">
        <v>11</v>
      </c>
      <c r="E40" s="127">
        <v>24</v>
      </c>
      <c r="F40" s="127">
        <v>28</v>
      </c>
      <c r="G40" s="127">
        <v>35</v>
      </c>
      <c r="H40" s="127"/>
      <c r="I40" s="127">
        <v>28</v>
      </c>
      <c r="J40" s="127">
        <v>25</v>
      </c>
      <c r="K40" s="196" t="s">
        <v>11</v>
      </c>
      <c r="L40" s="56" t="s">
        <v>13</v>
      </c>
      <c r="M40" s="127">
        <v>12</v>
      </c>
      <c r="N40" s="127">
        <v>16</v>
      </c>
      <c r="O40" s="127">
        <v>13</v>
      </c>
      <c r="P40" s="127">
        <v>14</v>
      </c>
      <c r="Q40" s="127">
        <v>18</v>
      </c>
      <c r="R40" s="127">
        <v>15</v>
      </c>
      <c r="S40" s="127">
        <v>11</v>
      </c>
      <c r="T40" s="130">
        <v>6</v>
      </c>
      <c r="U40" s="60">
        <f t="shared" si="1"/>
        <v>265</v>
      </c>
      <c r="AG40" s="95"/>
    </row>
    <row r="41" spans="1:33" ht="18.75" customHeight="1">
      <c r="A41" s="230"/>
      <c r="B41" s="4" t="s">
        <v>14</v>
      </c>
      <c r="C41" s="128">
        <v>3</v>
      </c>
      <c r="D41" s="128">
        <v>4</v>
      </c>
      <c r="E41" s="128">
        <v>11</v>
      </c>
      <c r="F41" s="128">
        <v>13</v>
      </c>
      <c r="G41" s="128">
        <v>14</v>
      </c>
      <c r="H41" s="128"/>
      <c r="I41" s="128">
        <v>10</v>
      </c>
      <c r="J41" s="128">
        <v>9</v>
      </c>
      <c r="K41" s="227"/>
      <c r="L41" s="4" t="s">
        <v>14</v>
      </c>
      <c r="M41" s="128">
        <v>5</v>
      </c>
      <c r="N41" s="128">
        <v>10</v>
      </c>
      <c r="O41" s="128">
        <v>9</v>
      </c>
      <c r="P41" s="128">
        <v>3</v>
      </c>
      <c r="Q41" s="128">
        <v>5</v>
      </c>
      <c r="R41" s="128">
        <v>4</v>
      </c>
      <c r="S41" s="128">
        <v>1</v>
      </c>
      <c r="T41" s="131">
        <v>1</v>
      </c>
      <c r="U41" s="60">
        <f t="shared" si="1"/>
        <v>102</v>
      </c>
      <c r="AG41" s="96"/>
    </row>
    <row r="42" spans="1:33" ht="18.75" customHeight="1">
      <c r="A42" s="230"/>
      <c r="B42" s="4" t="s">
        <v>15</v>
      </c>
      <c r="C42" s="128">
        <v>12</v>
      </c>
      <c r="D42" s="128">
        <v>12</v>
      </c>
      <c r="E42" s="128">
        <v>14</v>
      </c>
      <c r="F42" s="128">
        <v>14</v>
      </c>
      <c r="G42" s="128">
        <v>20</v>
      </c>
      <c r="H42" s="128"/>
      <c r="I42" s="128">
        <v>33</v>
      </c>
      <c r="J42" s="128">
        <v>17</v>
      </c>
      <c r="K42" s="227"/>
      <c r="L42" s="4" t="s">
        <v>15</v>
      </c>
      <c r="M42" s="128">
        <v>22</v>
      </c>
      <c r="N42" s="128">
        <v>31</v>
      </c>
      <c r="O42" s="128">
        <v>30</v>
      </c>
      <c r="P42" s="128">
        <v>27</v>
      </c>
      <c r="Q42" s="128">
        <v>21</v>
      </c>
      <c r="R42" s="128">
        <v>19</v>
      </c>
      <c r="S42" s="128">
        <v>16</v>
      </c>
      <c r="T42" s="131">
        <v>8</v>
      </c>
      <c r="U42" s="60">
        <f t="shared" si="1"/>
        <v>296</v>
      </c>
      <c r="AG42" s="96"/>
    </row>
    <row r="43" spans="1:33" ht="18.75" customHeight="1">
      <c r="A43" s="230"/>
      <c r="B43" s="4" t="s">
        <v>16</v>
      </c>
      <c r="C43" s="128">
        <v>4</v>
      </c>
      <c r="D43" s="128">
        <v>4</v>
      </c>
      <c r="E43" s="128">
        <v>5</v>
      </c>
      <c r="F43" s="128">
        <v>4</v>
      </c>
      <c r="G43" s="128">
        <v>7</v>
      </c>
      <c r="H43" s="128"/>
      <c r="I43" s="128">
        <v>8</v>
      </c>
      <c r="J43" s="128">
        <v>11</v>
      </c>
      <c r="K43" s="227"/>
      <c r="L43" s="4" t="s">
        <v>16</v>
      </c>
      <c r="M43" s="128">
        <v>8</v>
      </c>
      <c r="N43" s="128">
        <v>7</v>
      </c>
      <c r="O43" s="128">
        <v>8</v>
      </c>
      <c r="P43" s="128">
        <v>5</v>
      </c>
      <c r="Q43" s="128">
        <v>3</v>
      </c>
      <c r="R43" s="128">
        <v>2</v>
      </c>
      <c r="S43" s="128">
        <v>0</v>
      </c>
      <c r="T43" s="131">
        <v>2</v>
      </c>
      <c r="U43" s="60">
        <f t="shared" si="1"/>
        <v>78</v>
      </c>
      <c r="AG43" s="96"/>
    </row>
    <row r="44" spans="1:33" ht="18.75" customHeight="1">
      <c r="A44" s="230"/>
      <c r="B44" s="4" t="s">
        <v>17</v>
      </c>
      <c r="C44" s="128">
        <v>3</v>
      </c>
      <c r="D44" s="128">
        <v>3</v>
      </c>
      <c r="E44" s="128">
        <v>8</v>
      </c>
      <c r="F44" s="128">
        <v>8</v>
      </c>
      <c r="G44" s="128">
        <v>5</v>
      </c>
      <c r="H44" s="128"/>
      <c r="I44" s="128">
        <v>10</v>
      </c>
      <c r="J44" s="128">
        <v>1</v>
      </c>
      <c r="K44" s="227"/>
      <c r="L44" s="4" t="s">
        <v>17</v>
      </c>
      <c r="M44" s="128">
        <v>5</v>
      </c>
      <c r="N44" s="128">
        <v>6</v>
      </c>
      <c r="O44" s="128">
        <v>6</v>
      </c>
      <c r="P44" s="128">
        <v>7</v>
      </c>
      <c r="Q44" s="128">
        <v>2</v>
      </c>
      <c r="R44" s="128">
        <v>1</v>
      </c>
      <c r="S44" s="128">
        <v>2</v>
      </c>
      <c r="T44" s="131">
        <v>2</v>
      </c>
      <c r="U44" s="60">
        <f t="shared" si="1"/>
        <v>69</v>
      </c>
      <c r="AG44" s="96"/>
    </row>
    <row r="45" spans="1:33" ht="18.75" customHeight="1">
      <c r="A45" s="231"/>
      <c r="B45" s="61" t="s">
        <v>18</v>
      </c>
      <c r="C45" s="129">
        <v>3</v>
      </c>
      <c r="D45" s="129">
        <v>6</v>
      </c>
      <c r="E45" s="129">
        <v>4</v>
      </c>
      <c r="F45" s="129">
        <v>10</v>
      </c>
      <c r="G45" s="129">
        <v>9</v>
      </c>
      <c r="H45" s="129"/>
      <c r="I45" s="129">
        <v>16</v>
      </c>
      <c r="J45" s="129">
        <v>7</v>
      </c>
      <c r="K45" s="232"/>
      <c r="L45" s="61" t="s">
        <v>18</v>
      </c>
      <c r="M45" s="129">
        <v>5</v>
      </c>
      <c r="N45" s="129">
        <v>2</v>
      </c>
      <c r="O45" s="129">
        <v>12</v>
      </c>
      <c r="P45" s="129">
        <v>6</v>
      </c>
      <c r="Q45" s="129">
        <v>7</v>
      </c>
      <c r="R45" s="129">
        <v>6</v>
      </c>
      <c r="S45" s="129">
        <v>5</v>
      </c>
      <c r="T45" s="132">
        <v>5</v>
      </c>
      <c r="U45" s="60">
        <f t="shared" si="1"/>
        <v>103</v>
      </c>
      <c r="AG45" s="96"/>
    </row>
    <row r="46" spans="1:33" ht="18.75" customHeight="1">
      <c r="AG46" s="96"/>
    </row>
    <row r="47" spans="1:33" ht="18.75" customHeight="1">
      <c r="A47" s="1"/>
      <c r="B47" s="1"/>
      <c r="C47" s="183" t="s">
        <v>0</v>
      </c>
      <c r="D47" s="225"/>
      <c r="E47" s="225"/>
      <c r="F47" s="225"/>
      <c r="G47" s="226"/>
      <c r="H47" s="2"/>
      <c r="I47" s="1"/>
    </row>
    <row r="48" spans="1:33" ht="18.75" customHeight="1">
      <c r="A48" s="1"/>
      <c r="B48" s="183" t="s">
        <v>1</v>
      </c>
      <c r="C48" s="225"/>
      <c r="D48" s="226"/>
      <c r="E48" s="1"/>
      <c r="F48" s="184" t="s">
        <v>93</v>
      </c>
      <c r="G48" s="225"/>
      <c r="H48" s="226"/>
      <c r="I48" s="1"/>
      <c r="K48" s="1"/>
      <c r="L48" s="183" t="s">
        <v>26</v>
      </c>
      <c r="M48" s="225"/>
      <c r="N48" s="226"/>
      <c r="O48" s="1"/>
      <c r="P48" s="184" t="s">
        <v>94</v>
      </c>
      <c r="Q48" s="225"/>
      <c r="R48" s="226"/>
      <c r="S48" s="1"/>
    </row>
    <row r="49" spans="1:40" ht="18.75" customHeight="1">
      <c r="A49" s="54" t="s">
        <v>35</v>
      </c>
      <c r="B49" s="54" t="s">
        <v>4</v>
      </c>
      <c r="C49" s="54" t="s">
        <v>12</v>
      </c>
      <c r="D49" s="54" t="s">
        <v>19</v>
      </c>
      <c r="E49" s="54" t="s">
        <v>20</v>
      </c>
      <c r="F49" s="54" t="s">
        <v>21</v>
      </c>
      <c r="G49" s="54" t="s">
        <v>22</v>
      </c>
      <c r="H49" s="54" t="s">
        <v>23</v>
      </c>
      <c r="I49" s="54" t="s">
        <v>24</v>
      </c>
      <c r="J49" s="54" t="s">
        <v>25</v>
      </c>
      <c r="K49" s="54" t="s">
        <v>35</v>
      </c>
      <c r="L49" s="54" t="s">
        <v>4</v>
      </c>
      <c r="M49" s="54" t="s">
        <v>27</v>
      </c>
      <c r="N49" s="54" t="s">
        <v>28</v>
      </c>
      <c r="O49" s="54" t="s">
        <v>29</v>
      </c>
      <c r="P49" s="54" t="s">
        <v>30</v>
      </c>
      <c r="Q49" s="54" t="s">
        <v>31</v>
      </c>
      <c r="R49" s="54" t="s">
        <v>32</v>
      </c>
      <c r="S49" s="54" t="s">
        <v>33</v>
      </c>
      <c r="T49" s="54" t="s">
        <v>34</v>
      </c>
      <c r="U49" s="54" t="s">
        <v>55</v>
      </c>
    </row>
    <row r="50" spans="1:40" ht="18.75" customHeight="1">
      <c r="A50" s="195" t="s">
        <v>5</v>
      </c>
      <c r="B50" s="56" t="s">
        <v>13</v>
      </c>
      <c r="C50" s="57"/>
      <c r="D50" s="57"/>
      <c r="E50" s="56">
        <v>6</v>
      </c>
      <c r="F50" s="56">
        <v>15</v>
      </c>
      <c r="G50" s="56">
        <v>25</v>
      </c>
      <c r="H50" s="56">
        <v>28</v>
      </c>
      <c r="I50" s="56">
        <v>29</v>
      </c>
      <c r="J50" s="56"/>
      <c r="K50" s="196" t="s">
        <v>5</v>
      </c>
      <c r="L50" s="56" t="s">
        <v>13</v>
      </c>
      <c r="M50" s="56">
        <v>27</v>
      </c>
      <c r="N50" s="56">
        <v>18</v>
      </c>
      <c r="O50" s="56">
        <v>13</v>
      </c>
      <c r="P50" s="56">
        <v>9</v>
      </c>
      <c r="Q50" s="56">
        <v>11</v>
      </c>
      <c r="R50" s="57"/>
      <c r="S50" s="57"/>
      <c r="T50" s="58"/>
      <c r="U50" s="59">
        <f>SUM(M50:T50,C50:J50)</f>
        <v>181</v>
      </c>
      <c r="W50" s="197" t="s">
        <v>95</v>
      </c>
      <c r="X50" s="198"/>
      <c r="AG50" s="190" t="s">
        <v>58</v>
      </c>
      <c r="AH50" s="191"/>
      <c r="AI50" s="191"/>
      <c r="AJ50" s="191"/>
      <c r="AK50" s="191"/>
      <c r="AL50" s="191"/>
      <c r="AM50" s="191"/>
      <c r="AN50" s="192"/>
    </row>
    <row r="51" spans="1:40" ht="18.75" customHeight="1">
      <c r="A51" s="230"/>
      <c r="B51" s="4" t="s">
        <v>14</v>
      </c>
      <c r="C51" s="5"/>
      <c r="D51" s="5"/>
      <c r="E51" s="4">
        <v>5</v>
      </c>
      <c r="F51" s="4">
        <v>5</v>
      </c>
      <c r="G51" s="4">
        <v>5</v>
      </c>
      <c r="H51" s="4">
        <v>5</v>
      </c>
      <c r="I51" s="4">
        <v>13</v>
      </c>
      <c r="J51" s="4"/>
      <c r="K51" s="227"/>
      <c r="L51" s="4" t="s">
        <v>14</v>
      </c>
      <c r="M51" s="4">
        <v>5</v>
      </c>
      <c r="N51" s="4">
        <v>6</v>
      </c>
      <c r="O51" s="4">
        <v>3</v>
      </c>
      <c r="P51" s="4">
        <v>5</v>
      </c>
      <c r="Q51" s="4">
        <v>3</v>
      </c>
      <c r="R51" s="5"/>
      <c r="S51" s="5"/>
      <c r="T51" s="49"/>
      <c r="U51" s="59">
        <f t="shared" ref="U51:U91" si="10">SUM(M51:T51,C51:J51)</f>
        <v>55</v>
      </c>
      <c r="W51" s="55" t="s">
        <v>5</v>
      </c>
      <c r="X51" s="48">
        <f>SUM(U50:U55)</f>
        <v>583</v>
      </c>
      <c r="AG51" s="98" t="s">
        <v>4</v>
      </c>
      <c r="AH51" s="98" t="s">
        <v>5</v>
      </c>
      <c r="AI51" s="98" t="s">
        <v>6</v>
      </c>
      <c r="AJ51" s="98" t="s">
        <v>7</v>
      </c>
      <c r="AK51" s="98" t="s">
        <v>8</v>
      </c>
      <c r="AL51" s="98" t="s">
        <v>9</v>
      </c>
      <c r="AM51" s="98" t="s">
        <v>10</v>
      </c>
      <c r="AN51" s="98" t="s">
        <v>11</v>
      </c>
    </row>
    <row r="52" spans="1:40" ht="18.75" customHeight="1">
      <c r="A52" s="230"/>
      <c r="B52" s="4" t="s">
        <v>15</v>
      </c>
      <c r="C52" s="5"/>
      <c r="D52" s="5"/>
      <c r="E52" s="4">
        <v>8</v>
      </c>
      <c r="F52" s="4">
        <v>15</v>
      </c>
      <c r="G52" s="4">
        <v>24</v>
      </c>
      <c r="H52" s="4">
        <v>30</v>
      </c>
      <c r="I52" s="4">
        <v>24</v>
      </c>
      <c r="J52" s="4"/>
      <c r="K52" s="227"/>
      <c r="L52" s="4" t="s">
        <v>15</v>
      </c>
      <c r="M52" s="4">
        <v>21</v>
      </c>
      <c r="N52" s="4">
        <v>12</v>
      </c>
      <c r="O52" s="4">
        <v>10</v>
      </c>
      <c r="P52" s="4">
        <v>11</v>
      </c>
      <c r="Q52" s="4">
        <v>1</v>
      </c>
      <c r="R52" s="5"/>
      <c r="S52" s="5"/>
      <c r="T52" s="49"/>
      <c r="U52" s="59">
        <f t="shared" si="10"/>
        <v>156</v>
      </c>
      <c r="W52" s="55" t="s">
        <v>6</v>
      </c>
      <c r="X52" s="48">
        <f>SUM(U56:U61)</f>
        <v>543</v>
      </c>
      <c r="AG52" s="79" t="s">
        <v>13</v>
      </c>
      <c r="AH52" s="79">
        <f t="shared" ref="AH52:AH57" si="11">U50</f>
        <v>181</v>
      </c>
      <c r="AI52" s="79">
        <f t="shared" ref="AI52:AI57" si="12">U56</f>
        <v>164</v>
      </c>
      <c r="AJ52" s="79">
        <f t="shared" ref="AJ52:AJ57" si="13">U62</f>
        <v>369</v>
      </c>
      <c r="AK52" s="79">
        <f t="shared" ref="AK52:AK57" si="14">U68</f>
        <v>373</v>
      </c>
      <c r="AL52" s="79">
        <f t="shared" ref="AL52:AL57" si="15">U74</f>
        <v>281</v>
      </c>
      <c r="AM52" s="79">
        <f t="shared" ref="AM52:AM57" si="16">U80</f>
        <v>333</v>
      </c>
      <c r="AN52" s="79">
        <f t="shared" ref="AN52:AN57" si="17">U86</f>
        <v>249</v>
      </c>
    </row>
    <row r="53" spans="1:40" ht="18.75" customHeight="1">
      <c r="A53" s="230"/>
      <c r="B53" s="4" t="s">
        <v>16</v>
      </c>
      <c r="C53" s="5"/>
      <c r="D53" s="5"/>
      <c r="E53" s="4">
        <v>3</v>
      </c>
      <c r="F53" s="4">
        <v>5</v>
      </c>
      <c r="G53" s="4">
        <v>11</v>
      </c>
      <c r="H53" s="4">
        <v>5</v>
      </c>
      <c r="I53" s="4">
        <v>5</v>
      </c>
      <c r="J53" s="4"/>
      <c r="K53" s="227"/>
      <c r="L53" s="4" t="s">
        <v>16</v>
      </c>
      <c r="M53" s="4">
        <v>3</v>
      </c>
      <c r="N53" s="4">
        <v>6</v>
      </c>
      <c r="O53" s="4">
        <v>5</v>
      </c>
      <c r="P53" s="4">
        <v>1</v>
      </c>
      <c r="Q53" s="4">
        <v>4</v>
      </c>
      <c r="R53" s="5"/>
      <c r="S53" s="5"/>
      <c r="T53" s="49"/>
      <c r="U53" s="59">
        <f t="shared" si="10"/>
        <v>48</v>
      </c>
      <c r="W53" s="55" t="s">
        <v>7</v>
      </c>
      <c r="X53" s="48">
        <f>SUM(U62:U67)</f>
        <v>1264</v>
      </c>
      <c r="AG53" s="97" t="s">
        <v>14</v>
      </c>
      <c r="AH53" s="97">
        <f t="shared" si="11"/>
        <v>55</v>
      </c>
      <c r="AI53" s="97">
        <f t="shared" si="12"/>
        <v>49</v>
      </c>
      <c r="AJ53" s="97">
        <f t="shared" si="13"/>
        <v>160</v>
      </c>
      <c r="AK53" s="97">
        <f t="shared" si="14"/>
        <v>131</v>
      </c>
      <c r="AL53" s="97">
        <f t="shared" si="15"/>
        <v>108</v>
      </c>
      <c r="AM53" s="97">
        <f t="shared" si="16"/>
        <v>138</v>
      </c>
      <c r="AN53" s="97">
        <f t="shared" si="17"/>
        <v>119</v>
      </c>
    </row>
    <row r="54" spans="1:40" ht="18.75" customHeight="1">
      <c r="A54" s="230"/>
      <c r="B54" s="4" t="s">
        <v>17</v>
      </c>
      <c r="C54" s="5"/>
      <c r="D54" s="5"/>
      <c r="E54" s="4">
        <v>5</v>
      </c>
      <c r="F54" s="4">
        <v>10</v>
      </c>
      <c r="G54" s="4">
        <v>12</v>
      </c>
      <c r="H54" s="4">
        <v>9</v>
      </c>
      <c r="I54" s="4">
        <v>8</v>
      </c>
      <c r="J54" s="4"/>
      <c r="K54" s="227"/>
      <c r="L54" s="4" t="s">
        <v>17</v>
      </c>
      <c r="M54" s="4">
        <v>8</v>
      </c>
      <c r="N54" s="4">
        <v>4</v>
      </c>
      <c r="O54" s="4">
        <v>2</v>
      </c>
      <c r="P54" s="4">
        <v>2</v>
      </c>
      <c r="Q54" s="4">
        <v>2</v>
      </c>
      <c r="R54" s="5"/>
      <c r="S54" s="5"/>
      <c r="T54" s="49"/>
      <c r="U54" s="59">
        <f t="shared" si="10"/>
        <v>62</v>
      </c>
      <c r="W54" s="55" t="s">
        <v>61</v>
      </c>
      <c r="X54" s="48">
        <f>SUM(U68:U73)</f>
        <v>1279</v>
      </c>
      <c r="AG54" s="79" t="s">
        <v>15</v>
      </c>
      <c r="AH54" s="79">
        <f t="shared" si="11"/>
        <v>156</v>
      </c>
      <c r="AI54" s="79">
        <f t="shared" si="12"/>
        <v>173</v>
      </c>
      <c r="AJ54" s="79">
        <f t="shared" si="13"/>
        <v>385</v>
      </c>
      <c r="AK54" s="79">
        <f t="shared" si="14"/>
        <v>442</v>
      </c>
      <c r="AL54" s="79">
        <f t="shared" si="15"/>
        <v>307</v>
      </c>
      <c r="AM54" s="79">
        <f t="shared" si="16"/>
        <v>332</v>
      </c>
      <c r="AN54" s="79">
        <f t="shared" si="17"/>
        <v>269</v>
      </c>
    </row>
    <row r="55" spans="1:40" ht="18.75" customHeight="1">
      <c r="A55" s="230"/>
      <c r="B55" s="46" t="s">
        <v>18</v>
      </c>
      <c r="C55" s="64"/>
      <c r="D55" s="64"/>
      <c r="E55" s="46">
        <v>11</v>
      </c>
      <c r="F55" s="46">
        <v>4</v>
      </c>
      <c r="G55" s="46">
        <v>15</v>
      </c>
      <c r="H55" s="46">
        <v>12</v>
      </c>
      <c r="I55" s="46">
        <v>8</v>
      </c>
      <c r="J55" s="46"/>
      <c r="K55" s="227"/>
      <c r="L55" s="46" t="s">
        <v>18</v>
      </c>
      <c r="M55" s="46">
        <v>11</v>
      </c>
      <c r="N55" s="46">
        <v>9</v>
      </c>
      <c r="O55" s="46">
        <v>5</v>
      </c>
      <c r="P55" s="46">
        <v>2</v>
      </c>
      <c r="Q55" s="46">
        <v>4</v>
      </c>
      <c r="R55" s="64"/>
      <c r="S55" s="64"/>
      <c r="T55" s="65"/>
      <c r="U55" s="59">
        <f t="shared" si="10"/>
        <v>81</v>
      </c>
      <c r="W55" s="55" t="s">
        <v>9</v>
      </c>
      <c r="X55" s="48">
        <f>SUM(U74:U79)</f>
        <v>950</v>
      </c>
      <c r="AG55" s="97" t="s">
        <v>16</v>
      </c>
      <c r="AH55" s="97">
        <f t="shared" si="11"/>
        <v>48</v>
      </c>
      <c r="AI55" s="97">
        <f t="shared" si="12"/>
        <v>59</v>
      </c>
      <c r="AJ55" s="97">
        <f t="shared" si="13"/>
        <v>116</v>
      </c>
      <c r="AK55" s="97">
        <f t="shared" si="14"/>
        <v>94</v>
      </c>
      <c r="AL55" s="97">
        <f t="shared" si="15"/>
        <v>70</v>
      </c>
      <c r="AM55" s="97">
        <f t="shared" si="16"/>
        <v>71</v>
      </c>
      <c r="AN55" s="97">
        <f t="shared" si="17"/>
        <v>64</v>
      </c>
    </row>
    <row r="56" spans="1:40" ht="18.75" customHeight="1">
      <c r="A56" s="193" t="s">
        <v>6</v>
      </c>
      <c r="B56" s="63" t="s">
        <v>13</v>
      </c>
      <c r="C56" s="57"/>
      <c r="D56" s="57"/>
      <c r="E56" s="57"/>
      <c r="F56" s="63">
        <v>17</v>
      </c>
      <c r="G56" s="63">
        <v>16</v>
      </c>
      <c r="H56" s="63">
        <v>21</v>
      </c>
      <c r="I56" s="63">
        <v>24</v>
      </c>
      <c r="J56" s="63">
        <v>22</v>
      </c>
      <c r="K56" s="194" t="s">
        <v>6</v>
      </c>
      <c r="L56" s="63" t="s">
        <v>13</v>
      </c>
      <c r="M56" s="63">
        <v>24</v>
      </c>
      <c r="N56" s="63">
        <v>12</v>
      </c>
      <c r="O56" s="63">
        <v>14</v>
      </c>
      <c r="P56" s="63">
        <v>14</v>
      </c>
      <c r="Q56" s="57"/>
      <c r="R56" s="57"/>
      <c r="S56" s="57"/>
      <c r="T56" s="58"/>
      <c r="U56" s="59">
        <f t="shared" si="10"/>
        <v>164</v>
      </c>
      <c r="W56" s="55" t="s">
        <v>10</v>
      </c>
      <c r="X56" s="48">
        <f>SUM(U80:U85)</f>
        <v>1100</v>
      </c>
      <c r="AG56" s="79" t="s">
        <v>17</v>
      </c>
      <c r="AH56" s="79">
        <f t="shared" si="11"/>
        <v>62</v>
      </c>
      <c r="AI56" s="79">
        <f t="shared" si="12"/>
        <v>58</v>
      </c>
      <c r="AJ56" s="79">
        <f t="shared" si="13"/>
        <v>111</v>
      </c>
      <c r="AK56" s="79">
        <f t="shared" si="14"/>
        <v>120</v>
      </c>
      <c r="AL56" s="79">
        <f t="shared" si="15"/>
        <v>102</v>
      </c>
      <c r="AM56" s="79">
        <f t="shared" si="16"/>
        <v>101</v>
      </c>
      <c r="AN56" s="79">
        <f t="shared" si="17"/>
        <v>68</v>
      </c>
    </row>
    <row r="57" spans="1:40" ht="18.75" customHeight="1">
      <c r="A57" s="230"/>
      <c r="B57" s="6" t="s">
        <v>14</v>
      </c>
      <c r="C57" s="5"/>
      <c r="D57" s="5"/>
      <c r="E57" s="5"/>
      <c r="F57" s="6">
        <v>5</v>
      </c>
      <c r="G57" s="6">
        <v>4</v>
      </c>
      <c r="H57" s="6">
        <v>8</v>
      </c>
      <c r="I57" s="6">
        <v>5</v>
      </c>
      <c r="J57" s="6">
        <v>8</v>
      </c>
      <c r="K57" s="227"/>
      <c r="L57" s="6" t="s">
        <v>14</v>
      </c>
      <c r="M57" s="6">
        <v>6</v>
      </c>
      <c r="N57" s="6">
        <v>5</v>
      </c>
      <c r="O57" s="6">
        <v>3</v>
      </c>
      <c r="P57" s="6">
        <v>5</v>
      </c>
      <c r="Q57" s="5"/>
      <c r="R57" s="5"/>
      <c r="S57" s="5"/>
      <c r="T57" s="49"/>
      <c r="U57" s="59">
        <f t="shared" si="10"/>
        <v>49</v>
      </c>
      <c r="W57" s="81" t="s">
        <v>11</v>
      </c>
      <c r="X57" s="80">
        <f>SUM(U86:U91)</f>
        <v>858</v>
      </c>
      <c r="AG57" s="97" t="s">
        <v>18</v>
      </c>
      <c r="AH57" s="97">
        <f t="shared" si="11"/>
        <v>81</v>
      </c>
      <c r="AI57" s="97">
        <f t="shared" si="12"/>
        <v>40</v>
      </c>
      <c r="AJ57" s="97">
        <f t="shared" si="13"/>
        <v>123</v>
      </c>
      <c r="AK57" s="97">
        <f t="shared" si="14"/>
        <v>119</v>
      </c>
      <c r="AL57" s="97">
        <f t="shared" si="15"/>
        <v>82</v>
      </c>
      <c r="AM57" s="97">
        <f t="shared" si="16"/>
        <v>125</v>
      </c>
      <c r="AN57" s="97">
        <f t="shared" si="17"/>
        <v>89</v>
      </c>
    </row>
    <row r="58" spans="1:40" ht="18.75" customHeight="1">
      <c r="A58" s="230"/>
      <c r="B58" s="6" t="s">
        <v>15</v>
      </c>
      <c r="C58" s="5"/>
      <c r="D58" s="5"/>
      <c r="E58" s="5"/>
      <c r="F58" s="6">
        <v>6</v>
      </c>
      <c r="G58" s="6">
        <v>16</v>
      </c>
      <c r="H58" s="6">
        <v>20</v>
      </c>
      <c r="I58" s="6">
        <v>22</v>
      </c>
      <c r="J58" s="6">
        <v>25</v>
      </c>
      <c r="K58" s="227"/>
      <c r="L58" s="6" t="s">
        <v>15</v>
      </c>
      <c r="M58" s="6">
        <v>18</v>
      </c>
      <c r="N58" s="6">
        <v>19</v>
      </c>
      <c r="O58" s="6">
        <v>28</v>
      </c>
      <c r="P58" s="6">
        <v>19</v>
      </c>
      <c r="Q58" s="5"/>
      <c r="R58" s="5"/>
      <c r="S58" s="5"/>
      <c r="T58" s="49"/>
      <c r="U58" s="59">
        <f t="shared" si="10"/>
        <v>173</v>
      </c>
      <c r="W58" s="79" t="s">
        <v>63</v>
      </c>
      <c r="X58" s="82">
        <f>SUM(X51:X57)</f>
        <v>6577</v>
      </c>
    </row>
    <row r="59" spans="1:40" ht="18.75" customHeight="1">
      <c r="A59" s="230"/>
      <c r="B59" s="6" t="s">
        <v>16</v>
      </c>
      <c r="C59" s="5"/>
      <c r="D59" s="5"/>
      <c r="E59" s="5"/>
      <c r="F59" s="6">
        <v>3</v>
      </c>
      <c r="G59" s="6">
        <v>9</v>
      </c>
      <c r="H59" s="6">
        <v>9</v>
      </c>
      <c r="I59" s="6">
        <v>6</v>
      </c>
      <c r="J59" s="6">
        <v>5</v>
      </c>
      <c r="K59" s="227"/>
      <c r="L59" s="6" t="s">
        <v>16</v>
      </c>
      <c r="M59" s="6">
        <v>7</v>
      </c>
      <c r="N59" s="6">
        <v>9</v>
      </c>
      <c r="O59" s="6">
        <v>8</v>
      </c>
      <c r="P59" s="6">
        <v>3</v>
      </c>
      <c r="Q59" s="5"/>
      <c r="R59" s="5"/>
      <c r="S59" s="5"/>
      <c r="T59" s="49"/>
      <c r="U59" s="59">
        <f t="shared" si="10"/>
        <v>59</v>
      </c>
    </row>
    <row r="60" spans="1:40" ht="18.75" customHeight="1">
      <c r="A60" s="230"/>
      <c r="B60" s="6" t="s">
        <v>17</v>
      </c>
      <c r="C60" s="5"/>
      <c r="D60" s="5"/>
      <c r="E60" s="5"/>
      <c r="F60" s="6">
        <v>3</v>
      </c>
      <c r="G60" s="6">
        <v>8</v>
      </c>
      <c r="H60" s="6">
        <v>9</v>
      </c>
      <c r="I60" s="6">
        <v>6</v>
      </c>
      <c r="J60" s="6">
        <v>8</v>
      </c>
      <c r="K60" s="227"/>
      <c r="L60" s="6" t="s">
        <v>17</v>
      </c>
      <c r="M60" s="6">
        <v>9</v>
      </c>
      <c r="N60" s="6">
        <v>6</v>
      </c>
      <c r="O60" s="6">
        <v>5</v>
      </c>
      <c r="P60" s="6">
        <v>4</v>
      </c>
      <c r="Q60" s="5"/>
      <c r="R60" s="5"/>
      <c r="S60" s="5"/>
      <c r="T60" s="49"/>
      <c r="U60" s="59">
        <f t="shared" si="10"/>
        <v>58</v>
      </c>
    </row>
    <row r="61" spans="1:40" ht="18.75" customHeight="1">
      <c r="A61" s="230"/>
      <c r="B61" s="47" t="s">
        <v>18</v>
      </c>
      <c r="C61" s="64"/>
      <c r="D61" s="64"/>
      <c r="E61" s="64"/>
      <c r="F61" s="47">
        <v>4</v>
      </c>
      <c r="G61" s="47">
        <v>4</v>
      </c>
      <c r="H61" s="47">
        <v>8</v>
      </c>
      <c r="I61" s="47">
        <v>5</v>
      </c>
      <c r="J61" s="47">
        <v>3</v>
      </c>
      <c r="K61" s="227"/>
      <c r="L61" s="47" t="s">
        <v>18</v>
      </c>
      <c r="M61" s="47">
        <v>2</v>
      </c>
      <c r="N61" s="47">
        <v>5</v>
      </c>
      <c r="O61" s="47">
        <v>5</v>
      </c>
      <c r="P61" s="47">
        <v>4</v>
      </c>
      <c r="Q61" s="64"/>
      <c r="R61" s="64"/>
      <c r="S61" s="64"/>
      <c r="T61" s="65"/>
      <c r="U61" s="59">
        <f t="shared" si="10"/>
        <v>40</v>
      </c>
    </row>
    <row r="62" spans="1:40" ht="18.75" customHeight="1">
      <c r="A62" s="195" t="s">
        <v>7</v>
      </c>
      <c r="B62" s="56" t="s">
        <v>13</v>
      </c>
      <c r="C62" s="56">
        <v>9</v>
      </c>
      <c r="D62" s="56">
        <v>20</v>
      </c>
      <c r="E62" s="56">
        <v>25</v>
      </c>
      <c r="F62" s="56"/>
      <c r="G62" s="56">
        <v>39</v>
      </c>
      <c r="H62" s="56">
        <v>43</v>
      </c>
      <c r="I62" s="56">
        <v>31</v>
      </c>
      <c r="J62" s="56">
        <v>17</v>
      </c>
      <c r="K62" s="196" t="s">
        <v>7</v>
      </c>
      <c r="L62" s="56" t="s">
        <v>13</v>
      </c>
      <c r="M62" s="56">
        <v>25</v>
      </c>
      <c r="N62" s="56">
        <v>24</v>
      </c>
      <c r="O62" s="56">
        <v>32</v>
      </c>
      <c r="P62" s="56">
        <v>15</v>
      </c>
      <c r="Q62" s="56">
        <v>16</v>
      </c>
      <c r="R62" s="56">
        <v>27</v>
      </c>
      <c r="S62" s="56">
        <v>22</v>
      </c>
      <c r="T62" s="67">
        <v>24</v>
      </c>
      <c r="U62" s="59">
        <f t="shared" si="10"/>
        <v>369</v>
      </c>
    </row>
    <row r="63" spans="1:40" ht="18.75" customHeight="1">
      <c r="A63" s="230"/>
      <c r="B63" s="4" t="s">
        <v>14</v>
      </c>
      <c r="C63" s="4">
        <v>4</v>
      </c>
      <c r="D63" s="4">
        <v>10</v>
      </c>
      <c r="E63" s="4">
        <v>12</v>
      </c>
      <c r="F63" s="4"/>
      <c r="G63" s="4">
        <v>11</v>
      </c>
      <c r="H63" s="4">
        <v>15</v>
      </c>
      <c r="I63" s="4">
        <v>14</v>
      </c>
      <c r="J63" s="4">
        <v>9</v>
      </c>
      <c r="K63" s="227"/>
      <c r="L63" s="4" t="s">
        <v>14</v>
      </c>
      <c r="M63" s="4">
        <v>14</v>
      </c>
      <c r="N63" s="4">
        <v>15</v>
      </c>
      <c r="O63" s="4">
        <v>15</v>
      </c>
      <c r="P63" s="4">
        <v>14</v>
      </c>
      <c r="Q63" s="4">
        <v>8</v>
      </c>
      <c r="R63" s="4">
        <v>5</v>
      </c>
      <c r="S63" s="4">
        <v>7</v>
      </c>
      <c r="T63" s="50">
        <v>7</v>
      </c>
      <c r="U63" s="59">
        <f t="shared" si="10"/>
        <v>160</v>
      </c>
    </row>
    <row r="64" spans="1:40" ht="18.75" customHeight="1">
      <c r="A64" s="230"/>
      <c r="B64" s="4" t="s">
        <v>15</v>
      </c>
      <c r="C64" s="4">
        <v>18</v>
      </c>
      <c r="D64" s="4">
        <v>24</v>
      </c>
      <c r="E64" s="4">
        <v>28</v>
      </c>
      <c r="F64" s="4"/>
      <c r="G64" s="4">
        <v>29</v>
      </c>
      <c r="H64" s="4">
        <v>26</v>
      </c>
      <c r="I64" s="4">
        <v>27</v>
      </c>
      <c r="J64" s="4">
        <v>21</v>
      </c>
      <c r="K64" s="227"/>
      <c r="L64" s="4" t="s">
        <v>15</v>
      </c>
      <c r="M64" s="4">
        <v>20</v>
      </c>
      <c r="N64" s="4">
        <v>25</v>
      </c>
      <c r="O64" s="4">
        <v>30</v>
      </c>
      <c r="P64" s="4">
        <v>20</v>
      </c>
      <c r="Q64" s="4">
        <v>20</v>
      </c>
      <c r="R64" s="4">
        <v>31</v>
      </c>
      <c r="S64" s="4">
        <v>34</v>
      </c>
      <c r="T64" s="50">
        <v>32</v>
      </c>
      <c r="U64" s="59">
        <f t="shared" si="10"/>
        <v>385</v>
      </c>
    </row>
    <row r="65" spans="1:21" ht="18.75" customHeight="1">
      <c r="A65" s="230"/>
      <c r="B65" s="4" t="s">
        <v>16</v>
      </c>
      <c r="C65" s="4">
        <v>3</v>
      </c>
      <c r="D65" s="4">
        <v>7</v>
      </c>
      <c r="E65" s="4">
        <v>12</v>
      </c>
      <c r="F65" s="4"/>
      <c r="G65" s="4">
        <v>14</v>
      </c>
      <c r="H65" s="4">
        <v>9</v>
      </c>
      <c r="I65" s="4">
        <v>12</v>
      </c>
      <c r="J65" s="4">
        <v>10</v>
      </c>
      <c r="K65" s="227"/>
      <c r="L65" s="4" t="s">
        <v>16</v>
      </c>
      <c r="M65" s="4">
        <v>10</v>
      </c>
      <c r="N65" s="4">
        <v>12</v>
      </c>
      <c r="O65" s="4">
        <v>7</v>
      </c>
      <c r="P65" s="4">
        <v>4</v>
      </c>
      <c r="Q65" s="4">
        <v>0</v>
      </c>
      <c r="R65" s="4">
        <v>8</v>
      </c>
      <c r="S65" s="4">
        <v>6</v>
      </c>
      <c r="T65" s="50">
        <v>2</v>
      </c>
      <c r="U65" s="59">
        <f t="shared" si="10"/>
        <v>116</v>
      </c>
    </row>
    <row r="66" spans="1:21" ht="18.75" customHeight="1">
      <c r="A66" s="230"/>
      <c r="B66" s="4" t="s">
        <v>17</v>
      </c>
      <c r="C66" s="4">
        <v>4</v>
      </c>
      <c r="D66" s="4">
        <v>5</v>
      </c>
      <c r="E66" s="4">
        <v>7</v>
      </c>
      <c r="F66" s="4"/>
      <c r="G66" s="4">
        <v>9</v>
      </c>
      <c r="H66" s="4">
        <v>8</v>
      </c>
      <c r="I66" s="4">
        <v>7</v>
      </c>
      <c r="J66" s="4">
        <v>5</v>
      </c>
      <c r="K66" s="227"/>
      <c r="L66" s="4" t="s">
        <v>17</v>
      </c>
      <c r="M66" s="4">
        <v>9</v>
      </c>
      <c r="N66" s="4">
        <v>7</v>
      </c>
      <c r="O66" s="4">
        <v>7</v>
      </c>
      <c r="P66" s="4">
        <v>8</v>
      </c>
      <c r="Q66" s="4">
        <v>14</v>
      </c>
      <c r="R66" s="4">
        <v>10</v>
      </c>
      <c r="S66" s="4">
        <v>5</v>
      </c>
      <c r="T66" s="50">
        <v>6</v>
      </c>
      <c r="U66" s="59">
        <f t="shared" si="10"/>
        <v>111</v>
      </c>
    </row>
    <row r="67" spans="1:21" ht="18.75" customHeight="1">
      <c r="A67" s="230"/>
      <c r="B67" s="46" t="s">
        <v>18</v>
      </c>
      <c r="C67" s="46">
        <v>8</v>
      </c>
      <c r="D67" s="46">
        <v>4</v>
      </c>
      <c r="E67" s="46">
        <v>10</v>
      </c>
      <c r="F67" s="46"/>
      <c r="G67" s="46">
        <v>13</v>
      </c>
      <c r="H67" s="46">
        <v>16</v>
      </c>
      <c r="I67" s="46">
        <v>14</v>
      </c>
      <c r="J67" s="46">
        <v>9</v>
      </c>
      <c r="K67" s="227"/>
      <c r="L67" s="46" t="s">
        <v>18</v>
      </c>
      <c r="M67" s="46">
        <v>4</v>
      </c>
      <c r="N67" s="46">
        <v>10</v>
      </c>
      <c r="O67" s="46">
        <v>2</v>
      </c>
      <c r="P67" s="46">
        <v>5</v>
      </c>
      <c r="Q67" s="46">
        <v>7</v>
      </c>
      <c r="R67" s="46">
        <v>8</v>
      </c>
      <c r="S67" s="46">
        <v>7</v>
      </c>
      <c r="T67" s="69">
        <v>6</v>
      </c>
      <c r="U67" s="59">
        <f t="shared" si="10"/>
        <v>123</v>
      </c>
    </row>
    <row r="68" spans="1:21" ht="18.75" customHeight="1">
      <c r="A68" s="193" t="s">
        <v>8</v>
      </c>
      <c r="B68" s="63" t="s">
        <v>13</v>
      </c>
      <c r="C68" s="63">
        <v>23</v>
      </c>
      <c r="D68" s="63">
        <v>25</v>
      </c>
      <c r="E68" s="63">
        <v>17</v>
      </c>
      <c r="F68" s="63">
        <v>23</v>
      </c>
      <c r="G68" s="63">
        <v>27</v>
      </c>
      <c r="H68" s="63">
        <v>24</v>
      </c>
      <c r="I68" s="63">
        <v>36</v>
      </c>
      <c r="J68" s="63">
        <v>26</v>
      </c>
      <c r="K68" s="194" t="s">
        <v>8</v>
      </c>
      <c r="L68" s="63" t="s">
        <v>13</v>
      </c>
      <c r="M68" s="63">
        <v>22</v>
      </c>
      <c r="N68" s="63">
        <v>15</v>
      </c>
      <c r="O68" s="63">
        <v>19</v>
      </c>
      <c r="P68" s="63">
        <v>23</v>
      </c>
      <c r="Q68" s="63">
        <v>31</v>
      </c>
      <c r="R68" s="63">
        <v>31</v>
      </c>
      <c r="S68" s="63">
        <v>17</v>
      </c>
      <c r="T68" s="68">
        <v>14</v>
      </c>
      <c r="U68" s="59">
        <f t="shared" si="10"/>
        <v>373</v>
      </c>
    </row>
    <row r="69" spans="1:21" ht="18.75" customHeight="1">
      <c r="A69" s="230"/>
      <c r="B69" s="6" t="s">
        <v>14</v>
      </c>
      <c r="C69" s="6">
        <v>4</v>
      </c>
      <c r="D69" s="6">
        <v>5</v>
      </c>
      <c r="E69" s="6">
        <v>13</v>
      </c>
      <c r="F69" s="6">
        <v>11</v>
      </c>
      <c r="G69" s="6">
        <v>9</v>
      </c>
      <c r="H69" s="6">
        <v>12</v>
      </c>
      <c r="I69" s="6">
        <v>14</v>
      </c>
      <c r="J69" s="6">
        <v>8</v>
      </c>
      <c r="K69" s="227"/>
      <c r="L69" s="6" t="s">
        <v>14</v>
      </c>
      <c r="M69" s="6">
        <v>8</v>
      </c>
      <c r="N69" s="6">
        <v>8</v>
      </c>
      <c r="O69" s="6">
        <v>8</v>
      </c>
      <c r="P69" s="6">
        <v>5</v>
      </c>
      <c r="Q69" s="6">
        <v>9</v>
      </c>
      <c r="R69" s="6">
        <v>4</v>
      </c>
      <c r="S69" s="6">
        <v>7</v>
      </c>
      <c r="T69" s="51">
        <v>6</v>
      </c>
      <c r="U69" s="59">
        <f t="shared" si="10"/>
        <v>131</v>
      </c>
    </row>
    <row r="70" spans="1:21" ht="18.75" customHeight="1">
      <c r="A70" s="230"/>
      <c r="B70" s="6" t="s">
        <v>15</v>
      </c>
      <c r="C70" s="6">
        <v>19</v>
      </c>
      <c r="D70" s="6">
        <v>28</v>
      </c>
      <c r="E70" s="6">
        <v>18</v>
      </c>
      <c r="F70" s="6">
        <v>22</v>
      </c>
      <c r="G70" s="6">
        <v>31</v>
      </c>
      <c r="H70" s="6">
        <v>42</v>
      </c>
      <c r="I70" s="6">
        <v>32</v>
      </c>
      <c r="J70" s="6">
        <v>29</v>
      </c>
      <c r="K70" s="227"/>
      <c r="L70" s="6" t="s">
        <v>15</v>
      </c>
      <c r="M70" s="6">
        <v>19</v>
      </c>
      <c r="N70" s="6">
        <v>22</v>
      </c>
      <c r="O70" s="6">
        <v>24</v>
      </c>
      <c r="P70" s="6">
        <v>35</v>
      </c>
      <c r="Q70" s="6">
        <v>21</v>
      </c>
      <c r="R70" s="6">
        <v>32</v>
      </c>
      <c r="S70" s="6">
        <v>32</v>
      </c>
      <c r="T70" s="51">
        <v>36</v>
      </c>
      <c r="U70" s="59">
        <f t="shared" si="10"/>
        <v>442</v>
      </c>
    </row>
    <row r="71" spans="1:21" ht="18.75" customHeight="1">
      <c r="A71" s="230"/>
      <c r="B71" s="6" t="s">
        <v>16</v>
      </c>
      <c r="C71" s="6">
        <v>3</v>
      </c>
      <c r="D71" s="6">
        <v>4</v>
      </c>
      <c r="E71" s="6">
        <v>3</v>
      </c>
      <c r="F71" s="6">
        <v>8</v>
      </c>
      <c r="G71" s="6">
        <v>11</v>
      </c>
      <c r="H71" s="6">
        <v>18</v>
      </c>
      <c r="I71" s="6">
        <v>5</v>
      </c>
      <c r="J71" s="6">
        <v>2</v>
      </c>
      <c r="K71" s="227"/>
      <c r="L71" s="6" t="s">
        <v>16</v>
      </c>
      <c r="M71" s="6">
        <v>7</v>
      </c>
      <c r="N71" s="6">
        <v>5</v>
      </c>
      <c r="O71" s="6">
        <v>4</v>
      </c>
      <c r="P71" s="6">
        <v>7</v>
      </c>
      <c r="Q71" s="6">
        <v>7</v>
      </c>
      <c r="R71" s="6">
        <v>2</v>
      </c>
      <c r="S71" s="6">
        <v>5</v>
      </c>
      <c r="T71" s="51">
        <v>3</v>
      </c>
      <c r="U71" s="59">
        <f t="shared" si="10"/>
        <v>94</v>
      </c>
    </row>
    <row r="72" spans="1:21" ht="18.75" customHeight="1">
      <c r="A72" s="230"/>
      <c r="B72" s="6" t="s">
        <v>17</v>
      </c>
      <c r="C72" s="6">
        <v>6</v>
      </c>
      <c r="D72" s="6">
        <v>7</v>
      </c>
      <c r="E72" s="6">
        <v>4</v>
      </c>
      <c r="F72" s="6">
        <v>7</v>
      </c>
      <c r="G72" s="6">
        <v>7</v>
      </c>
      <c r="H72" s="6">
        <v>13</v>
      </c>
      <c r="I72" s="6">
        <v>18</v>
      </c>
      <c r="J72" s="6">
        <v>7</v>
      </c>
      <c r="K72" s="227"/>
      <c r="L72" s="6" t="s">
        <v>17</v>
      </c>
      <c r="M72" s="6">
        <v>3</v>
      </c>
      <c r="N72" s="6">
        <v>9</v>
      </c>
      <c r="O72" s="6">
        <v>8</v>
      </c>
      <c r="P72" s="6">
        <v>6</v>
      </c>
      <c r="Q72" s="6">
        <v>4</v>
      </c>
      <c r="R72" s="6">
        <v>10</v>
      </c>
      <c r="S72" s="6">
        <v>8</v>
      </c>
      <c r="T72" s="51">
        <v>3</v>
      </c>
      <c r="U72" s="59">
        <f t="shared" si="10"/>
        <v>120</v>
      </c>
    </row>
    <row r="73" spans="1:21" ht="18.75" customHeight="1">
      <c r="A73" s="230"/>
      <c r="B73" s="47" t="s">
        <v>18</v>
      </c>
      <c r="C73" s="47">
        <v>9</v>
      </c>
      <c r="D73" s="47">
        <v>6</v>
      </c>
      <c r="E73" s="47">
        <v>5</v>
      </c>
      <c r="F73" s="47">
        <v>9</v>
      </c>
      <c r="G73" s="47">
        <v>11</v>
      </c>
      <c r="H73" s="47">
        <v>10</v>
      </c>
      <c r="I73" s="47">
        <v>9</v>
      </c>
      <c r="J73" s="47">
        <v>10</v>
      </c>
      <c r="K73" s="227"/>
      <c r="L73" s="47" t="s">
        <v>18</v>
      </c>
      <c r="M73" s="47">
        <v>5</v>
      </c>
      <c r="N73" s="47">
        <v>9</v>
      </c>
      <c r="O73" s="47">
        <v>3</v>
      </c>
      <c r="P73" s="47">
        <v>5</v>
      </c>
      <c r="Q73" s="47">
        <v>9</v>
      </c>
      <c r="R73" s="47">
        <v>11</v>
      </c>
      <c r="S73" s="47">
        <v>6</v>
      </c>
      <c r="T73" s="70">
        <v>2</v>
      </c>
      <c r="U73" s="59">
        <f t="shared" si="10"/>
        <v>119</v>
      </c>
    </row>
    <row r="74" spans="1:21" ht="18.75" customHeight="1">
      <c r="A74" s="195" t="s">
        <v>9</v>
      </c>
      <c r="B74" s="56" t="s">
        <v>13</v>
      </c>
      <c r="C74" s="56">
        <v>8</v>
      </c>
      <c r="D74" s="56">
        <v>34</v>
      </c>
      <c r="E74" s="56">
        <v>20</v>
      </c>
      <c r="F74" s="56">
        <v>28</v>
      </c>
      <c r="G74" s="56">
        <v>32</v>
      </c>
      <c r="H74" s="56">
        <v>48</v>
      </c>
      <c r="I74" s="56"/>
      <c r="J74" s="56">
        <v>18</v>
      </c>
      <c r="K74" s="196" t="s">
        <v>9</v>
      </c>
      <c r="L74" s="56" t="s">
        <v>13</v>
      </c>
      <c r="M74" s="56"/>
      <c r="N74" s="56"/>
      <c r="O74" s="56"/>
      <c r="P74" s="56">
        <v>29</v>
      </c>
      <c r="Q74" s="56">
        <v>20</v>
      </c>
      <c r="R74" s="56">
        <v>24</v>
      </c>
      <c r="S74" s="56">
        <v>9</v>
      </c>
      <c r="T74" s="67">
        <v>11</v>
      </c>
      <c r="U74" s="59">
        <f t="shared" si="10"/>
        <v>281</v>
      </c>
    </row>
    <row r="75" spans="1:21" ht="18.75" customHeight="1">
      <c r="A75" s="230"/>
      <c r="B75" s="4" t="s">
        <v>14</v>
      </c>
      <c r="C75" s="4">
        <v>6</v>
      </c>
      <c r="D75" s="4">
        <v>11</v>
      </c>
      <c r="E75" s="4">
        <v>13</v>
      </c>
      <c r="F75" s="4">
        <v>13</v>
      </c>
      <c r="G75" s="4">
        <v>15</v>
      </c>
      <c r="H75" s="4">
        <v>12</v>
      </c>
      <c r="I75" s="4"/>
      <c r="J75" s="4">
        <v>11</v>
      </c>
      <c r="K75" s="227"/>
      <c r="L75" s="4" t="s">
        <v>14</v>
      </c>
      <c r="M75" s="4"/>
      <c r="N75" s="4"/>
      <c r="O75" s="4"/>
      <c r="P75" s="4">
        <v>11</v>
      </c>
      <c r="Q75" s="4">
        <v>4</v>
      </c>
      <c r="R75" s="4">
        <v>7</v>
      </c>
      <c r="S75" s="4">
        <v>3</v>
      </c>
      <c r="T75" s="50">
        <v>2</v>
      </c>
      <c r="U75" s="59">
        <f t="shared" si="10"/>
        <v>108</v>
      </c>
    </row>
    <row r="76" spans="1:21" ht="18.75" customHeight="1">
      <c r="A76" s="230"/>
      <c r="B76" s="4" t="s">
        <v>15</v>
      </c>
      <c r="C76" s="4">
        <v>16</v>
      </c>
      <c r="D76" s="4">
        <v>21</v>
      </c>
      <c r="E76" s="4">
        <v>16</v>
      </c>
      <c r="F76" s="4">
        <v>26</v>
      </c>
      <c r="G76" s="4">
        <v>35</v>
      </c>
      <c r="H76" s="4">
        <v>26</v>
      </c>
      <c r="I76" s="4"/>
      <c r="J76" s="4">
        <v>21</v>
      </c>
      <c r="K76" s="227"/>
      <c r="L76" s="4" t="s">
        <v>15</v>
      </c>
      <c r="M76" s="4"/>
      <c r="N76" s="4"/>
      <c r="O76" s="4"/>
      <c r="P76" s="4">
        <v>30</v>
      </c>
      <c r="Q76" s="4">
        <v>35</v>
      </c>
      <c r="R76" s="4">
        <v>36</v>
      </c>
      <c r="S76" s="4">
        <v>29</v>
      </c>
      <c r="T76" s="50">
        <v>16</v>
      </c>
      <c r="U76" s="59">
        <f t="shared" si="10"/>
        <v>307</v>
      </c>
    </row>
    <row r="77" spans="1:21" ht="18.75" customHeight="1">
      <c r="A77" s="230"/>
      <c r="B77" s="4" t="s">
        <v>16</v>
      </c>
      <c r="C77" s="4">
        <v>4</v>
      </c>
      <c r="D77" s="4">
        <v>3</v>
      </c>
      <c r="E77" s="4">
        <v>2</v>
      </c>
      <c r="F77" s="4">
        <v>8</v>
      </c>
      <c r="G77" s="4">
        <v>17</v>
      </c>
      <c r="H77" s="4">
        <v>13</v>
      </c>
      <c r="I77" s="4"/>
      <c r="J77" s="4">
        <v>2</v>
      </c>
      <c r="K77" s="227"/>
      <c r="L77" s="4" t="s">
        <v>16</v>
      </c>
      <c r="M77" s="4"/>
      <c r="N77" s="4"/>
      <c r="O77" s="4"/>
      <c r="P77" s="4">
        <v>8</v>
      </c>
      <c r="Q77" s="4">
        <v>3</v>
      </c>
      <c r="R77" s="4">
        <v>5</v>
      </c>
      <c r="S77" s="4">
        <v>4</v>
      </c>
      <c r="T77" s="50">
        <v>1</v>
      </c>
      <c r="U77" s="59">
        <f t="shared" si="10"/>
        <v>70</v>
      </c>
    </row>
    <row r="78" spans="1:21" ht="18.75" customHeight="1">
      <c r="A78" s="230"/>
      <c r="B78" s="4" t="s">
        <v>17</v>
      </c>
      <c r="C78" s="4">
        <v>11</v>
      </c>
      <c r="D78" s="4">
        <v>11</v>
      </c>
      <c r="E78" s="4">
        <v>6</v>
      </c>
      <c r="F78" s="4">
        <v>18</v>
      </c>
      <c r="G78" s="4">
        <v>19</v>
      </c>
      <c r="H78" s="4"/>
      <c r="I78" s="4"/>
      <c r="J78" s="4">
        <v>13</v>
      </c>
      <c r="K78" s="227"/>
      <c r="L78" s="4" t="s">
        <v>17</v>
      </c>
      <c r="M78" s="4"/>
      <c r="N78" s="4"/>
      <c r="O78" s="4"/>
      <c r="P78" s="4">
        <v>3</v>
      </c>
      <c r="Q78" s="4">
        <v>4</v>
      </c>
      <c r="R78" s="4">
        <v>4</v>
      </c>
      <c r="S78" s="4">
        <v>9</v>
      </c>
      <c r="T78" s="50">
        <v>4</v>
      </c>
      <c r="U78" s="59">
        <f t="shared" si="10"/>
        <v>102</v>
      </c>
    </row>
    <row r="79" spans="1:21" ht="18.75" customHeight="1">
      <c r="A79" s="230"/>
      <c r="B79" s="46" t="s">
        <v>18</v>
      </c>
      <c r="C79" s="46">
        <v>10</v>
      </c>
      <c r="D79" s="46">
        <v>8</v>
      </c>
      <c r="E79" s="46">
        <v>6</v>
      </c>
      <c r="F79" s="46">
        <v>8</v>
      </c>
      <c r="G79" s="46">
        <v>10</v>
      </c>
      <c r="H79" s="46"/>
      <c r="I79" s="46"/>
      <c r="J79" s="46">
        <v>9</v>
      </c>
      <c r="K79" s="227"/>
      <c r="L79" s="46" t="s">
        <v>18</v>
      </c>
      <c r="M79" s="46"/>
      <c r="N79" s="46"/>
      <c r="O79" s="46"/>
      <c r="P79" s="46">
        <v>5</v>
      </c>
      <c r="Q79" s="46">
        <v>7</v>
      </c>
      <c r="R79" s="46">
        <v>11</v>
      </c>
      <c r="S79" s="46">
        <v>7</v>
      </c>
      <c r="T79" s="69">
        <v>1</v>
      </c>
      <c r="U79" s="59">
        <f t="shared" si="10"/>
        <v>82</v>
      </c>
    </row>
    <row r="80" spans="1:21" ht="18.75" customHeight="1">
      <c r="A80" s="193" t="s">
        <v>10</v>
      </c>
      <c r="B80" s="63" t="s">
        <v>13</v>
      </c>
      <c r="C80" s="121">
        <v>18</v>
      </c>
      <c r="D80" s="121">
        <v>16</v>
      </c>
      <c r="E80" s="121">
        <v>19</v>
      </c>
      <c r="F80" s="121">
        <v>24</v>
      </c>
      <c r="G80" s="121">
        <v>38</v>
      </c>
      <c r="H80" s="121">
        <v>32</v>
      </c>
      <c r="I80" s="121">
        <v>33</v>
      </c>
      <c r="J80" s="121">
        <v>25</v>
      </c>
      <c r="K80" s="194" t="s">
        <v>10</v>
      </c>
      <c r="L80" s="63" t="s">
        <v>13</v>
      </c>
      <c r="M80" s="121">
        <v>19</v>
      </c>
      <c r="N80" s="121">
        <v>16</v>
      </c>
      <c r="O80" s="121">
        <v>16</v>
      </c>
      <c r="P80" s="121">
        <v>22</v>
      </c>
      <c r="Q80" s="121">
        <v>22</v>
      </c>
      <c r="R80" s="121">
        <v>17</v>
      </c>
      <c r="S80" s="121">
        <v>8</v>
      </c>
      <c r="T80" s="124">
        <v>8</v>
      </c>
      <c r="U80" s="59">
        <f t="shared" si="10"/>
        <v>333</v>
      </c>
    </row>
    <row r="81" spans="1:40" ht="18.75" customHeight="1">
      <c r="A81" s="230"/>
      <c r="B81" s="6" t="s">
        <v>14</v>
      </c>
      <c r="C81" s="122">
        <v>5</v>
      </c>
      <c r="D81" s="122">
        <v>11</v>
      </c>
      <c r="E81" s="122">
        <v>13</v>
      </c>
      <c r="F81" s="122">
        <v>9</v>
      </c>
      <c r="G81" s="122">
        <v>10</v>
      </c>
      <c r="H81" s="122">
        <v>14</v>
      </c>
      <c r="I81" s="122">
        <v>17</v>
      </c>
      <c r="J81" s="122">
        <v>14</v>
      </c>
      <c r="K81" s="227"/>
      <c r="L81" s="6" t="s">
        <v>14</v>
      </c>
      <c r="M81" s="122">
        <v>9</v>
      </c>
      <c r="N81" s="122">
        <v>6</v>
      </c>
      <c r="O81" s="122">
        <v>9</v>
      </c>
      <c r="P81" s="122">
        <v>5</v>
      </c>
      <c r="Q81" s="122">
        <v>4</v>
      </c>
      <c r="R81" s="122">
        <v>3</v>
      </c>
      <c r="S81" s="122">
        <v>6</v>
      </c>
      <c r="T81" s="125">
        <v>3</v>
      </c>
      <c r="U81" s="59">
        <f t="shared" si="10"/>
        <v>138</v>
      </c>
    </row>
    <row r="82" spans="1:40" ht="18.75" customHeight="1">
      <c r="A82" s="230"/>
      <c r="B82" s="6" t="s">
        <v>15</v>
      </c>
      <c r="C82" s="122">
        <v>16</v>
      </c>
      <c r="D82" s="122">
        <v>21</v>
      </c>
      <c r="E82" s="122">
        <v>23</v>
      </c>
      <c r="F82" s="122">
        <v>12</v>
      </c>
      <c r="G82" s="122">
        <v>21</v>
      </c>
      <c r="H82" s="122">
        <v>22</v>
      </c>
      <c r="I82" s="122">
        <v>25</v>
      </c>
      <c r="J82" s="122">
        <v>22</v>
      </c>
      <c r="K82" s="227"/>
      <c r="L82" s="6" t="s">
        <v>15</v>
      </c>
      <c r="M82" s="122">
        <v>23</v>
      </c>
      <c r="N82" s="122">
        <v>24</v>
      </c>
      <c r="O82" s="122">
        <v>21</v>
      </c>
      <c r="P82" s="122">
        <v>19</v>
      </c>
      <c r="Q82" s="122">
        <v>23</v>
      </c>
      <c r="R82" s="122">
        <v>25</v>
      </c>
      <c r="S82" s="122">
        <v>17</v>
      </c>
      <c r="T82" s="125">
        <v>18</v>
      </c>
      <c r="U82" s="59">
        <f t="shared" si="10"/>
        <v>332</v>
      </c>
    </row>
    <row r="83" spans="1:40" ht="18.75" customHeight="1">
      <c r="A83" s="230"/>
      <c r="B83" s="6" t="s">
        <v>16</v>
      </c>
      <c r="C83" s="122">
        <v>4</v>
      </c>
      <c r="D83" s="122">
        <v>5</v>
      </c>
      <c r="E83" s="122">
        <v>7</v>
      </c>
      <c r="F83" s="122">
        <v>6</v>
      </c>
      <c r="G83" s="122">
        <v>8</v>
      </c>
      <c r="H83" s="122">
        <v>8</v>
      </c>
      <c r="I83" s="122">
        <v>8</v>
      </c>
      <c r="J83" s="122">
        <v>5</v>
      </c>
      <c r="K83" s="227"/>
      <c r="L83" s="6" t="s">
        <v>16</v>
      </c>
      <c r="M83" s="122">
        <v>2</v>
      </c>
      <c r="N83" s="122">
        <v>2</v>
      </c>
      <c r="O83" s="122">
        <v>2</v>
      </c>
      <c r="P83" s="122">
        <v>4</v>
      </c>
      <c r="Q83" s="122">
        <v>3</v>
      </c>
      <c r="R83" s="122">
        <v>3</v>
      </c>
      <c r="S83" s="122">
        <v>2</v>
      </c>
      <c r="T83" s="125">
        <v>2</v>
      </c>
      <c r="U83" s="59">
        <f t="shared" si="10"/>
        <v>71</v>
      </c>
    </row>
    <row r="84" spans="1:40" ht="18.75" customHeight="1">
      <c r="A84" s="230"/>
      <c r="B84" s="6" t="s">
        <v>17</v>
      </c>
      <c r="C84" s="122">
        <v>3</v>
      </c>
      <c r="D84" s="122">
        <v>6</v>
      </c>
      <c r="E84" s="122">
        <v>6</v>
      </c>
      <c r="F84" s="122">
        <v>5</v>
      </c>
      <c r="G84" s="122">
        <v>9</v>
      </c>
      <c r="H84" s="122">
        <v>8</v>
      </c>
      <c r="I84" s="122">
        <v>14</v>
      </c>
      <c r="J84" s="122">
        <v>7</v>
      </c>
      <c r="K84" s="227"/>
      <c r="L84" s="6" t="s">
        <v>17</v>
      </c>
      <c r="M84" s="122">
        <v>10</v>
      </c>
      <c r="N84" s="122">
        <v>8</v>
      </c>
      <c r="O84" s="122">
        <v>4</v>
      </c>
      <c r="P84" s="122">
        <v>5</v>
      </c>
      <c r="Q84" s="122">
        <v>6</v>
      </c>
      <c r="R84" s="122">
        <v>5</v>
      </c>
      <c r="S84" s="122">
        <v>2</v>
      </c>
      <c r="T84" s="125">
        <v>3</v>
      </c>
      <c r="U84" s="59">
        <f t="shared" si="10"/>
        <v>101</v>
      </c>
    </row>
    <row r="85" spans="1:40" ht="18.75" customHeight="1">
      <c r="A85" s="230"/>
      <c r="B85" s="47" t="s">
        <v>18</v>
      </c>
      <c r="C85" s="123">
        <v>17</v>
      </c>
      <c r="D85" s="123">
        <v>8</v>
      </c>
      <c r="E85" s="123">
        <v>7</v>
      </c>
      <c r="F85" s="123">
        <v>4</v>
      </c>
      <c r="G85" s="123">
        <v>7</v>
      </c>
      <c r="H85" s="123">
        <v>10</v>
      </c>
      <c r="I85" s="123">
        <v>7</v>
      </c>
      <c r="J85" s="123">
        <v>11</v>
      </c>
      <c r="K85" s="227"/>
      <c r="L85" s="47" t="s">
        <v>18</v>
      </c>
      <c r="M85" s="123">
        <v>6</v>
      </c>
      <c r="N85" s="123">
        <v>5</v>
      </c>
      <c r="O85" s="123">
        <v>3</v>
      </c>
      <c r="P85" s="123">
        <v>8</v>
      </c>
      <c r="Q85" s="123">
        <v>15</v>
      </c>
      <c r="R85" s="123">
        <v>3</v>
      </c>
      <c r="S85" s="123">
        <v>11</v>
      </c>
      <c r="T85" s="126">
        <v>3</v>
      </c>
      <c r="U85" s="59">
        <f t="shared" si="10"/>
        <v>125</v>
      </c>
    </row>
    <row r="86" spans="1:40" ht="18.75" customHeight="1">
      <c r="A86" s="195" t="s">
        <v>11</v>
      </c>
      <c r="B86" s="56" t="s">
        <v>13</v>
      </c>
      <c r="C86" s="127">
        <v>4</v>
      </c>
      <c r="D86" s="127">
        <v>12</v>
      </c>
      <c r="E86" s="127">
        <v>19</v>
      </c>
      <c r="F86" s="127">
        <v>18</v>
      </c>
      <c r="G86" s="127">
        <v>27</v>
      </c>
      <c r="H86" s="127">
        <v>21</v>
      </c>
      <c r="I86" s="127">
        <v>28</v>
      </c>
      <c r="J86" s="127">
        <v>19</v>
      </c>
      <c r="K86" s="196" t="s">
        <v>11</v>
      </c>
      <c r="L86" s="56" t="s">
        <v>13</v>
      </c>
      <c r="M86" s="127">
        <v>22</v>
      </c>
      <c r="N86" s="127">
        <v>17</v>
      </c>
      <c r="O86" s="127">
        <v>9</v>
      </c>
      <c r="P86" s="127">
        <v>12</v>
      </c>
      <c r="Q86" s="127">
        <v>11</v>
      </c>
      <c r="R86" s="127">
        <v>16</v>
      </c>
      <c r="S86" s="127">
        <v>14</v>
      </c>
      <c r="T86" s="130"/>
      <c r="U86" s="59">
        <f t="shared" si="10"/>
        <v>249</v>
      </c>
    </row>
    <row r="87" spans="1:40" ht="18.75" customHeight="1">
      <c r="A87" s="230"/>
      <c r="B87" s="4" t="s">
        <v>14</v>
      </c>
      <c r="C87" s="128">
        <v>4</v>
      </c>
      <c r="D87" s="128">
        <v>7</v>
      </c>
      <c r="E87" s="128">
        <v>10</v>
      </c>
      <c r="F87" s="128">
        <v>8</v>
      </c>
      <c r="G87" s="128">
        <v>11</v>
      </c>
      <c r="H87" s="128">
        <v>15</v>
      </c>
      <c r="I87" s="128">
        <v>16</v>
      </c>
      <c r="J87" s="128">
        <v>11</v>
      </c>
      <c r="K87" s="227"/>
      <c r="L87" s="4" t="s">
        <v>14</v>
      </c>
      <c r="M87" s="128">
        <v>9</v>
      </c>
      <c r="N87" s="128">
        <v>10</v>
      </c>
      <c r="O87" s="128">
        <v>2</v>
      </c>
      <c r="P87" s="128">
        <v>3</v>
      </c>
      <c r="Q87" s="128">
        <v>4</v>
      </c>
      <c r="R87" s="128">
        <v>5</v>
      </c>
      <c r="S87" s="128">
        <v>4</v>
      </c>
      <c r="T87" s="131"/>
      <c r="U87" s="59">
        <f t="shared" si="10"/>
        <v>119</v>
      </c>
    </row>
    <row r="88" spans="1:40" ht="18.75" customHeight="1">
      <c r="A88" s="230"/>
      <c r="B88" s="4" t="s">
        <v>15</v>
      </c>
      <c r="C88" s="128">
        <v>9</v>
      </c>
      <c r="D88" s="128">
        <v>13</v>
      </c>
      <c r="E88" s="128">
        <v>18</v>
      </c>
      <c r="F88" s="128">
        <v>9</v>
      </c>
      <c r="G88" s="128">
        <v>12</v>
      </c>
      <c r="H88" s="128">
        <v>27</v>
      </c>
      <c r="I88" s="128">
        <v>26</v>
      </c>
      <c r="J88" s="128">
        <v>18</v>
      </c>
      <c r="K88" s="227"/>
      <c r="L88" s="4" t="s">
        <v>15</v>
      </c>
      <c r="M88" s="128">
        <v>17</v>
      </c>
      <c r="N88" s="128">
        <v>24</v>
      </c>
      <c r="O88" s="128">
        <v>18</v>
      </c>
      <c r="P88" s="128">
        <v>23</v>
      </c>
      <c r="Q88" s="128">
        <v>18</v>
      </c>
      <c r="R88" s="128">
        <v>20</v>
      </c>
      <c r="S88" s="128">
        <v>17</v>
      </c>
      <c r="T88" s="131"/>
      <c r="U88" s="59">
        <f t="shared" si="10"/>
        <v>269</v>
      </c>
    </row>
    <row r="89" spans="1:40" ht="18.75" customHeight="1">
      <c r="A89" s="230"/>
      <c r="B89" s="4" t="s">
        <v>16</v>
      </c>
      <c r="C89" s="128">
        <v>1</v>
      </c>
      <c r="D89" s="128">
        <v>1</v>
      </c>
      <c r="E89" s="128">
        <v>3</v>
      </c>
      <c r="F89" s="128">
        <v>2</v>
      </c>
      <c r="G89" s="128">
        <v>7</v>
      </c>
      <c r="H89" s="128">
        <v>14</v>
      </c>
      <c r="I89" s="128">
        <v>7</v>
      </c>
      <c r="J89" s="128">
        <v>4</v>
      </c>
      <c r="K89" s="227"/>
      <c r="L89" s="4" t="s">
        <v>16</v>
      </c>
      <c r="M89" s="128">
        <v>5</v>
      </c>
      <c r="N89" s="128">
        <v>4</v>
      </c>
      <c r="O89" s="128">
        <v>6</v>
      </c>
      <c r="P89" s="128">
        <v>3</v>
      </c>
      <c r="Q89" s="128">
        <v>3</v>
      </c>
      <c r="R89" s="128">
        <v>2</v>
      </c>
      <c r="S89" s="128">
        <v>2</v>
      </c>
      <c r="T89" s="131"/>
      <c r="U89" s="59">
        <f t="shared" si="10"/>
        <v>64</v>
      </c>
    </row>
    <row r="90" spans="1:40" ht="15.75" customHeight="1">
      <c r="A90" s="230"/>
      <c r="B90" s="4" t="s">
        <v>17</v>
      </c>
      <c r="C90" s="128">
        <v>0</v>
      </c>
      <c r="D90" s="128">
        <v>6</v>
      </c>
      <c r="E90" s="128">
        <v>5</v>
      </c>
      <c r="F90" s="128">
        <v>6</v>
      </c>
      <c r="G90" s="128">
        <v>8</v>
      </c>
      <c r="H90" s="128">
        <v>7</v>
      </c>
      <c r="I90" s="128">
        <v>8</v>
      </c>
      <c r="J90" s="128">
        <v>1</v>
      </c>
      <c r="K90" s="227"/>
      <c r="L90" s="4" t="s">
        <v>17</v>
      </c>
      <c r="M90" s="128">
        <v>5</v>
      </c>
      <c r="N90" s="128">
        <v>11</v>
      </c>
      <c r="O90" s="128">
        <v>3</v>
      </c>
      <c r="P90" s="128">
        <v>2</v>
      </c>
      <c r="Q90" s="128">
        <v>3</v>
      </c>
      <c r="R90" s="128">
        <v>2</v>
      </c>
      <c r="S90" s="128">
        <v>1</v>
      </c>
      <c r="T90" s="131"/>
      <c r="U90" s="59">
        <f t="shared" si="10"/>
        <v>68</v>
      </c>
    </row>
    <row r="91" spans="1:40" ht="15.75" customHeight="1">
      <c r="A91" s="231"/>
      <c r="B91" s="61" t="s">
        <v>18</v>
      </c>
      <c r="C91" s="129">
        <v>2</v>
      </c>
      <c r="D91" s="129">
        <v>6</v>
      </c>
      <c r="E91" s="129">
        <v>2</v>
      </c>
      <c r="F91" s="129">
        <v>4</v>
      </c>
      <c r="G91" s="129">
        <v>9</v>
      </c>
      <c r="H91" s="129">
        <v>10</v>
      </c>
      <c r="I91" s="129">
        <v>15</v>
      </c>
      <c r="J91" s="129">
        <v>5</v>
      </c>
      <c r="K91" s="232"/>
      <c r="L91" s="61" t="s">
        <v>18</v>
      </c>
      <c r="M91" s="129">
        <v>3</v>
      </c>
      <c r="N91" s="129">
        <v>5</v>
      </c>
      <c r="O91" s="129">
        <v>3</v>
      </c>
      <c r="P91" s="129">
        <v>9</v>
      </c>
      <c r="Q91" s="129">
        <v>7</v>
      </c>
      <c r="R91" s="129">
        <v>8</v>
      </c>
      <c r="S91" s="129">
        <v>1</v>
      </c>
      <c r="T91" s="132"/>
      <c r="U91" s="59">
        <f t="shared" si="10"/>
        <v>89</v>
      </c>
    </row>
    <row r="93" spans="1:40" ht="15.75" customHeight="1">
      <c r="A93" s="1"/>
      <c r="B93" s="1"/>
      <c r="C93" s="183" t="s">
        <v>0</v>
      </c>
      <c r="D93" s="225"/>
      <c r="E93" s="225"/>
      <c r="F93" s="225"/>
      <c r="G93" s="226"/>
      <c r="H93" s="2"/>
      <c r="I93" s="1"/>
    </row>
    <row r="94" spans="1:40" ht="15.75" customHeight="1">
      <c r="A94" s="1"/>
      <c r="B94" s="183" t="s">
        <v>1</v>
      </c>
      <c r="C94" s="225"/>
      <c r="D94" s="226"/>
      <c r="E94" s="1"/>
      <c r="F94" s="184" t="s">
        <v>96</v>
      </c>
      <c r="G94" s="225"/>
      <c r="H94" s="226"/>
      <c r="I94" s="1"/>
      <c r="K94" s="1"/>
      <c r="L94" s="183" t="s">
        <v>26</v>
      </c>
      <c r="M94" s="225"/>
      <c r="N94" s="226"/>
      <c r="O94" s="1"/>
      <c r="P94" s="184" t="s">
        <v>96</v>
      </c>
      <c r="Q94" s="225"/>
      <c r="R94" s="226"/>
      <c r="S94" s="1"/>
    </row>
    <row r="95" spans="1:40" ht="15.75" customHeight="1">
      <c r="A95" s="54" t="s">
        <v>35</v>
      </c>
      <c r="B95" s="54" t="s">
        <v>4</v>
      </c>
      <c r="C95" s="54" t="s">
        <v>12</v>
      </c>
      <c r="D95" s="54" t="s">
        <v>19</v>
      </c>
      <c r="E95" s="54" t="s">
        <v>20</v>
      </c>
      <c r="F95" s="54" t="s">
        <v>21</v>
      </c>
      <c r="G95" s="54" t="s">
        <v>22</v>
      </c>
      <c r="H95" s="54" t="s">
        <v>23</v>
      </c>
      <c r="I95" s="54" t="s">
        <v>24</v>
      </c>
      <c r="J95" s="54" t="s">
        <v>25</v>
      </c>
      <c r="K95" s="54" t="s">
        <v>35</v>
      </c>
      <c r="L95" s="54" t="s">
        <v>4</v>
      </c>
      <c r="M95" s="54" t="s">
        <v>27</v>
      </c>
      <c r="N95" s="54" t="s">
        <v>28</v>
      </c>
      <c r="O95" s="54" t="s">
        <v>29</v>
      </c>
      <c r="P95" s="54" t="s">
        <v>30</v>
      </c>
      <c r="Q95" s="54" t="s">
        <v>31</v>
      </c>
      <c r="R95" s="54" t="s">
        <v>32</v>
      </c>
      <c r="S95" s="54" t="s">
        <v>33</v>
      </c>
      <c r="T95" s="54" t="s">
        <v>34</v>
      </c>
      <c r="U95" s="54" t="s">
        <v>55</v>
      </c>
    </row>
    <row r="96" spans="1:40" ht="15.75" customHeight="1">
      <c r="A96" s="195" t="s">
        <v>5</v>
      </c>
      <c r="B96" s="56" t="s">
        <v>13</v>
      </c>
      <c r="C96" s="57"/>
      <c r="D96" s="57"/>
      <c r="E96" s="56"/>
      <c r="F96" s="56"/>
      <c r="G96" s="56"/>
      <c r="H96" s="56"/>
      <c r="I96" s="56"/>
      <c r="J96" s="56"/>
      <c r="K96" s="196" t="s">
        <v>5</v>
      </c>
      <c r="L96" s="56" t="s">
        <v>13</v>
      </c>
      <c r="M96" s="56"/>
      <c r="N96" s="56"/>
      <c r="O96" s="56"/>
      <c r="P96" s="56"/>
      <c r="Q96" s="56"/>
      <c r="R96" s="57"/>
      <c r="S96" s="57"/>
      <c r="T96" s="58"/>
      <c r="U96" s="59">
        <f>SUM(M96:T96,C96:J96)</f>
        <v>0</v>
      </c>
      <c r="W96" s="197" t="s">
        <v>96</v>
      </c>
      <c r="X96" s="198"/>
      <c r="AG96" s="190" t="s">
        <v>58</v>
      </c>
      <c r="AH96" s="191"/>
      <c r="AI96" s="191"/>
      <c r="AJ96" s="191"/>
      <c r="AK96" s="191"/>
      <c r="AL96" s="191"/>
      <c r="AM96" s="191"/>
      <c r="AN96" s="192"/>
    </row>
    <row r="97" spans="1:40" ht="15.75" customHeight="1">
      <c r="A97" s="230"/>
      <c r="B97" s="4" t="s">
        <v>14</v>
      </c>
      <c r="C97" s="5"/>
      <c r="D97" s="5"/>
      <c r="E97" s="4"/>
      <c r="F97" s="4"/>
      <c r="G97" s="4"/>
      <c r="H97" s="4"/>
      <c r="I97" s="4"/>
      <c r="J97" s="4"/>
      <c r="K97" s="227"/>
      <c r="L97" s="4" t="s">
        <v>14</v>
      </c>
      <c r="M97" s="4"/>
      <c r="N97" s="4"/>
      <c r="O97" s="4"/>
      <c r="P97" s="4"/>
      <c r="Q97" s="4"/>
      <c r="R97" s="5"/>
      <c r="S97" s="5"/>
      <c r="T97" s="49"/>
      <c r="U97" s="59">
        <f t="shared" ref="U97:U137" si="18">SUM(M97:T97,C97:J97)</f>
        <v>0</v>
      </c>
      <c r="W97" s="55" t="s">
        <v>5</v>
      </c>
      <c r="X97" s="48">
        <f>SUM(U96:U101)</f>
        <v>0</v>
      </c>
      <c r="AG97" s="98" t="s">
        <v>4</v>
      </c>
      <c r="AH97" s="98" t="s">
        <v>5</v>
      </c>
      <c r="AI97" s="98" t="s">
        <v>6</v>
      </c>
      <c r="AJ97" s="98" t="s">
        <v>7</v>
      </c>
      <c r="AK97" s="98" t="s">
        <v>8</v>
      </c>
      <c r="AL97" s="98" t="s">
        <v>9</v>
      </c>
      <c r="AM97" s="98" t="s">
        <v>10</v>
      </c>
      <c r="AN97" s="98" t="s">
        <v>11</v>
      </c>
    </row>
    <row r="98" spans="1:40" ht="15.75" customHeight="1">
      <c r="A98" s="230"/>
      <c r="B98" s="4" t="s">
        <v>15</v>
      </c>
      <c r="C98" s="5"/>
      <c r="D98" s="5"/>
      <c r="E98" s="4"/>
      <c r="F98" s="4"/>
      <c r="G98" s="4"/>
      <c r="H98" s="4"/>
      <c r="I98" s="4"/>
      <c r="J98" s="4"/>
      <c r="K98" s="227"/>
      <c r="L98" s="4" t="s">
        <v>15</v>
      </c>
      <c r="M98" s="4"/>
      <c r="N98" s="4"/>
      <c r="O98" s="4"/>
      <c r="P98" s="4"/>
      <c r="Q98" s="4"/>
      <c r="R98" s="5"/>
      <c r="S98" s="5"/>
      <c r="T98" s="49"/>
      <c r="U98" s="59">
        <f t="shared" si="18"/>
        <v>0</v>
      </c>
      <c r="W98" s="55" t="s">
        <v>6</v>
      </c>
      <c r="X98" s="48">
        <f>SUM(U102:U107)</f>
        <v>0</v>
      </c>
      <c r="AG98" s="79" t="s">
        <v>13</v>
      </c>
      <c r="AH98" s="79">
        <f t="shared" ref="AH98:AH103" si="19">U96</f>
        <v>0</v>
      </c>
      <c r="AI98" s="79">
        <f t="shared" ref="AI98:AI103" si="20">U102</f>
        <v>0</v>
      </c>
      <c r="AJ98" s="79">
        <f t="shared" ref="AJ98:AJ103" si="21">U108</f>
        <v>390</v>
      </c>
      <c r="AK98" s="79">
        <f t="shared" ref="AK98:AK103" si="22">U114</f>
        <v>363</v>
      </c>
      <c r="AL98" s="79">
        <f t="shared" ref="AL98:AL103" si="23">U120</f>
        <v>424</v>
      </c>
      <c r="AM98" s="79">
        <f t="shared" ref="AM98:AM103" si="24">U126</f>
        <v>330</v>
      </c>
      <c r="AN98" s="79">
        <f t="shared" ref="AN98:AN103" si="25">U132</f>
        <v>191</v>
      </c>
    </row>
    <row r="99" spans="1:40" ht="15.75" customHeight="1">
      <c r="A99" s="230"/>
      <c r="B99" s="4" t="s">
        <v>16</v>
      </c>
      <c r="C99" s="5"/>
      <c r="D99" s="5"/>
      <c r="E99" s="4"/>
      <c r="F99" s="4"/>
      <c r="G99" s="4"/>
      <c r="H99" s="4"/>
      <c r="I99" s="4"/>
      <c r="J99" s="4"/>
      <c r="K99" s="227"/>
      <c r="L99" s="4" t="s">
        <v>16</v>
      </c>
      <c r="M99" s="4"/>
      <c r="N99" s="4"/>
      <c r="O99" s="4"/>
      <c r="P99" s="4"/>
      <c r="Q99" s="4"/>
      <c r="R99" s="5"/>
      <c r="S99" s="5"/>
      <c r="T99" s="49"/>
      <c r="U99" s="59">
        <f t="shared" si="18"/>
        <v>0</v>
      </c>
      <c r="W99" s="55" t="s">
        <v>7</v>
      </c>
      <c r="X99" s="48">
        <f>SUM(U108:U113)</f>
        <v>1350</v>
      </c>
      <c r="AG99" s="97" t="s">
        <v>14</v>
      </c>
      <c r="AH99" s="97">
        <f t="shared" si="19"/>
        <v>0</v>
      </c>
      <c r="AI99" s="97">
        <f t="shared" si="20"/>
        <v>0</v>
      </c>
      <c r="AJ99" s="97">
        <f t="shared" si="21"/>
        <v>158</v>
      </c>
      <c r="AK99" s="97">
        <f t="shared" si="22"/>
        <v>104</v>
      </c>
      <c r="AL99" s="97">
        <f t="shared" si="23"/>
        <v>204</v>
      </c>
      <c r="AM99" s="97">
        <f t="shared" si="24"/>
        <v>116</v>
      </c>
      <c r="AN99" s="97">
        <f t="shared" si="25"/>
        <v>67</v>
      </c>
    </row>
    <row r="100" spans="1:40" ht="15.75" customHeight="1">
      <c r="A100" s="230"/>
      <c r="B100" s="4" t="s">
        <v>17</v>
      </c>
      <c r="C100" s="5"/>
      <c r="D100" s="5"/>
      <c r="E100" s="4"/>
      <c r="F100" s="4"/>
      <c r="G100" s="4"/>
      <c r="H100" s="4"/>
      <c r="I100" s="4"/>
      <c r="J100" s="4"/>
      <c r="K100" s="227"/>
      <c r="L100" s="4" t="s">
        <v>17</v>
      </c>
      <c r="M100" s="4"/>
      <c r="N100" s="4"/>
      <c r="O100" s="4"/>
      <c r="P100" s="4"/>
      <c r="Q100" s="4"/>
      <c r="R100" s="5"/>
      <c r="S100" s="5"/>
      <c r="T100" s="49"/>
      <c r="U100" s="59">
        <f t="shared" si="18"/>
        <v>0</v>
      </c>
      <c r="W100" s="55" t="s">
        <v>61</v>
      </c>
      <c r="X100" s="48">
        <f>SUM(U114:U119)</f>
        <v>1159</v>
      </c>
      <c r="AG100" s="79" t="s">
        <v>15</v>
      </c>
      <c r="AH100" s="79">
        <f t="shared" si="19"/>
        <v>0</v>
      </c>
      <c r="AI100" s="79">
        <f t="shared" si="20"/>
        <v>0</v>
      </c>
      <c r="AJ100" s="79">
        <f t="shared" si="21"/>
        <v>481</v>
      </c>
      <c r="AK100" s="79">
        <f t="shared" si="22"/>
        <v>379</v>
      </c>
      <c r="AL100" s="79">
        <f t="shared" si="23"/>
        <v>372</v>
      </c>
      <c r="AM100" s="79">
        <f t="shared" si="24"/>
        <v>350</v>
      </c>
      <c r="AN100" s="79">
        <f t="shared" si="25"/>
        <v>222</v>
      </c>
    </row>
    <row r="101" spans="1:40" ht="15.75" customHeight="1">
      <c r="A101" s="230"/>
      <c r="B101" s="46" t="s">
        <v>18</v>
      </c>
      <c r="C101" s="64"/>
      <c r="D101" s="64"/>
      <c r="E101" s="46"/>
      <c r="F101" s="46"/>
      <c r="G101" s="46"/>
      <c r="H101" s="46"/>
      <c r="I101" s="46"/>
      <c r="J101" s="46"/>
      <c r="K101" s="227"/>
      <c r="L101" s="46" t="s">
        <v>18</v>
      </c>
      <c r="M101" s="46"/>
      <c r="N101" s="46"/>
      <c r="O101" s="46"/>
      <c r="P101" s="46"/>
      <c r="Q101" s="46"/>
      <c r="R101" s="64"/>
      <c r="S101" s="64"/>
      <c r="T101" s="65"/>
      <c r="U101" s="59">
        <f t="shared" si="18"/>
        <v>0</v>
      </c>
      <c r="W101" s="55" t="s">
        <v>9</v>
      </c>
      <c r="X101" s="48">
        <f>SUM(U120:U125)</f>
        <v>1349</v>
      </c>
      <c r="AG101" s="97" t="s">
        <v>16</v>
      </c>
      <c r="AH101" s="97">
        <f t="shared" si="19"/>
        <v>0</v>
      </c>
      <c r="AI101" s="97">
        <f t="shared" si="20"/>
        <v>0</v>
      </c>
      <c r="AJ101" s="97">
        <f t="shared" si="21"/>
        <v>87</v>
      </c>
      <c r="AK101" s="97">
        <f t="shared" si="22"/>
        <v>90</v>
      </c>
      <c r="AL101" s="97">
        <f t="shared" si="23"/>
        <v>98</v>
      </c>
      <c r="AM101" s="97">
        <f t="shared" si="24"/>
        <v>98</v>
      </c>
      <c r="AN101" s="97">
        <f t="shared" si="25"/>
        <v>67</v>
      </c>
    </row>
    <row r="102" spans="1:40" ht="15.75" customHeight="1">
      <c r="A102" s="193" t="s">
        <v>6</v>
      </c>
      <c r="B102" s="63" t="s">
        <v>13</v>
      </c>
      <c r="C102" s="57"/>
      <c r="D102" s="57"/>
      <c r="E102" s="57"/>
      <c r="F102" s="63"/>
      <c r="G102" s="63"/>
      <c r="H102" s="63"/>
      <c r="I102" s="63"/>
      <c r="J102" s="63"/>
      <c r="K102" s="194" t="s">
        <v>6</v>
      </c>
      <c r="L102" s="63" t="s">
        <v>13</v>
      </c>
      <c r="M102" s="63"/>
      <c r="N102" s="63"/>
      <c r="O102" s="63"/>
      <c r="P102" s="63"/>
      <c r="Q102" s="57"/>
      <c r="R102" s="57"/>
      <c r="S102" s="57"/>
      <c r="T102" s="58"/>
      <c r="U102" s="59">
        <f t="shared" si="18"/>
        <v>0</v>
      </c>
      <c r="W102" s="55" t="s">
        <v>10</v>
      </c>
      <c r="X102" s="48">
        <f>SUM(U126:U131)</f>
        <v>1104</v>
      </c>
      <c r="AG102" s="79" t="s">
        <v>17</v>
      </c>
      <c r="AH102" s="79">
        <f t="shared" si="19"/>
        <v>0</v>
      </c>
      <c r="AI102" s="79">
        <f t="shared" si="20"/>
        <v>0</v>
      </c>
      <c r="AJ102" s="79">
        <f t="shared" si="21"/>
        <v>102</v>
      </c>
      <c r="AK102" s="79">
        <f t="shared" si="22"/>
        <v>106</v>
      </c>
      <c r="AL102" s="79">
        <f t="shared" si="23"/>
        <v>109</v>
      </c>
      <c r="AM102" s="79">
        <f t="shared" si="24"/>
        <v>107</v>
      </c>
      <c r="AN102" s="79">
        <f t="shared" si="25"/>
        <v>57</v>
      </c>
    </row>
    <row r="103" spans="1:40" ht="15.75" customHeight="1">
      <c r="A103" s="230"/>
      <c r="B103" s="6" t="s">
        <v>14</v>
      </c>
      <c r="C103" s="5"/>
      <c r="D103" s="5"/>
      <c r="E103" s="5"/>
      <c r="F103" s="6"/>
      <c r="G103" s="6"/>
      <c r="H103" s="6"/>
      <c r="I103" s="6"/>
      <c r="J103" s="6"/>
      <c r="K103" s="227"/>
      <c r="L103" s="6" t="s">
        <v>14</v>
      </c>
      <c r="M103" s="6"/>
      <c r="N103" s="6"/>
      <c r="O103" s="6"/>
      <c r="P103" s="6"/>
      <c r="Q103" s="5"/>
      <c r="R103" s="5"/>
      <c r="S103" s="5"/>
      <c r="T103" s="49"/>
      <c r="U103" s="59">
        <f t="shared" si="18"/>
        <v>0</v>
      </c>
      <c r="W103" s="81" t="s">
        <v>11</v>
      </c>
      <c r="X103" s="80">
        <f>SUM(U132:U137)</f>
        <v>689</v>
      </c>
      <c r="AG103" s="97" t="s">
        <v>18</v>
      </c>
      <c r="AH103" s="97">
        <f t="shared" si="19"/>
        <v>0</v>
      </c>
      <c r="AI103" s="97">
        <f t="shared" si="20"/>
        <v>0</v>
      </c>
      <c r="AJ103" s="97">
        <f t="shared" si="21"/>
        <v>132</v>
      </c>
      <c r="AK103" s="97">
        <f t="shared" si="22"/>
        <v>117</v>
      </c>
      <c r="AL103" s="97">
        <f t="shared" si="23"/>
        <v>142</v>
      </c>
      <c r="AM103" s="97">
        <f t="shared" si="24"/>
        <v>103</v>
      </c>
      <c r="AN103" s="97">
        <f t="shared" si="25"/>
        <v>85</v>
      </c>
    </row>
    <row r="104" spans="1:40" ht="15.75" customHeight="1">
      <c r="A104" s="230"/>
      <c r="B104" s="6" t="s">
        <v>15</v>
      </c>
      <c r="C104" s="5"/>
      <c r="D104" s="5"/>
      <c r="E104" s="5"/>
      <c r="F104" s="6"/>
      <c r="G104" s="6"/>
      <c r="H104" s="6"/>
      <c r="I104" s="6"/>
      <c r="J104" s="6"/>
      <c r="K104" s="227"/>
      <c r="L104" s="6" t="s">
        <v>15</v>
      </c>
      <c r="M104" s="6"/>
      <c r="N104" s="6"/>
      <c r="O104" s="6"/>
      <c r="P104" s="6"/>
      <c r="Q104" s="5"/>
      <c r="R104" s="5"/>
      <c r="S104" s="5"/>
      <c r="T104" s="49"/>
      <c r="U104" s="59">
        <f t="shared" si="18"/>
        <v>0</v>
      </c>
      <c r="W104" s="79" t="s">
        <v>63</v>
      </c>
      <c r="X104" s="82">
        <f>SUM(X97:X103)</f>
        <v>5651</v>
      </c>
    </row>
    <row r="105" spans="1:40" ht="15.75" customHeight="1">
      <c r="A105" s="230"/>
      <c r="B105" s="6" t="s">
        <v>16</v>
      </c>
      <c r="C105" s="5"/>
      <c r="D105" s="5"/>
      <c r="E105" s="5"/>
      <c r="F105" s="6"/>
      <c r="G105" s="6"/>
      <c r="H105" s="6"/>
      <c r="I105" s="6"/>
      <c r="J105" s="6"/>
      <c r="K105" s="227"/>
      <c r="L105" s="6" t="s">
        <v>16</v>
      </c>
      <c r="M105" s="6"/>
      <c r="N105" s="6"/>
      <c r="O105" s="6"/>
      <c r="P105" s="6"/>
      <c r="Q105" s="5"/>
      <c r="R105" s="5"/>
      <c r="S105" s="5"/>
      <c r="T105" s="49"/>
      <c r="U105" s="59">
        <f t="shared" si="18"/>
        <v>0</v>
      </c>
    </row>
    <row r="106" spans="1:40" ht="15.75" customHeight="1">
      <c r="A106" s="230"/>
      <c r="B106" s="6" t="s">
        <v>17</v>
      </c>
      <c r="C106" s="5"/>
      <c r="D106" s="5"/>
      <c r="E106" s="5"/>
      <c r="F106" s="6"/>
      <c r="G106" s="6"/>
      <c r="H106" s="6"/>
      <c r="I106" s="6"/>
      <c r="J106" s="6"/>
      <c r="K106" s="227"/>
      <c r="L106" s="6" t="s">
        <v>17</v>
      </c>
      <c r="M106" s="6"/>
      <c r="N106" s="6"/>
      <c r="O106" s="6"/>
      <c r="P106" s="6"/>
      <c r="Q106" s="5"/>
      <c r="R106" s="5"/>
      <c r="S106" s="5"/>
      <c r="T106" s="49"/>
      <c r="U106" s="59">
        <f t="shared" si="18"/>
        <v>0</v>
      </c>
    </row>
    <row r="107" spans="1:40" ht="15.75" customHeight="1">
      <c r="A107" s="230"/>
      <c r="B107" s="47" t="s">
        <v>18</v>
      </c>
      <c r="C107" s="64"/>
      <c r="D107" s="64"/>
      <c r="E107" s="64"/>
      <c r="F107" s="47"/>
      <c r="G107" s="47"/>
      <c r="H107" s="47"/>
      <c r="I107" s="47"/>
      <c r="J107" s="47"/>
      <c r="K107" s="227"/>
      <c r="L107" s="47" t="s">
        <v>18</v>
      </c>
      <c r="M107" s="47"/>
      <c r="N107" s="47"/>
      <c r="O107" s="47"/>
      <c r="P107" s="47"/>
      <c r="Q107" s="64"/>
      <c r="R107" s="64"/>
      <c r="S107" s="64"/>
      <c r="T107" s="65"/>
      <c r="U107" s="59">
        <f t="shared" si="18"/>
        <v>0</v>
      </c>
    </row>
    <row r="108" spans="1:40" ht="15.75" customHeight="1">
      <c r="A108" s="195" t="s">
        <v>7</v>
      </c>
      <c r="B108" s="56" t="s">
        <v>13</v>
      </c>
      <c r="C108" s="56">
        <v>18</v>
      </c>
      <c r="D108" s="56">
        <v>23</v>
      </c>
      <c r="E108" s="56">
        <v>21</v>
      </c>
      <c r="F108" s="56">
        <v>33</v>
      </c>
      <c r="G108" s="56">
        <v>39</v>
      </c>
      <c r="H108" s="56">
        <v>31</v>
      </c>
      <c r="I108" s="56">
        <v>32</v>
      </c>
      <c r="J108" s="56">
        <v>23</v>
      </c>
      <c r="K108" s="196" t="s">
        <v>7</v>
      </c>
      <c r="L108" s="56" t="s">
        <v>13</v>
      </c>
      <c r="M108" s="56">
        <v>20</v>
      </c>
      <c r="N108" s="56">
        <v>25</v>
      </c>
      <c r="O108" s="56">
        <v>24</v>
      </c>
      <c r="P108" s="56">
        <v>22</v>
      </c>
      <c r="Q108" s="56">
        <v>24</v>
      </c>
      <c r="R108" s="56">
        <v>23</v>
      </c>
      <c r="S108" s="56">
        <v>16</v>
      </c>
      <c r="T108" s="67">
        <v>16</v>
      </c>
      <c r="U108" s="59">
        <f t="shared" si="18"/>
        <v>390</v>
      </c>
    </row>
    <row r="109" spans="1:40" ht="15.75" customHeight="1">
      <c r="A109" s="230"/>
      <c r="B109" s="4" t="s">
        <v>14</v>
      </c>
      <c r="C109" s="4">
        <v>7</v>
      </c>
      <c r="D109" s="4">
        <v>10</v>
      </c>
      <c r="E109" s="4">
        <v>12</v>
      </c>
      <c r="F109" s="4">
        <v>13</v>
      </c>
      <c r="G109" s="4">
        <v>15</v>
      </c>
      <c r="H109" s="4">
        <v>8</v>
      </c>
      <c r="I109" s="4">
        <v>10</v>
      </c>
      <c r="J109" s="4">
        <v>7</v>
      </c>
      <c r="K109" s="227"/>
      <c r="L109" s="4" t="s">
        <v>14</v>
      </c>
      <c r="M109" s="4">
        <v>12</v>
      </c>
      <c r="N109" s="4">
        <v>15</v>
      </c>
      <c r="O109" s="4">
        <v>14</v>
      </c>
      <c r="P109" s="4">
        <v>12</v>
      </c>
      <c r="Q109" s="4">
        <v>12</v>
      </c>
      <c r="R109" s="4">
        <v>5</v>
      </c>
      <c r="S109" s="4">
        <v>3</v>
      </c>
      <c r="T109" s="50">
        <v>3</v>
      </c>
      <c r="U109" s="59">
        <f t="shared" si="18"/>
        <v>158</v>
      </c>
    </row>
    <row r="110" spans="1:40" ht="15.75" customHeight="1">
      <c r="A110" s="230"/>
      <c r="B110" s="4" t="s">
        <v>15</v>
      </c>
      <c r="C110" s="4">
        <v>19</v>
      </c>
      <c r="D110" s="4">
        <v>26</v>
      </c>
      <c r="E110" s="4">
        <v>25</v>
      </c>
      <c r="F110" s="4">
        <v>24</v>
      </c>
      <c r="G110" s="4">
        <v>27</v>
      </c>
      <c r="H110" s="4">
        <v>24</v>
      </c>
      <c r="I110" s="4">
        <v>22</v>
      </c>
      <c r="J110" s="4">
        <v>25</v>
      </c>
      <c r="K110" s="227"/>
      <c r="L110" s="4" t="s">
        <v>15</v>
      </c>
      <c r="M110" s="4">
        <v>27</v>
      </c>
      <c r="N110" s="4">
        <v>89</v>
      </c>
      <c r="O110" s="4">
        <v>27</v>
      </c>
      <c r="P110" s="4">
        <v>25</v>
      </c>
      <c r="Q110" s="4">
        <v>38</v>
      </c>
      <c r="R110" s="4">
        <v>27</v>
      </c>
      <c r="S110" s="4">
        <v>28</v>
      </c>
      <c r="T110" s="50">
        <v>28</v>
      </c>
      <c r="U110" s="59">
        <f t="shared" si="18"/>
        <v>481</v>
      </c>
    </row>
    <row r="111" spans="1:40" ht="15.75" customHeight="1">
      <c r="A111" s="230"/>
      <c r="B111" s="4" t="s">
        <v>16</v>
      </c>
      <c r="C111" s="4">
        <v>6</v>
      </c>
      <c r="D111" s="4">
        <v>3</v>
      </c>
      <c r="E111" s="4">
        <v>4</v>
      </c>
      <c r="F111" s="4">
        <v>8</v>
      </c>
      <c r="G111" s="4">
        <v>10</v>
      </c>
      <c r="H111" s="4">
        <v>5</v>
      </c>
      <c r="I111" s="4">
        <v>4</v>
      </c>
      <c r="J111" s="4">
        <v>5</v>
      </c>
      <c r="K111" s="227"/>
      <c r="L111" s="4" t="s">
        <v>16</v>
      </c>
      <c r="M111" s="4">
        <v>7</v>
      </c>
      <c r="N111" s="4">
        <v>7</v>
      </c>
      <c r="O111" s="4">
        <v>5</v>
      </c>
      <c r="P111" s="4">
        <v>5</v>
      </c>
      <c r="Q111" s="4">
        <v>6</v>
      </c>
      <c r="R111" s="4">
        <v>6</v>
      </c>
      <c r="S111" s="4">
        <v>3</v>
      </c>
      <c r="T111" s="50">
        <v>3</v>
      </c>
      <c r="U111" s="59">
        <f t="shared" si="18"/>
        <v>87</v>
      </c>
    </row>
    <row r="112" spans="1:40" ht="15.75" customHeight="1">
      <c r="A112" s="230"/>
      <c r="B112" s="4" t="s">
        <v>17</v>
      </c>
      <c r="C112" s="4">
        <v>4</v>
      </c>
      <c r="D112" s="4">
        <v>5</v>
      </c>
      <c r="E112" s="4">
        <v>6</v>
      </c>
      <c r="F112" s="4">
        <v>10</v>
      </c>
      <c r="G112" s="4">
        <v>11</v>
      </c>
      <c r="H112" s="4">
        <v>8</v>
      </c>
      <c r="I112" s="4">
        <v>6</v>
      </c>
      <c r="J112" s="4">
        <v>7</v>
      </c>
      <c r="K112" s="227"/>
      <c r="L112" s="4" t="s">
        <v>17</v>
      </c>
      <c r="M112" s="4">
        <v>7</v>
      </c>
      <c r="N112" s="4">
        <v>8</v>
      </c>
      <c r="O112" s="4">
        <v>4</v>
      </c>
      <c r="P112" s="4">
        <v>5</v>
      </c>
      <c r="Q112" s="4">
        <v>7</v>
      </c>
      <c r="R112" s="4">
        <v>6</v>
      </c>
      <c r="S112" s="4">
        <v>4</v>
      </c>
      <c r="T112" s="50">
        <v>4</v>
      </c>
      <c r="U112" s="59">
        <f t="shared" si="18"/>
        <v>102</v>
      </c>
    </row>
    <row r="113" spans="1:21" ht="15.75" customHeight="1">
      <c r="A113" s="230"/>
      <c r="B113" s="46" t="s">
        <v>18</v>
      </c>
      <c r="C113" s="46">
        <v>17</v>
      </c>
      <c r="D113" s="46">
        <v>14</v>
      </c>
      <c r="E113" s="46">
        <v>11</v>
      </c>
      <c r="F113" s="46">
        <v>11</v>
      </c>
      <c r="G113" s="46">
        <v>15</v>
      </c>
      <c r="H113" s="46">
        <v>6</v>
      </c>
      <c r="I113" s="46">
        <v>7</v>
      </c>
      <c r="J113" s="46">
        <v>10</v>
      </c>
      <c r="K113" s="227"/>
      <c r="L113" s="46" t="s">
        <v>18</v>
      </c>
      <c r="M113" s="46">
        <v>5</v>
      </c>
      <c r="N113" s="46">
        <v>5</v>
      </c>
      <c r="O113" s="46">
        <v>4</v>
      </c>
      <c r="P113" s="46">
        <v>3</v>
      </c>
      <c r="Q113" s="46">
        <v>8</v>
      </c>
      <c r="R113" s="46">
        <v>8</v>
      </c>
      <c r="S113" s="46">
        <v>4</v>
      </c>
      <c r="T113" s="69">
        <v>4</v>
      </c>
      <c r="U113" s="59">
        <f t="shared" si="18"/>
        <v>132</v>
      </c>
    </row>
    <row r="114" spans="1:21" ht="15.75" customHeight="1">
      <c r="A114" s="193" t="s">
        <v>8</v>
      </c>
      <c r="B114" s="63" t="s">
        <v>13</v>
      </c>
      <c r="C114" s="63">
        <v>16</v>
      </c>
      <c r="D114" s="63">
        <v>21</v>
      </c>
      <c r="E114" s="63">
        <v>20</v>
      </c>
      <c r="F114" s="63">
        <v>32</v>
      </c>
      <c r="G114" s="63">
        <v>32</v>
      </c>
      <c r="H114" s="63">
        <v>38</v>
      </c>
      <c r="I114" s="63">
        <v>26</v>
      </c>
      <c r="J114" s="63">
        <v>14</v>
      </c>
      <c r="K114" s="194"/>
      <c r="L114" s="63" t="s">
        <v>13</v>
      </c>
      <c r="M114" s="63">
        <v>19</v>
      </c>
      <c r="N114" s="63">
        <v>19</v>
      </c>
      <c r="O114" s="63">
        <v>24</v>
      </c>
      <c r="P114" s="63">
        <v>23</v>
      </c>
      <c r="Q114" s="63">
        <v>27</v>
      </c>
      <c r="R114" s="63">
        <v>27</v>
      </c>
      <c r="S114" s="63">
        <v>16</v>
      </c>
      <c r="T114" s="68">
        <v>9</v>
      </c>
      <c r="U114" s="59">
        <f t="shared" si="18"/>
        <v>363</v>
      </c>
    </row>
    <row r="115" spans="1:21" ht="15.75" customHeight="1">
      <c r="A115" s="230"/>
      <c r="B115" s="6" t="s">
        <v>14</v>
      </c>
      <c r="C115" s="6">
        <v>4</v>
      </c>
      <c r="D115" s="6">
        <v>8</v>
      </c>
      <c r="E115" s="6">
        <v>11</v>
      </c>
      <c r="F115" s="6">
        <v>16</v>
      </c>
      <c r="G115" s="6">
        <v>7</v>
      </c>
      <c r="H115" s="6">
        <v>9</v>
      </c>
      <c r="I115" s="6">
        <v>7</v>
      </c>
      <c r="J115" s="6">
        <v>6</v>
      </c>
      <c r="K115" s="227"/>
      <c r="L115" s="6" t="s">
        <v>14</v>
      </c>
      <c r="M115" s="6">
        <v>6</v>
      </c>
      <c r="N115" s="6">
        <v>3</v>
      </c>
      <c r="O115" s="6">
        <v>4</v>
      </c>
      <c r="P115" s="6">
        <v>4</v>
      </c>
      <c r="Q115" s="6">
        <v>9</v>
      </c>
      <c r="R115" s="6">
        <v>5</v>
      </c>
      <c r="S115" s="6">
        <v>4</v>
      </c>
      <c r="T115" s="51">
        <v>1</v>
      </c>
      <c r="U115" s="59">
        <f t="shared" si="18"/>
        <v>104</v>
      </c>
    </row>
    <row r="116" spans="1:21" ht="15.75" customHeight="1">
      <c r="A116" s="230"/>
      <c r="B116" s="6" t="s">
        <v>15</v>
      </c>
      <c r="C116" s="6">
        <v>10</v>
      </c>
      <c r="D116" s="6">
        <v>23</v>
      </c>
      <c r="E116" s="6">
        <v>16</v>
      </c>
      <c r="F116" s="6">
        <v>18</v>
      </c>
      <c r="G116" s="6">
        <v>34</v>
      </c>
      <c r="H116" s="6">
        <v>31</v>
      </c>
      <c r="I116" s="6">
        <v>28</v>
      </c>
      <c r="J116" s="6">
        <v>24</v>
      </c>
      <c r="K116" s="227"/>
      <c r="L116" s="6" t="s">
        <v>15</v>
      </c>
      <c r="M116" s="6">
        <v>20</v>
      </c>
      <c r="N116" s="6">
        <v>22</v>
      </c>
      <c r="O116" s="6">
        <v>22</v>
      </c>
      <c r="P116" s="6">
        <v>25</v>
      </c>
      <c r="Q116" s="6">
        <v>30</v>
      </c>
      <c r="R116" s="6">
        <v>32</v>
      </c>
      <c r="S116" s="6">
        <v>30</v>
      </c>
      <c r="T116" s="51">
        <v>14</v>
      </c>
      <c r="U116" s="59">
        <f t="shared" si="18"/>
        <v>379</v>
      </c>
    </row>
    <row r="117" spans="1:21" ht="15.75" customHeight="1">
      <c r="A117" s="230"/>
      <c r="B117" s="6" t="s">
        <v>16</v>
      </c>
      <c r="C117" s="6">
        <v>1</v>
      </c>
      <c r="D117" s="6">
        <v>3</v>
      </c>
      <c r="E117" s="6">
        <v>4</v>
      </c>
      <c r="F117" s="6">
        <v>9</v>
      </c>
      <c r="G117" s="6">
        <v>13</v>
      </c>
      <c r="H117" s="6">
        <v>5</v>
      </c>
      <c r="I117" s="6">
        <v>5</v>
      </c>
      <c r="J117" s="6">
        <v>3</v>
      </c>
      <c r="K117" s="227"/>
      <c r="L117" s="6" t="s">
        <v>16</v>
      </c>
      <c r="M117" s="6">
        <v>3</v>
      </c>
      <c r="N117" s="6">
        <v>8</v>
      </c>
      <c r="O117" s="6">
        <v>2</v>
      </c>
      <c r="P117" s="6">
        <v>2</v>
      </c>
      <c r="Q117" s="6">
        <v>5</v>
      </c>
      <c r="R117" s="6">
        <v>4</v>
      </c>
      <c r="S117" s="6">
        <v>20</v>
      </c>
      <c r="T117" s="51">
        <v>3</v>
      </c>
      <c r="U117" s="59">
        <f t="shared" si="18"/>
        <v>90</v>
      </c>
    </row>
    <row r="118" spans="1:21" ht="15.75" customHeight="1">
      <c r="A118" s="230"/>
      <c r="B118" s="6" t="s">
        <v>17</v>
      </c>
      <c r="C118" s="6">
        <v>6</v>
      </c>
      <c r="D118" s="6">
        <v>8</v>
      </c>
      <c r="E118" s="6">
        <v>10</v>
      </c>
      <c r="F118" s="6">
        <v>8</v>
      </c>
      <c r="G118" s="6">
        <v>12</v>
      </c>
      <c r="H118" s="6">
        <v>12</v>
      </c>
      <c r="I118" s="6">
        <v>11</v>
      </c>
      <c r="J118" s="6">
        <v>5</v>
      </c>
      <c r="K118" s="227"/>
      <c r="L118" s="6" t="s">
        <v>17</v>
      </c>
      <c r="M118" s="6">
        <v>3</v>
      </c>
      <c r="N118" s="6">
        <v>2</v>
      </c>
      <c r="O118" s="6">
        <v>6</v>
      </c>
      <c r="P118" s="6">
        <v>5</v>
      </c>
      <c r="Q118" s="6">
        <v>2</v>
      </c>
      <c r="R118" s="6">
        <v>11</v>
      </c>
      <c r="S118" s="6">
        <v>3</v>
      </c>
      <c r="T118" s="51">
        <v>2</v>
      </c>
      <c r="U118" s="59">
        <f t="shared" si="18"/>
        <v>106</v>
      </c>
    </row>
    <row r="119" spans="1:21" ht="15.75" customHeight="1">
      <c r="A119" s="230"/>
      <c r="B119" s="47" t="s">
        <v>18</v>
      </c>
      <c r="C119" s="47">
        <v>15</v>
      </c>
      <c r="D119" s="47">
        <v>11</v>
      </c>
      <c r="E119" s="47">
        <v>4</v>
      </c>
      <c r="F119" s="47">
        <v>10</v>
      </c>
      <c r="G119" s="47">
        <v>8</v>
      </c>
      <c r="H119" s="47">
        <v>11</v>
      </c>
      <c r="I119" s="47">
        <v>9</v>
      </c>
      <c r="J119" s="47">
        <v>9</v>
      </c>
      <c r="K119" s="227"/>
      <c r="L119" s="47" t="s">
        <v>18</v>
      </c>
      <c r="M119" s="47">
        <v>3</v>
      </c>
      <c r="N119" s="47">
        <v>3</v>
      </c>
      <c r="O119" s="47">
        <v>2</v>
      </c>
      <c r="P119" s="47">
        <v>3</v>
      </c>
      <c r="Q119" s="47">
        <v>4</v>
      </c>
      <c r="R119" s="47">
        <v>12</v>
      </c>
      <c r="S119" s="47">
        <v>9</v>
      </c>
      <c r="T119" s="70">
        <v>4</v>
      </c>
      <c r="U119" s="59">
        <f t="shared" si="18"/>
        <v>117</v>
      </c>
    </row>
    <row r="120" spans="1:21" ht="15.75" customHeight="1">
      <c r="A120" s="195" t="s">
        <v>9</v>
      </c>
      <c r="B120" s="56" t="s">
        <v>13</v>
      </c>
      <c r="C120" s="56">
        <v>22</v>
      </c>
      <c r="D120" s="56">
        <v>23</v>
      </c>
      <c r="E120" s="56">
        <v>23</v>
      </c>
      <c r="F120" s="56">
        <v>32</v>
      </c>
      <c r="G120" s="56">
        <v>50</v>
      </c>
      <c r="H120" s="56">
        <v>42</v>
      </c>
      <c r="I120" s="56">
        <v>42</v>
      </c>
      <c r="J120" s="56">
        <v>18</v>
      </c>
      <c r="K120" s="196" t="s">
        <v>9</v>
      </c>
      <c r="L120" s="56" t="s">
        <v>13</v>
      </c>
      <c r="M120" s="56">
        <v>19</v>
      </c>
      <c r="N120" s="56">
        <v>23</v>
      </c>
      <c r="O120" s="56">
        <v>29</v>
      </c>
      <c r="P120" s="56">
        <v>29</v>
      </c>
      <c r="Q120" s="56">
        <v>24</v>
      </c>
      <c r="R120" s="56">
        <v>20</v>
      </c>
      <c r="S120" s="56">
        <v>15</v>
      </c>
      <c r="T120" s="67">
        <v>13</v>
      </c>
      <c r="U120" s="59">
        <f t="shared" si="18"/>
        <v>424</v>
      </c>
    </row>
    <row r="121" spans="1:21" ht="15.75" customHeight="1">
      <c r="A121" s="230"/>
      <c r="B121" s="4" t="s">
        <v>14</v>
      </c>
      <c r="C121" s="4">
        <v>7</v>
      </c>
      <c r="D121" s="4">
        <v>10</v>
      </c>
      <c r="E121" s="4">
        <v>15</v>
      </c>
      <c r="F121" s="4">
        <v>18</v>
      </c>
      <c r="G121" s="4">
        <v>16</v>
      </c>
      <c r="H121" s="4">
        <v>31</v>
      </c>
      <c r="I121" s="4">
        <v>31</v>
      </c>
      <c r="J121" s="4">
        <v>10</v>
      </c>
      <c r="K121" s="227"/>
      <c r="L121" s="4" t="s">
        <v>14</v>
      </c>
      <c r="M121" s="4">
        <v>6</v>
      </c>
      <c r="N121" s="4">
        <v>10</v>
      </c>
      <c r="O121" s="4">
        <v>12</v>
      </c>
      <c r="P121" s="4">
        <v>11</v>
      </c>
      <c r="Q121" s="4">
        <v>10</v>
      </c>
      <c r="R121" s="4">
        <v>10</v>
      </c>
      <c r="S121" s="4">
        <v>5</v>
      </c>
      <c r="T121" s="50">
        <v>2</v>
      </c>
      <c r="U121" s="59">
        <f t="shared" si="18"/>
        <v>204</v>
      </c>
    </row>
    <row r="122" spans="1:21" ht="15.75" customHeight="1">
      <c r="A122" s="230"/>
      <c r="B122" s="4" t="s">
        <v>15</v>
      </c>
      <c r="C122" s="4">
        <v>18</v>
      </c>
      <c r="D122" s="4">
        <v>24</v>
      </c>
      <c r="E122" s="4">
        <v>24</v>
      </c>
      <c r="F122" s="4">
        <v>28</v>
      </c>
      <c r="G122" s="4">
        <v>23</v>
      </c>
      <c r="H122" s="4">
        <v>13</v>
      </c>
      <c r="I122" s="4">
        <v>13</v>
      </c>
      <c r="J122" s="4">
        <v>25</v>
      </c>
      <c r="K122" s="227"/>
      <c r="L122" s="4" t="s">
        <v>15</v>
      </c>
      <c r="M122" s="4">
        <v>20</v>
      </c>
      <c r="N122" s="4">
        <v>24</v>
      </c>
      <c r="O122" s="4">
        <v>25</v>
      </c>
      <c r="P122" s="4">
        <v>29</v>
      </c>
      <c r="Q122" s="4">
        <v>23</v>
      </c>
      <c r="R122" s="4">
        <v>27</v>
      </c>
      <c r="S122" s="4">
        <v>30</v>
      </c>
      <c r="T122" s="50">
        <v>26</v>
      </c>
      <c r="U122" s="59">
        <f t="shared" si="18"/>
        <v>372</v>
      </c>
    </row>
    <row r="123" spans="1:21" ht="15.75" customHeight="1">
      <c r="A123" s="230"/>
      <c r="B123" s="4" t="s">
        <v>16</v>
      </c>
      <c r="C123" s="4">
        <v>3</v>
      </c>
      <c r="D123" s="4">
        <v>4</v>
      </c>
      <c r="E123" s="4">
        <v>8</v>
      </c>
      <c r="F123" s="4">
        <v>5</v>
      </c>
      <c r="G123" s="4">
        <v>9</v>
      </c>
      <c r="H123" s="4">
        <v>10</v>
      </c>
      <c r="I123" s="4">
        <v>10</v>
      </c>
      <c r="J123" s="4">
        <v>10</v>
      </c>
      <c r="K123" s="227"/>
      <c r="L123" s="4" t="s">
        <v>16</v>
      </c>
      <c r="M123" s="4">
        <v>3</v>
      </c>
      <c r="N123" s="4">
        <v>5</v>
      </c>
      <c r="O123" s="4">
        <v>10</v>
      </c>
      <c r="P123" s="4">
        <v>3</v>
      </c>
      <c r="Q123" s="4">
        <v>6</v>
      </c>
      <c r="R123" s="4">
        <v>3</v>
      </c>
      <c r="S123" s="4">
        <v>7</v>
      </c>
      <c r="T123" s="50">
        <v>2</v>
      </c>
      <c r="U123" s="59">
        <f t="shared" si="18"/>
        <v>98</v>
      </c>
    </row>
    <row r="124" spans="1:21" ht="15.75" customHeight="1">
      <c r="A124" s="230"/>
      <c r="B124" s="4" t="s">
        <v>17</v>
      </c>
      <c r="C124" s="4">
        <v>12</v>
      </c>
      <c r="D124" s="4">
        <v>7</v>
      </c>
      <c r="E124" s="4">
        <v>12</v>
      </c>
      <c r="F124" s="4">
        <v>14</v>
      </c>
      <c r="G124" s="4">
        <v>9</v>
      </c>
      <c r="H124" s="4">
        <v>6</v>
      </c>
      <c r="I124" s="4">
        <v>6</v>
      </c>
      <c r="J124" s="4">
        <v>7</v>
      </c>
      <c r="K124" s="227"/>
      <c r="L124" s="4" t="s">
        <v>17</v>
      </c>
      <c r="M124" s="4">
        <v>3</v>
      </c>
      <c r="N124" s="4">
        <v>3</v>
      </c>
      <c r="O124" s="4">
        <v>6</v>
      </c>
      <c r="P124" s="4">
        <v>7</v>
      </c>
      <c r="Q124" s="4">
        <v>9</v>
      </c>
      <c r="R124" s="4">
        <v>3</v>
      </c>
      <c r="S124" s="4">
        <v>2</v>
      </c>
      <c r="T124" s="50">
        <v>3</v>
      </c>
      <c r="U124" s="59">
        <f t="shared" si="18"/>
        <v>109</v>
      </c>
    </row>
    <row r="125" spans="1:21" ht="15.75" customHeight="1">
      <c r="A125" s="230"/>
      <c r="B125" s="46" t="s">
        <v>18</v>
      </c>
      <c r="C125" s="46">
        <v>10</v>
      </c>
      <c r="D125" s="46">
        <v>14</v>
      </c>
      <c r="E125" s="46">
        <v>6</v>
      </c>
      <c r="F125" s="46">
        <v>5</v>
      </c>
      <c r="G125" s="46">
        <v>13</v>
      </c>
      <c r="H125" s="46">
        <v>13</v>
      </c>
      <c r="I125" s="46">
        <v>13</v>
      </c>
      <c r="J125" s="46">
        <v>10</v>
      </c>
      <c r="K125" s="227"/>
      <c r="L125" s="46" t="s">
        <v>18</v>
      </c>
      <c r="M125" s="46">
        <v>3</v>
      </c>
      <c r="N125" s="46">
        <v>9</v>
      </c>
      <c r="O125" s="46">
        <v>9</v>
      </c>
      <c r="P125" s="46">
        <v>3</v>
      </c>
      <c r="Q125" s="46">
        <v>14</v>
      </c>
      <c r="R125" s="46">
        <v>8</v>
      </c>
      <c r="S125" s="46">
        <v>6</v>
      </c>
      <c r="T125" s="69">
        <v>6</v>
      </c>
      <c r="U125" s="59">
        <f t="shared" si="18"/>
        <v>142</v>
      </c>
    </row>
    <row r="126" spans="1:21" ht="15.75" customHeight="1">
      <c r="A126" s="193" t="s">
        <v>10</v>
      </c>
      <c r="B126" s="63" t="s">
        <v>13</v>
      </c>
      <c r="C126" s="121">
        <v>15</v>
      </c>
      <c r="D126" s="121">
        <v>16</v>
      </c>
      <c r="E126" s="121">
        <v>21</v>
      </c>
      <c r="F126" s="121">
        <v>18</v>
      </c>
      <c r="G126" s="121">
        <v>25</v>
      </c>
      <c r="H126" s="121">
        <v>27</v>
      </c>
      <c r="I126" s="121">
        <v>32</v>
      </c>
      <c r="J126" s="121">
        <v>21</v>
      </c>
      <c r="K126" s="194" t="s">
        <v>10</v>
      </c>
      <c r="L126" s="63" t="s">
        <v>13</v>
      </c>
      <c r="M126" s="121">
        <v>21</v>
      </c>
      <c r="N126" s="121">
        <v>16</v>
      </c>
      <c r="O126" s="121">
        <v>19</v>
      </c>
      <c r="P126" s="121">
        <v>27</v>
      </c>
      <c r="Q126" s="121">
        <v>26</v>
      </c>
      <c r="R126" s="121">
        <v>20</v>
      </c>
      <c r="S126" s="121">
        <v>17</v>
      </c>
      <c r="T126" s="124">
        <v>9</v>
      </c>
      <c r="U126" s="59">
        <f t="shared" si="18"/>
        <v>330</v>
      </c>
    </row>
    <row r="127" spans="1:21" ht="15.75" customHeight="1">
      <c r="A127" s="230"/>
      <c r="B127" s="6" t="s">
        <v>14</v>
      </c>
      <c r="C127" s="122">
        <v>4</v>
      </c>
      <c r="D127" s="122">
        <v>5</v>
      </c>
      <c r="E127" s="122">
        <v>10</v>
      </c>
      <c r="F127" s="122">
        <v>7</v>
      </c>
      <c r="G127" s="122">
        <v>17</v>
      </c>
      <c r="H127" s="122">
        <v>15</v>
      </c>
      <c r="I127" s="122">
        <v>14</v>
      </c>
      <c r="J127" s="122">
        <v>7</v>
      </c>
      <c r="K127" s="227"/>
      <c r="L127" s="6" t="s">
        <v>14</v>
      </c>
      <c r="M127" s="122">
        <v>6</v>
      </c>
      <c r="N127" s="122">
        <v>7</v>
      </c>
      <c r="O127" s="122">
        <v>7</v>
      </c>
      <c r="P127" s="122">
        <v>6</v>
      </c>
      <c r="Q127" s="122">
        <v>2</v>
      </c>
      <c r="R127" s="122">
        <v>5</v>
      </c>
      <c r="S127" s="122">
        <v>1</v>
      </c>
      <c r="T127" s="125">
        <v>3</v>
      </c>
      <c r="U127" s="59">
        <f t="shared" si="18"/>
        <v>116</v>
      </c>
    </row>
    <row r="128" spans="1:21" ht="15.75" customHeight="1">
      <c r="A128" s="230"/>
      <c r="B128" s="6" t="s">
        <v>15</v>
      </c>
      <c r="C128" s="122">
        <v>12</v>
      </c>
      <c r="D128" s="122">
        <v>19</v>
      </c>
      <c r="E128" s="122">
        <v>21</v>
      </c>
      <c r="F128" s="122">
        <v>19</v>
      </c>
      <c r="G128" s="122">
        <v>21</v>
      </c>
      <c r="H128" s="122">
        <v>21</v>
      </c>
      <c r="I128" s="122">
        <v>20</v>
      </c>
      <c r="J128" s="122">
        <v>17</v>
      </c>
      <c r="K128" s="227"/>
      <c r="L128" s="6" t="s">
        <v>15</v>
      </c>
      <c r="M128" s="122">
        <v>28</v>
      </c>
      <c r="N128" s="122">
        <v>20</v>
      </c>
      <c r="O128" s="122">
        <v>26</v>
      </c>
      <c r="P128" s="122">
        <v>23</v>
      </c>
      <c r="Q128" s="122">
        <v>19</v>
      </c>
      <c r="R128" s="122">
        <v>32</v>
      </c>
      <c r="S128" s="122">
        <v>32</v>
      </c>
      <c r="T128" s="125">
        <v>20</v>
      </c>
      <c r="U128" s="59">
        <f t="shared" si="18"/>
        <v>350</v>
      </c>
    </row>
    <row r="129" spans="1:40" ht="15.75" customHeight="1">
      <c r="A129" s="230"/>
      <c r="B129" s="6" t="s">
        <v>16</v>
      </c>
      <c r="C129" s="122">
        <v>3</v>
      </c>
      <c r="D129" s="122">
        <v>5</v>
      </c>
      <c r="E129" s="122">
        <v>4</v>
      </c>
      <c r="F129" s="122">
        <v>3</v>
      </c>
      <c r="G129" s="122">
        <v>15</v>
      </c>
      <c r="H129" s="122">
        <v>19</v>
      </c>
      <c r="I129" s="122">
        <v>7</v>
      </c>
      <c r="J129" s="122">
        <v>4</v>
      </c>
      <c r="K129" s="227"/>
      <c r="L129" s="6" t="s">
        <v>16</v>
      </c>
      <c r="M129" s="122">
        <v>3</v>
      </c>
      <c r="N129" s="122">
        <v>2</v>
      </c>
      <c r="O129" s="122">
        <v>8</v>
      </c>
      <c r="P129" s="122">
        <v>6</v>
      </c>
      <c r="Q129" s="122">
        <v>6</v>
      </c>
      <c r="R129" s="122">
        <v>4</v>
      </c>
      <c r="S129" s="122">
        <v>4</v>
      </c>
      <c r="T129" s="125">
        <v>5</v>
      </c>
      <c r="U129" s="59">
        <f t="shared" si="18"/>
        <v>98</v>
      </c>
    </row>
    <row r="130" spans="1:40" ht="15.75" customHeight="1">
      <c r="A130" s="230"/>
      <c r="B130" s="6" t="s">
        <v>17</v>
      </c>
      <c r="C130" s="122">
        <v>4</v>
      </c>
      <c r="D130" s="122">
        <v>10</v>
      </c>
      <c r="E130" s="122">
        <v>7</v>
      </c>
      <c r="F130" s="122">
        <v>5</v>
      </c>
      <c r="G130" s="122">
        <v>7</v>
      </c>
      <c r="H130" s="122">
        <v>20</v>
      </c>
      <c r="I130" s="122">
        <v>8</v>
      </c>
      <c r="J130" s="122">
        <v>7</v>
      </c>
      <c r="K130" s="227"/>
      <c r="L130" s="6" t="s">
        <v>17</v>
      </c>
      <c r="M130" s="122">
        <v>5</v>
      </c>
      <c r="N130" s="122">
        <v>6</v>
      </c>
      <c r="O130" s="122">
        <v>8</v>
      </c>
      <c r="P130" s="122">
        <v>7</v>
      </c>
      <c r="Q130" s="122">
        <v>5</v>
      </c>
      <c r="R130" s="122">
        <v>3</v>
      </c>
      <c r="S130" s="122">
        <v>1</v>
      </c>
      <c r="T130" s="125">
        <v>4</v>
      </c>
      <c r="U130" s="59">
        <f t="shared" si="18"/>
        <v>107</v>
      </c>
    </row>
    <row r="131" spans="1:40" ht="15.75" customHeight="1">
      <c r="A131" s="230"/>
      <c r="B131" s="47" t="s">
        <v>18</v>
      </c>
      <c r="C131" s="123">
        <v>17</v>
      </c>
      <c r="D131" s="123">
        <v>5</v>
      </c>
      <c r="E131" s="123">
        <v>4</v>
      </c>
      <c r="F131" s="123">
        <v>6</v>
      </c>
      <c r="G131" s="123">
        <v>8</v>
      </c>
      <c r="H131" s="123">
        <v>10</v>
      </c>
      <c r="I131" s="123">
        <v>7</v>
      </c>
      <c r="J131" s="123">
        <v>7</v>
      </c>
      <c r="K131" s="227"/>
      <c r="L131" s="47" t="s">
        <v>18</v>
      </c>
      <c r="M131" s="123">
        <v>3</v>
      </c>
      <c r="N131" s="123">
        <v>3</v>
      </c>
      <c r="O131" s="123">
        <v>1</v>
      </c>
      <c r="P131" s="123">
        <v>10</v>
      </c>
      <c r="Q131" s="123">
        <v>3</v>
      </c>
      <c r="R131" s="123">
        <v>4</v>
      </c>
      <c r="S131" s="123">
        <v>11</v>
      </c>
      <c r="T131" s="126">
        <v>4</v>
      </c>
      <c r="U131" s="59">
        <f t="shared" si="18"/>
        <v>103</v>
      </c>
    </row>
    <row r="132" spans="1:40" ht="15.75" customHeight="1">
      <c r="A132" s="195" t="s">
        <v>11</v>
      </c>
      <c r="B132" s="56" t="s">
        <v>13</v>
      </c>
      <c r="C132" s="127">
        <v>6</v>
      </c>
      <c r="D132" s="127">
        <v>17</v>
      </c>
      <c r="E132" s="127">
        <v>26</v>
      </c>
      <c r="F132" s="127">
        <v>29</v>
      </c>
      <c r="G132" s="127">
        <v>28</v>
      </c>
      <c r="H132" s="127"/>
      <c r="I132" s="127"/>
      <c r="J132" s="127"/>
      <c r="K132" s="196" t="s">
        <v>11</v>
      </c>
      <c r="L132" s="56" t="s">
        <v>13</v>
      </c>
      <c r="M132" s="127">
        <v>9</v>
      </c>
      <c r="N132" s="127">
        <v>16</v>
      </c>
      <c r="O132" s="127">
        <v>15</v>
      </c>
      <c r="P132" s="127">
        <v>11</v>
      </c>
      <c r="Q132" s="127">
        <v>14</v>
      </c>
      <c r="R132" s="127">
        <v>7</v>
      </c>
      <c r="S132" s="127">
        <v>9</v>
      </c>
      <c r="T132" s="130">
        <v>4</v>
      </c>
      <c r="U132" s="59">
        <f t="shared" si="18"/>
        <v>191</v>
      </c>
    </row>
    <row r="133" spans="1:40" ht="15.75" customHeight="1">
      <c r="A133" s="230"/>
      <c r="B133" s="4" t="s">
        <v>14</v>
      </c>
      <c r="C133" s="128">
        <v>4</v>
      </c>
      <c r="D133" s="128">
        <v>6</v>
      </c>
      <c r="E133" s="128">
        <v>7</v>
      </c>
      <c r="F133" s="128">
        <v>7</v>
      </c>
      <c r="G133" s="128">
        <v>11</v>
      </c>
      <c r="H133" s="128"/>
      <c r="I133" s="128"/>
      <c r="J133" s="128"/>
      <c r="K133" s="227"/>
      <c r="L133" s="4" t="s">
        <v>14</v>
      </c>
      <c r="M133" s="128">
        <v>6</v>
      </c>
      <c r="N133" s="128">
        <v>4</v>
      </c>
      <c r="O133" s="128">
        <v>4</v>
      </c>
      <c r="P133" s="128">
        <v>3</v>
      </c>
      <c r="Q133" s="128">
        <v>4</v>
      </c>
      <c r="R133" s="128">
        <v>4</v>
      </c>
      <c r="S133" s="128">
        <v>3</v>
      </c>
      <c r="T133" s="131">
        <v>4</v>
      </c>
      <c r="U133" s="59">
        <f t="shared" si="18"/>
        <v>67</v>
      </c>
    </row>
    <row r="134" spans="1:40" ht="15.75" customHeight="1">
      <c r="A134" s="230"/>
      <c r="B134" s="4" t="s">
        <v>15</v>
      </c>
      <c r="C134" s="128">
        <v>9</v>
      </c>
      <c r="D134" s="128">
        <v>17</v>
      </c>
      <c r="E134" s="128">
        <v>25</v>
      </c>
      <c r="F134" s="128">
        <v>19</v>
      </c>
      <c r="G134" s="128">
        <v>30</v>
      </c>
      <c r="H134" s="128"/>
      <c r="I134" s="128"/>
      <c r="J134" s="128"/>
      <c r="K134" s="227"/>
      <c r="L134" s="4" t="s">
        <v>15</v>
      </c>
      <c r="M134" s="128">
        <v>14</v>
      </c>
      <c r="N134" s="128">
        <v>21</v>
      </c>
      <c r="O134" s="128">
        <v>12</v>
      </c>
      <c r="P134" s="128">
        <v>15</v>
      </c>
      <c r="Q134" s="128">
        <v>20</v>
      </c>
      <c r="R134" s="128">
        <v>20</v>
      </c>
      <c r="S134" s="128">
        <v>14</v>
      </c>
      <c r="T134" s="131">
        <v>6</v>
      </c>
      <c r="U134" s="59">
        <f t="shared" si="18"/>
        <v>222</v>
      </c>
    </row>
    <row r="135" spans="1:40" ht="15.75" customHeight="1">
      <c r="A135" s="230"/>
      <c r="B135" s="4" t="s">
        <v>16</v>
      </c>
      <c r="C135" s="128">
        <v>1</v>
      </c>
      <c r="D135" s="128">
        <v>1</v>
      </c>
      <c r="E135" s="128">
        <v>8</v>
      </c>
      <c r="F135" s="128">
        <v>14</v>
      </c>
      <c r="G135" s="128">
        <v>9</v>
      </c>
      <c r="H135" s="128"/>
      <c r="I135" s="128"/>
      <c r="J135" s="128"/>
      <c r="K135" s="227"/>
      <c r="L135" s="4" t="s">
        <v>16</v>
      </c>
      <c r="M135" s="128">
        <v>5</v>
      </c>
      <c r="N135" s="128">
        <v>6</v>
      </c>
      <c r="O135" s="128">
        <v>7</v>
      </c>
      <c r="P135" s="128">
        <v>7</v>
      </c>
      <c r="Q135" s="128">
        <v>4</v>
      </c>
      <c r="R135" s="128">
        <v>2</v>
      </c>
      <c r="S135" s="128">
        <v>2</v>
      </c>
      <c r="T135" s="131">
        <v>1</v>
      </c>
      <c r="U135" s="59">
        <f t="shared" si="18"/>
        <v>67</v>
      </c>
    </row>
    <row r="136" spans="1:40" ht="15.75" customHeight="1">
      <c r="A136" s="230"/>
      <c r="B136" s="4" t="s">
        <v>17</v>
      </c>
      <c r="C136" s="128">
        <v>4</v>
      </c>
      <c r="D136" s="128">
        <v>5</v>
      </c>
      <c r="E136" s="128">
        <v>5</v>
      </c>
      <c r="F136" s="128">
        <v>7</v>
      </c>
      <c r="G136" s="128">
        <v>8</v>
      </c>
      <c r="H136" s="128"/>
      <c r="I136" s="128"/>
      <c r="J136" s="128"/>
      <c r="K136" s="227"/>
      <c r="L136" s="4" t="s">
        <v>17</v>
      </c>
      <c r="M136" s="128">
        <v>4</v>
      </c>
      <c r="N136" s="128">
        <v>5</v>
      </c>
      <c r="O136" s="128">
        <v>6</v>
      </c>
      <c r="P136" s="128">
        <v>5</v>
      </c>
      <c r="Q136" s="128">
        <v>0</v>
      </c>
      <c r="R136" s="128">
        <v>5</v>
      </c>
      <c r="S136" s="128">
        <v>1</v>
      </c>
      <c r="T136" s="131">
        <v>2</v>
      </c>
      <c r="U136" s="59">
        <f t="shared" si="18"/>
        <v>57</v>
      </c>
    </row>
    <row r="137" spans="1:40" ht="15.75" customHeight="1">
      <c r="A137" s="231"/>
      <c r="B137" s="61" t="s">
        <v>18</v>
      </c>
      <c r="C137" s="129">
        <v>3</v>
      </c>
      <c r="D137" s="129">
        <v>14</v>
      </c>
      <c r="E137" s="129">
        <v>7</v>
      </c>
      <c r="F137" s="129">
        <v>19</v>
      </c>
      <c r="G137" s="129">
        <v>8</v>
      </c>
      <c r="H137" s="129"/>
      <c r="I137" s="129"/>
      <c r="J137" s="129"/>
      <c r="K137" s="232"/>
      <c r="L137" s="61" t="s">
        <v>18</v>
      </c>
      <c r="M137" s="129">
        <v>5</v>
      </c>
      <c r="N137" s="129">
        <v>6</v>
      </c>
      <c r="O137" s="129">
        <v>8</v>
      </c>
      <c r="P137" s="129">
        <v>1</v>
      </c>
      <c r="Q137" s="129">
        <v>5</v>
      </c>
      <c r="R137" s="129">
        <v>5</v>
      </c>
      <c r="S137" s="129">
        <v>2</v>
      </c>
      <c r="T137" s="132">
        <v>2</v>
      </c>
      <c r="U137" s="59">
        <f t="shared" si="18"/>
        <v>85</v>
      </c>
    </row>
    <row r="139" spans="1:40" ht="15.75" customHeight="1">
      <c r="A139" s="1"/>
      <c r="B139" s="1"/>
      <c r="C139" s="183" t="s">
        <v>0</v>
      </c>
      <c r="D139" s="225"/>
      <c r="E139" s="225"/>
      <c r="F139" s="225"/>
      <c r="G139" s="226"/>
      <c r="H139" s="2"/>
      <c r="I139" s="1"/>
    </row>
    <row r="140" spans="1:40" ht="15.75" customHeight="1">
      <c r="A140" s="1"/>
      <c r="B140" s="183" t="s">
        <v>1</v>
      </c>
      <c r="C140" s="225"/>
      <c r="D140" s="226"/>
      <c r="E140" s="1"/>
      <c r="F140" s="184" t="s">
        <v>97</v>
      </c>
      <c r="G140" s="225"/>
      <c r="H140" s="226"/>
      <c r="I140" s="1"/>
      <c r="K140" s="1"/>
      <c r="L140" s="183" t="s">
        <v>26</v>
      </c>
      <c r="M140" s="225"/>
      <c r="N140" s="226"/>
      <c r="O140" s="1"/>
      <c r="P140" s="184" t="s">
        <v>97</v>
      </c>
      <c r="Q140" s="225"/>
      <c r="R140" s="226"/>
      <c r="S140" s="1"/>
    </row>
    <row r="141" spans="1:40" ht="15.75" customHeight="1">
      <c r="A141" s="54" t="s">
        <v>35</v>
      </c>
      <c r="B141" s="54" t="s">
        <v>4</v>
      </c>
      <c r="C141" s="54" t="s">
        <v>12</v>
      </c>
      <c r="D141" s="54" t="s">
        <v>19</v>
      </c>
      <c r="E141" s="54" t="s">
        <v>20</v>
      </c>
      <c r="F141" s="54" t="s">
        <v>21</v>
      </c>
      <c r="G141" s="54" t="s">
        <v>22</v>
      </c>
      <c r="H141" s="54" t="s">
        <v>23</v>
      </c>
      <c r="I141" s="54" t="s">
        <v>24</v>
      </c>
      <c r="J141" s="54" t="s">
        <v>25</v>
      </c>
      <c r="K141" s="54" t="s">
        <v>35</v>
      </c>
      <c r="L141" s="54" t="s">
        <v>4</v>
      </c>
      <c r="M141" s="54" t="s">
        <v>27</v>
      </c>
      <c r="N141" s="54" t="s">
        <v>28</v>
      </c>
      <c r="O141" s="54" t="s">
        <v>29</v>
      </c>
      <c r="P141" s="54" t="s">
        <v>30</v>
      </c>
      <c r="Q141" s="54" t="s">
        <v>31</v>
      </c>
      <c r="R141" s="54" t="s">
        <v>32</v>
      </c>
      <c r="S141" s="54" t="s">
        <v>33</v>
      </c>
      <c r="T141" s="54" t="s">
        <v>34</v>
      </c>
      <c r="U141" s="54" t="s">
        <v>55</v>
      </c>
    </row>
    <row r="142" spans="1:40" ht="15.75" customHeight="1">
      <c r="A142" s="195" t="s">
        <v>5</v>
      </c>
      <c r="B142" s="56" t="s">
        <v>13</v>
      </c>
      <c r="C142" s="57"/>
      <c r="D142" s="57"/>
      <c r="E142" s="56">
        <v>3</v>
      </c>
      <c r="F142" s="56">
        <v>15</v>
      </c>
      <c r="G142" s="56">
        <v>12</v>
      </c>
      <c r="H142" s="56">
        <v>24</v>
      </c>
      <c r="I142" s="56">
        <v>21</v>
      </c>
      <c r="J142" s="56">
        <v>23</v>
      </c>
      <c r="K142" s="196" t="s">
        <v>5</v>
      </c>
      <c r="L142" s="56" t="s">
        <v>13</v>
      </c>
      <c r="M142" s="56">
        <v>14</v>
      </c>
      <c r="N142" s="56">
        <v>19</v>
      </c>
      <c r="O142" s="56">
        <v>22</v>
      </c>
      <c r="P142" s="56">
        <v>14</v>
      </c>
      <c r="Q142" s="56">
        <v>11</v>
      </c>
      <c r="R142" s="57"/>
      <c r="S142" s="57"/>
      <c r="T142" s="58"/>
      <c r="U142" s="59">
        <f>SUM(M142:T142,C142:J142)</f>
        <v>178</v>
      </c>
      <c r="W142" s="197" t="s">
        <v>97</v>
      </c>
      <c r="X142" s="198"/>
      <c r="AG142" s="190" t="s">
        <v>58</v>
      </c>
      <c r="AH142" s="191"/>
      <c r="AI142" s="191"/>
      <c r="AJ142" s="191"/>
      <c r="AK142" s="191"/>
      <c r="AL142" s="191"/>
      <c r="AM142" s="191"/>
      <c r="AN142" s="192"/>
    </row>
    <row r="143" spans="1:40" ht="15.75" customHeight="1">
      <c r="A143" s="230"/>
      <c r="B143" s="4" t="s">
        <v>14</v>
      </c>
      <c r="C143" s="5"/>
      <c r="D143" s="5"/>
      <c r="E143" s="4">
        <v>2</v>
      </c>
      <c r="F143" s="4">
        <v>6</v>
      </c>
      <c r="G143" s="4">
        <v>7</v>
      </c>
      <c r="H143" s="4">
        <v>10</v>
      </c>
      <c r="I143" s="4">
        <v>3</v>
      </c>
      <c r="J143" s="4">
        <v>6</v>
      </c>
      <c r="K143" s="227"/>
      <c r="L143" s="4" t="s">
        <v>14</v>
      </c>
      <c r="M143" s="4">
        <v>11</v>
      </c>
      <c r="N143" s="4">
        <v>7</v>
      </c>
      <c r="O143" s="4">
        <v>5</v>
      </c>
      <c r="P143" s="4">
        <v>2</v>
      </c>
      <c r="Q143" s="4">
        <v>3</v>
      </c>
      <c r="R143" s="5"/>
      <c r="S143" s="5"/>
      <c r="T143" s="49"/>
      <c r="U143" s="59">
        <f t="shared" ref="U143:U183" si="26">SUM(M143:T143,C143:J143)</f>
        <v>62</v>
      </c>
      <c r="W143" s="55" t="s">
        <v>5</v>
      </c>
      <c r="X143" s="48">
        <f>SUM(U142:U147)</f>
        <v>564</v>
      </c>
      <c r="AG143" s="98" t="s">
        <v>4</v>
      </c>
      <c r="AH143" s="98" t="s">
        <v>5</v>
      </c>
      <c r="AI143" s="98" t="s">
        <v>6</v>
      </c>
      <c r="AJ143" s="98" t="s">
        <v>7</v>
      </c>
      <c r="AK143" s="98" t="s">
        <v>8</v>
      </c>
      <c r="AL143" s="98" t="s">
        <v>9</v>
      </c>
      <c r="AM143" s="98" t="s">
        <v>10</v>
      </c>
      <c r="AN143" s="98" t="s">
        <v>11</v>
      </c>
    </row>
    <row r="144" spans="1:40" ht="15.75" customHeight="1">
      <c r="A144" s="230"/>
      <c r="B144" s="4" t="s">
        <v>15</v>
      </c>
      <c r="C144" s="5"/>
      <c r="D144" s="5"/>
      <c r="E144" s="4">
        <v>3</v>
      </c>
      <c r="F144" s="4">
        <v>6</v>
      </c>
      <c r="G144" s="4">
        <v>7</v>
      </c>
      <c r="H144" s="4">
        <v>14</v>
      </c>
      <c r="I144" s="4">
        <v>32</v>
      </c>
      <c r="J144" s="4">
        <v>30</v>
      </c>
      <c r="K144" s="227"/>
      <c r="L144" s="4" t="s">
        <v>15</v>
      </c>
      <c r="M144" s="4">
        <v>18</v>
      </c>
      <c r="N144" s="4">
        <v>12</v>
      </c>
      <c r="O144" s="4">
        <v>15</v>
      </c>
      <c r="P144" s="4">
        <v>13</v>
      </c>
      <c r="Q144" s="4">
        <v>10</v>
      </c>
      <c r="R144" s="5"/>
      <c r="S144" s="5"/>
      <c r="T144" s="49"/>
      <c r="U144" s="59">
        <f t="shared" si="26"/>
        <v>160</v>
      </c>
      <c r="W144" s="55" t="s">
        <v>6</v>
      </c>
      <c r="X144" s="48">
        <f>SUM(U148:U153)</f>
        <v>497</v>
      </c>
      <c r="AG144" s="79" t="s">
        <v>13</v>
      </c>
      <c r="AH144" s="79">
        <f t="shared" ref="AH144:AH149" si="27">U142</f>
        <v>178</v>
      </c>
      <c r="AI144" s="79">
        <f t="shared" ref="AI144:AI149" si="28">U148</f>
        <v>167</v>
      </c>
      <c r="AJ144" s="79">
        <f t="shared" ref="AJ144:AJ149" si="29">U154</f>
        <v>343</v>
      </c>
      <c r="AK144" s="79">
        <f t="shared" ref="AK144:AK149" si="30">U160</f>
        <v>312</v>
      </c>
      <c r="AL144" s="79">
        <f t="shared" ref="AL144:AL149" si="31">U166</f>
        <v>287</v>
      </c>
      <c r="AM144" s="79">
        <f t="shared" ref="AM144:AM149" si="32">U172</f>
        <v>266</v>
      </c>
      <c r="AN144" s="79">
        <f t="shared" ref="AN144:AN149" si="33">U178</f>
        <v>281</v>
      </c>
    </row>
    <row r="145" spans="1:40" ht="15.75" customHeight="1">
      <c r="A145" s="230"/>
      <c r="B145" s="4" t="s">
        <v>16</v>
      </c>
      <c r="C145" s="5"/>
      <c r="D145" s="5"/>
      <c r="E145" s="4">
        <v>1</v>
      </c>
      <c r="F145" s="4">
        <v>5</v>
      </c>
      <c r="G145" s="4">
        <v>7</v>
      </c>
      <c r="H145" s="4">
        <v>7</v>
      </c>
      <c r="I145" s="4">
        <v>8</v>
      </c>
      <c r="J145" s="4">
        <v>3</v>
      </c>
      <c r="K145" s="227"/>
      <c r="L145" s="4" t="s">
        <v>16</v>
      </c>
      <c r="M145" s="4">
        <v>3</v>
      </c>
      <c r="N145" s="4">
        <v>4</v>
      </c>
      <c r="O145" s="4">
        <v>1</v>
      </c>
      <c r="P145" s="4">
        <v>4</v>
      </c>
      <c r="Q145" s="4">
        <v>3</v>
      </c>
      <c r="R145" s="5"/>
      <c r="S145" s="5"/>
      <c r="T145" s="49"/>
      <c r="U145" s="59">
        <f t="shared" si="26"/>
        <v>46</v>
      </c>
      <c r="W145" s="55" t="s">
        <v>7</v>
      </c>
      <c r="X145" s="48">
        <f>SUM(U154:U159)</f>
        <v>1360</v>
      </c>
      <c r="AG145" s="97" t="s">
        <v>14</v>
      </c>
      <c r="AH145" s="97">
        <f t="shared" si="27"/>
        <v>62</v>
      </c>
      <c r="AI145" s="97">
        <f t="shared" si="28"/>
        <v>48</v>
      </c>
      <c r="AJ145" s="97">
        <f t="shared" si="29"/>
        <v>228</v>
      </c>
      <c r="AK145" s="97">
        <f t="shared" si="30"/>
        <v>121</v>
      </c>
      <c r="AL145" s="97">
        <f t="shared" si="31"/>
        <v>142</v>
      </c>
      <c r="AM145" s="97">
        <f t="shared" si="32"/>
        <v>130</v>
      </c>
      <c r="AN145" s="97">
        <f t="shared" si="33"/>
        <v>111</v>
      </c>
    </row>
    <row r="146" spans="1:40" ht="15.75" customHeight="1">
      <c r="A146" s="230"/>
      <c r="B146" s="4" t="s">
        <v>17</v>
      </c>
      <c r="C146" s="5"/>
      <c r="D146" s="5"/>
      <c r="E146" s="4">
        <v>0</v>
      </c>
      <c r="F146" s="4">
        <v>5</v>
      </c>
      <c r="G146" s="4">
        <v>3</v>
      </c>
      <c r="H146" s="4">
        <v>4</v>
      </c>
      <c r="I146" s="4">
        <v>9</v>
      </c>
      <c r="J146" s="4">
        <v>5</v>
      </c>
      <c r="K146" s="227"/>
      <c r="L146" s="4" t="s">
        <v>17</v>
      </c>
      <c r="M146" s="4">
        <v>3</v>
      </c>
      <c r="N146" s="4">
        <v>7</v>
      </c>
      <c r="O146" s="4">
        <v>5</v>
      </c>
      <c r="P146" s="4">
        <v>2</v>
      </c>
      <c r="Q146" s="4">
        <v>4</v>
      </c>
      <c r="R146" s="5"/>
      <c r="S146" s="5"/>
      <c r="T146" s="49"/>
      <c r="U146" s="59">
        <f t="shared" si="26"/>
        <v>47</v>
      </c>
      <c r="W146" s="55" t="s">
        <v>61</v>
      </c>
      <c r="X146" s="48">
        <f>SUM(U160:U165)</f>
        <v>1093</v>
      </c>
      <c r="AG146" s="79" t="s">
        <v>15</v>
      </c>
      <c r="AH146" s="79">
        <f t="shared" si="27"/>
        <v>160</v>
      </c>
      <c r="AI146" s="79">
        <f t="shared" si="28"/>
        <v>128</v>
      </c>
      <c r="AJ146" s="79">
        <f t="shared" si="29"/>
        <v>390</v>
      </c>
      <c r="AK146" s="79">
        <f t="shared" si="30"/>
        <v>347</v>
      </c>
      <c r="AL146" s="79">
        <f t="shared" si="31"/>
        <v>298</v>
      </c>
      <c r="AM146" s="79">
        <f t="shared" si="32"/>
        <v>277</v>
      </c>
      <c r="AN146" s="79">
        <f t="shared" si="33"/>
        <v>257</v>
      </c>
    </row>
    <row r="147" spans="1:40" ht="15.75" customHeight="1">
      <c r="A147" s="230"/>
      <c r="B147" s="46" t="s">
        <v>18</v>
      </c>
      <c r="C147" s="64"/>
      <c r="D147" s="64"/>
      <c r="E147" s="46">
        <v>4</v>
      </c>
      <c r="F147" s="46">
        <v>6</v>
      </c>
      <c r="G147" s="46">
        <v>9</v>
      </c>
      <c r="H147" s="46">
        <v>10</v>
      </c>
      <c r="I147" s="46">
        <v>13</v>
      </c>
      <c r="J147" s="46">
        <v>12</v>
      </c>
      <c r="K147" s="227"/>
      <c r="L147" s="46" t="s">
        <v>18</v>
      </c>
      <c r="M147" s="46">
        <v>2</v>
      </c>
      <c r="N147" s="46">
        <v>4</v>
      </c>
      <c r="O147" s="46">
        <v>5</v>
      </c>
      <c r="P147" s="46">
        <v>4</v>
      </c>
      <c r="Q147" s="46">
        <v>2</v>
      </c>
      <c r="R147" s="64"/>
      <c r="S147" s="64"/>
      <c r="T147" s="65"/>
      <c r="U147" s="59">
        <f t="shared" si="26"/>
        <v>71</v>
      </c>
      <c r="W147" s="55" t="s">
        <v>9</v>
      </c>
      <c r="X147" s="48">
        <f>SUM(U166:U171)</f>
        <v>1017</v>
      </c>
      <c r="AG147" s="97" t="s">
        <v>16</v>
      </c>
      <c r="AH147" s="97">
        <f t="shared" si="27"/>
        <v>46</v>
      </c>
      <c r="AI147" s="97">
        <f t="shared" si="28"/>
        <v>55</v>
      </c>
      <c r="AJ147" s="97">
        <f t="shared" si="29"/>
        <v>104</v>
      </c>
      <c r="AK147" s="97">
        <f t="shared" si="30"/>
        <v>82</v>
      </c>
      <c r="AL147" s="97">
        <f t="shared" si="31"/>
        <v>91</v>
      </c>
      <c r="AM147" s="97">
        <f t="shared" si="32"/>
        <v>82</v>
      </c>
      <c r="AN147" s="97">
        <f t="shared" si="33"/>
        <v>66</v>
      </c>
    </row>
    <row r="148" spans="1:40" ht="15.75" customHeight="1">
      <c r="A148" s="193" t="s">
        <v>6</v>
      </c>
      <c r="B148" s="63" t="s">
        <v>13</v>
      </c>
      <c r="C148" s="57"/>
      <c r="D148" s="57"/>
      <c r="E148" s="57"/>
      <c r="F148" s="63">
        <v>10</v>
      </c>
      <c r="G148" s="63">
        <v>17</v>
      </c>
      <c r="H148" s="63">
        <v>32</v>
      </c>
      <c r="I148" s="63">
        <v>27</v>
      </c>
      <c r="J148" s="63">
        <v>27</v>
      </c>
      <c r="K148" s="194" t="s">
        <v>6</v>
      </c>
      <c r="L148" s="63" t="s">
        <v>13</v>
      </c>
      <c r="M148" s="63">
        <v>18</v>
      </c>
      <c r="N148" s="63">
        <v>10</v>
      </c>
      <c r="O148" s="63">
        <v>15</v>
      </c>
      <c r="P148" s="63">
        <v>11</v>
      </c>
      <c r="Q148" s="57"/>
      <c r="R148" s="57"/>
      <c r="S148" s="57"/>
      <c r="T148" s="58"/>
      <c r="U148" s="59">
        <f t="shared" si="26"/>
        <v>167</v>
      </c>
      <c r="W148" s="55" t="s">
        <v>10</v>
      </c>
      <c r="X148" s="48">
        <f>SUM(U172:U177)</f>
        <v>967</v>
      </c>
      <c r="AG148" s="79" t="s">
        <v>17</v>
      </c>
      <c r="AH148" s="79">
        <f t="shared" si="27"/>
        <v>47</v>
      </c>
      <c r="AI148" s="79">
        <f t="shared" si="28"/>
        <v>61</v>
      </c>
      <c r="AJ148" s="79">
        <f t="shared" si="29"/>
        <v>132</v>
      </c>
      <c r="AK148" s="79">
        <f t="shared" si="30"/>
        <v>103</v>
      </c>
      <c r="AL148" s="79">
        <f t="shared" si="31"/>
        <v>96</v>
      </c>
      <c r="AM148" s="79">
        <f t="shared" si="32"/>
        <v>101</v>
      </c>
      <c r="AN148" s="79">
        <f t="shared" si="33"/>
        <v>94</v>
      </c>
    </row>
    <row r="149" spans="1:40" ht="15.75" customHeight="1">
      <c r="A149" s="230"/>
      <c r="B149" s="6" t="s">
        <v>14</v>
      </c>
      <c r="C149" s="5"/>
      <c r="D149" s="5"/>
      <c r="E149" s="5"/>
      <c r="F149" s="6">
        <v>3</v>
      </c>
      <c r="G149" s="6">
        <v>8</v>
      </c>
      <c r="H149" s="6">
        <v>6</v>
      </c>
      <c r="I149" s="6">
        <v>12</v>
      </c>
      <c r="J149" s="6">
        <v>4</v>
      </c>
      <c r="K149" s="227"/>
      <c r="L149" s="6" t="s">
        <v>14</v>
      </c>
      <c r="M149" s="6">
        <v>2</v>
      </c>
      <c r="N149" s="6">
        <v>4</v>
      </c>
      <c r="O149" s="6">
        <v>4</v>
      </c>
      <c r="P149" s="6">
        <v>5</v>
      </c>
      <c r="Q149" s="5"/>
      <c r="R149" s="5"/>
      <c r="S149" s="5"/>
      <c r="T149" s="49"/>
      <c r="U149" s="59">
        <f t="shared" si="26"/>
        <v>48</v>
      </c>
      <c r="W149" s="81" t="s">
        <v>11</v>
      </c>
      <c r="X149" s="80">
        <f>SUM(U178:U183)</f>
        <v>916</v>
      </c>
      <c r="AG149" s="97" t="s">
        <v>18</v>
      </c>
      <c r="AH149" s="97">
        <f t="shared" si="27"/>
        <v>71</v>
      </c>
      <c r="AI149" s="97">
        <f t="shared" si="28"/>
        <v>38</v>
      </c>
      <c r="AJ149" s="97">
        <f t="shared" si="29"/>
        <v>163</v>
      </c>
      <c r="AK149" s="97">
        <f t="shared" si="30"/>
        <v>128</v>
      </c>
      <c r="AL149" s="97">
        <f t="shared" si="31"/>
        <v>103</v>
      </c>
      <c r="AM149" s="97">
        <f t="shared" si="32"/>
        <v>111</v>
      </c>
      <c r="AN149" s="97">
        <f t="shared" si="33"/>
        <v>107</v>
      </c>
    </row>
    <row r="150" spans="1:40" ht="15.75" customHeight="1">
      <c r="A150" s="230"/>
      <c r="B150" s="6" t="s">
        <v>15</v>
      </c>
      <c r="C150" s="5"/>
      <c r="D150" s="5"/>
      <c r="E150" s="5"/>
      <c r="F150" s="6">
        <v>5</v>
      </c>
      <c r="G150" s="6">
        <v>13</v>
      </c>
      <c r="H150" s="6">
        <v>19</v>
      </c>
      <c r="I150" s="6">
        <v>21</v>
      </c>
      <c r="J150" s="6">
        <v>22</v>
      </c>
      <c r="K150" s="227"/>
      <c r="L150" s="6" t="s">
        <v>15</v>
      </c>
      <c r="M150" s="6">
        <v>15</v>
      </c>
      <c r="N150" s="6">
        <v>13</v>
      </c>
      <c r="O150" s="6">
        <v>12</v>
      </c>
      <c r="P150" s="6">
        <v>8</v>
      </c>
      <c r="Q150" s="5"/>
      <c r="R150" s="5"/>
      <c r="S150" s="5"/>
      <c r="T150" s="49"/>
      <c r="U150" s="59">
        <f t="shared" si="26"/>
        <v>128</v>
      </c>
      <c r="W150" s="79" t="s">
        <v>63</v>
      </c>
      <c r="X150" s="82">
        <f>SUM(X143:X149)</f>
        <v>6414</v>
      </c>
    </row>
    <row r="151" spans="1:40" ht="15.75" customHeight="1">
      <c r="A151" s="230"/>
      <c r="B151" s="6" t="s">
        <v>16</v>
      </c>
      <c r="C151" s="5"/>
      <c r="D151" s="5"/>
      <c r="E151" s="5"/>
      <c r="F151" s="6">
        <v>2</v>
      </c>
      <c r="G151" s="6">
        <v>6</v>
      </c>
      <c r="H151" s="6">
        <v>9</v>
      </c>
      <c r="I151" s="6">
        <v>8</v>
      </c>
      <c r="J151" s="6">
        <v>5</v>
      </c>
      <c r="K151" s="227"/>
      <c r="L151" s="6" t="s">
        <v>16</v>
      </c>
      <c r="M151" s="6">
        <v>4</v>
      </c>
      <c r="N151" s="6">
        <v>5</v>
      </c>
      <c r="O151" s="6">
        <v>10</v>
      </c>
      <c r="P151" s="6">
        <v>6</v>
      </c>
      <c r="Q151" s="5"/>
      <c r="R151" s="5"/>
      <c r="S151" s="5"/>
      <c r="T151" s="49"/>
      <c r="U151" s="59">
        <f t="shared" si="26"/>
        <v>55</v>
      </c>
    </row>
    <row r="152" spans="1:40" ht="15.75" customHeight="1">
      <c r="A152" s="230"/>
      <c r="B152" s="6" t="s">
        <v>17</v>
      </c>
      <c r="C152" s="5"/>
      <c r="D152" s="5"/>
      <c r="E152" s="5"/>
      <c r="F152" s="6">
        <v>3</v>
      </c>
      <c r="G152" s="6">
        <v>11</v>
      </c>
      <c r="H152" s="6">
        <v>10</v>
      </c>
      <c r="I152" s="6">
        <v>7</v>
      </c>
      <c r="J152" s="6">
        <v>12</v>
      </c>
      <c r="K152" s="227"/>
      <c r="L152" s="6" t="s">
        <v>17</v>
      </c>
      <c r="M152" s="6">
        <v>6</v>
      </c>
      <c r="N152" s="6">
        <v>3</v>
      </c>
      <c r="O152" s="6">
        <v>5</v>
      </c>
      <c r="P152" s="6">
        <v>4</v>
      </c>
      <c r="Q152" s="5"/>
      <c r="R152" s="5"/>
      <c r="S152" s="5"/>
      <c r="T152" s="49"/>
      <c r="U152" s="59">
        <f t="shared" si="26"/>
        <v>61</v>
      </c>
    </row>
    <row r="153" spans="1:40" ht="15.75" customHeight="1">
      <c r="A153" s="230"/>
      <c r="B153" s="47" t="s">
        <v>18</v>
      </c>
      <c r="C153" s="64"/>
      <c r="D153" s="64"/>
      <c r="E153" s="64"/>
      <c r="F153" s="47">
        <v>2</v>
      </c>
      <c r="G153" s="47">
        <v>6</v>
      </c>
      <c r="H153" s="47">
        <v>9</v>
      </c>
      <c r="I153" s="47">
        <v>6</v>
      </c>
      <c r="J153" s="47">
        <v>3</v>
      </c>
      <c r="K153" s="227"/>
      <c r="L153" s="47" t="s">
        <v>18</v>
      </c>
      <c r="M153" s="47">
        <v>2</v>
      </c>
      <c r="N153" s="47">
        <v>2</v>
      </c>
      <c r="O153" s="47">
        <v>3</v>
      </c>
      <c r="P153" s="47">
        <v>5</v>
      </c>
      <c r="Q153" s="64"/>
      <c r="R153" s="64"/>
      <c r="S153" s="64"/>
      <c r="T153" s="65"/>
      <c r="U153" s="59">
        <f t="shared" si="26"/>
        <v>38</v>
      </c>
    </row>
    <row r="154" spans="1:40" ht="15.75" customHeight="1">
      <c r="A154" s="195" t="s">
        <v>7</v>
      </c>
      <c r="B154" s="56" t="s">
        <v>13</v>
      </c>
      <c r="C154" s="56">
        <v>11</v>
      </c>
      <c r="D154" s="56">
        <v>18</v>
      </c>
      <c r="E154" s="56">
        <v>26</v>
      </c>
      <c r="F154" s="56">
        <v>29</v>
      </c>
      <c r="G154" s="56">
        <v>19</v>
      </c>
      <c r="H154" s="56">
        <v>37</v>
      </c>
      <c r="I154" s="56">
        <v>27</v>
      </c>
      <c r="J154" s="56">
        <v>20</v>
      </c>
      <c r="K154" s="196" t="s">
        <v>7</v>
      </c>
      <c r="L154" s="56" t="s">
        <v>13</v>
      </c>
      <c r="M154" s="56">
        <v>20</v>
      </c>
      <c r="N154" s="56">
        <v>17</v>
      </c>
      <c r="O154" s="56">
        <v>15</v>
      </c>
      <c r="P154" s="56">
        <v>19</v>
      </c>
      <c r="Q154" s="56">
        <v>25</v>
      </c>
      <c r="R154" s="56">
        <v>24</v>
      </c>
      <c r="S154" s="56">
        <v>23</v>
      </c>
      <c r="T154" s="67">
        <v>13</v>
      </c>
      <c r="U154" s="59">
        <f t="shared" si="26"/>
        <v>343</v>
      </c>
    </row>
    <row r="155" spans="1:40" ht="15.75" customHeight="1">
      <c r="A155" s="230"/>
      <c r="B155" s="4" t="s">
        <v>14</v>
      </c>
      <c r="C155" s="4">
        <v>6</v>
      </c>
      <c r="D155" s="4">
        <v>9</v>
      </c>
      <c r="E155" s="4" t="s">
        <v>67</v>
      </c>
      <c r="F155" s="4" t="s">
        <v>67</v>
      </c>
      <c r="G155" s="4">
        <v>13</v>
      </c>
      <c r="H155" s="4">
        <v>14</v>
      </c>
      <c r="I155" s="4">
        <v>14</v>
      </c>
      <c r="J155" s="4">
        <v>9</v>
      </c>
      <c r="K155" s="227"/>
      <c r="L155" s="4" t="s">
        <v>14</v>
      </c>
      <c r="M155" s="4">
        <v>12</v>
      </c>
      <c r="N155" s="4">
        <v>15</v>
      </c>
      <c r="O155" s="4">
        <v>12</v>
      </c>
      <c r="P155" s="4">
        <v>7</v>
      </c>
      <c r="Q155" s="4">
        <v>11</v>
      </c>
      <c r="R155" s="4">
        <v>14</v>
      </c>
      <c r="S155" s="4">
        <v>87</v>
      </c>
      <c r="T155" s="50">
        <v>5</v>
      </c>
      <c r="U155" s="59">
        <f t="shared" si="26"/>
        <v>228</v>
      </c>
    </row>
    <row r="156" spans="1:40" ht="15.75" customHeight="1">
      <c r="A156" s="230"/>
      <c r="B156" s="4" t="s">
        <v>15</v>
      </c>
      <c r="C156" s="4">
        <v>15</v>
      </c>
      <c r="D156" s="4">
        <v>19</v>
      </c>
      <c r="E156" s="4">
        <v>28</v>
      </c>
      <c r="F156" s="4">
        <v>25</v>
      </c>
      <c r="G156" s="4">
        <v>26</v>
      </c>
      <c r="H156" s="4">
        <v>28</v>
      </c>
      <c r="I156" s="4">
        <v>23</v>
      </c>
      <c r="J156" s="4">
        <v>31</v>
      </c>
      <c r="K156" s="227"/>
      <c r="L156" s="4" t="s">
        <v>15</v>
      </c>
      <c r="M156" s="4">
        <v>17</v>
      </c>
      <c r="N156" s="4">
        <v>15</v>
      </c>
      <c r="O156" s="4">
        <v>17</v>
      </c>
      <c r="P156" s="4">
        <v>28</v>
      </c>
      <c r="Q156" s="4">
        <v>24</v>
      </c>
      <c r="R156" s="4">
        <v>34</v>
      </c>
      <c r="S156" s="4">
        <v>34</v>
      </c>
      <c r="T156" s="50">
        <v>26</v>
      </c>
      <c r="U156" s="59">
        <f t="shared" si="26"/>
        <v>390</v>
      </c>
    </row>
    <row r="157" spans="1:40" ht="15.75" customHeight="1">
      <c r="A157" s="230"/>
      <c r="B157" s="4" t="s">
        <v>16</v>
      </c>
      <c r="C157" s="4">
        <v>2</v>
      </c>
      <c r="D157" s="4">
        <v>4</v>
      </c>
      <c r="E157" s="4">
        <v>7</v>
      </c>
      <c r="F157" s="4">
        <v>5</v>
      </c>
      <c r="G157" s="4">
        <v>8</v>
      </c>
      <c r="H157" s="4">
        <v>10</v>
      </c>
      <c r="I157" s="4">
        <v>9</v>
      </c>
      <c r="J157" s="4">
        <v>6</v>
      </c>
      <c r="K157" s="227"/>
      <c r="L157" s="4" t="s">
        <v>16</v>
      </c>
      <c r="M157" s="4">
        <v>10</v>
      </c>
      <c r="N157" s="4">
        <v>7</v>
      </c>
      <c r="O157" s="4">
        <v>5</v>
      </c>
      <c r="P157" s="4">
        <v>7</v>
      </c>
      <c r="Q157" s="4">
        <v>6</v>
      </c>
      <c r="R157" s="4">
        <v>6</v>
      </c>
      <c r="S157" s="4">
        <v>8</v>
      </c>
      <c r="T157" s="50">
        <v>4</v>
      </c>
      <c r="U157" s="59">
        <f t="shared" si="26"/>
        <v>104</v>
      </c>
    </row>
    <row r="158" spans="1:40" ht="15.75" customHeight="1">
      <c r="A158" s="230"/>
      <c r="B158" s="4" t="s">
        <v>17</v>
      </c>
      <c r="C158" s="4">
        <v>3</v>
      </c>
      <c r="D158" s="4">
        <v>6</v>
      </c>
      <c r="E158" s="4">
        <v>8</v>
      </c>
      <c r="F158" s="4">
        <v>8</v>
      </c>
      <c r="G158" s="4">
        <v>14</v>
      </c>
      <c r="H158" s="4">
        <v>14</v>
      </c>
      <c r="I158" s="4">
        <v>13</v>
      </c>
      <c r="J158" s="4">
        <v>13</v>
      </c>
      <c r="K158" s="227"/>
      <c r="L158" s="4" t="s">
        <v>17</v>
      </c>
      <c r="M158" s="4">
        <v>8</v>
      </c>
      <c r="N158" s="4">
        <v>7</v>
      </c>
      <c r="O158" s="4">
        <v>5</v>
      </c>
      <c r="P158" s="4">
        <v>6</v>
      </c>
      <c r="Q158" s="4">
        <v>9</v>
      </c>
      <c r="R158" s="4">
        <v>8</v>
      </c>
      <c r="S158" s="4">
        <v>6</v>
      </c>
      <c r="T158" s="50">
        <v>4</v>
      </c>
      <c r="U158" s="59">
        <f t="shared" si="26"/>
        <v>132</v>
      </c>
    </row>
    <row r="159" spans="1:40" ht="15.75" customHeight="1">
      <c r="A159" s="230"/>
      <c r="B159" s="46" t="s">
        <v>18</v>
      </c>
      <c r="C159" s="46">
        <v>16</v>
      </c>
      <c r="D159" s="46">
        <v>15</v>
      </c>
      <c r="E159" s="46">
        <v>11</v>
      </c>
      <c r="F159" s="46">
        <v>10</v>
      </c>
      <c r="G159" s="46">
        <v>12</v>
      </c>
      <c r="H159" s="46">
        <v>18</v>
      </c>
      <c r="I159" s="46">
        <v>16</v>
      </c>
      <c r="J159" s="46">
        <v>6</v>
      </c>
      <c r="K159" s="227"/>
      <c r="L159" s="46" t="s">
        <v>18</v>
      </c>
      <c r="M159" s="46">
        <v>10</v>
      </c>
      <c r="N159" s="46">
        <v>5</v>
      </c>
      <c r="O159" s="46">
        <v>7</v>
      </c>
      <c r="P159" s="46">
        <v>4</v>
      </c>
      <c r="Q159" s="46">
        <v>8</v>
      </c>
      <c r="R159" s="46">
        <v>6</v>
      </c>
      <c r="S159" s="46">
        <v>8</v>
      </c>
      <c r="T159" s="69">
        <v>11</v>
      </c>
      <c r="U159" s="59">
        <f t="shared" si="26"/>
        <v>163</v>
      </c>
    </row>
    <row r="160" spans="1:40" ht="15.75" customHeight="1">
      <c r="A160" s="193" t="s">
        <v>8</v>
      </c>
      <c r="B160" s="63" t="s">
        <v>13</v>
      </c>
      <c r="C160" s="63">
        <v>13</v>
      </c>
      <c r="D160" s="63">
        <v>18</v>
      </c>
      <c r="E160" s="63">
        <v>20</v>
      </c>
      <c r="F160" s="63">
        <v>24</v>
      </c>
      <c r="G160" s="63">
        <v>25</v>
      </c>
      <c r="H160" s="63">
        <v>27</v>
      </c>
      <c r="I160" s="63">
        <v>29</v>
      </c>
      <c r="J160" s="63">
        <v>22</v>
      </c>
      <c r="K160" s="194" t="s">
        <v>8</v>
      </c>
      <c r="L160" s="63" t="s">
        <v>13</v>
      </c>
      <c r="M160" s="63">
        <v>17</v>
      </c>
      <c r="N160" s="63">
        <v>15</v>
      </c>
      <c r="O160" s="63">
        <v>16</v>
      </c>
      <c r="P160" s="63">
        <v>13</v>
      </c>
      <c r="Q160" s="63">
        <v>23</v>
      </c>
      <c r="R160" s="63">
        <v>19</v>
      </c>
      <c r="S160" s="63">
        <v>16</v>
      </c>
      <c r="T160" s="68">
        <v>15</v>
      </c>
      <c r="U160" s="59">
        <f t="shared" si="26"/>
        <v>312</v>
      </c>
    </row>
    <row r="161" spans="1:21" ht="15.75" customHeight="1">
      <c r="A161" s="230"/>
      <c r="B161" s="6" t="s">
        <v>14</v>
      </c>
      <c r="C161" s="6">
        <v>3</v>
      </c>
      <c r="D161" s="6">
        <v>5</v>
      </c>
      <c r="E161" s="6">
        <v>11</v>
      </c>
      <c r="F161" s="6">
        <v>10</v>
      </c>
      <c r="G161" s="6">
        <v>8</v>
      </c>
      <c r="H161" s="6">
        <v>15</v>
      </c>
      <c r="I161" s="6">
        <v>11</v>
      </c>
      <c r="J161" s="6">
        <v>9</v>
      </c>
      <c r="K161" s="227"/>
      <c r="L161" s="6" t="s">
        <v>14</v>
      </c>
      <c r="M161" s="6">
        <v>8</v>
      </c>
      <c r="N161" s="6">
        <v>6</v>
      </c>
      <c r="O161" s="6">
        <v>11</v>
      </c>
      <c r="P161" s="6">
        <v>3</v>
      </c>
      <c r="Q161" s="6">
        <v>7</v>
      </c>
      <c r="R161" s="6">
        <v>3</v>
      </c>
      <c r="S161" s="6">
        <v>5</v>
      </c>
      <c r="T161" s="51">
        <v>6</v>
      </c>
      <c r="U161" s="59">
        <f t="shared" si="26"/>
        <v>121</v>
      </c>
    </row>
    <row r="162" spans="1:21" ht="15.75" customHeight="1">
      <c r="A162" s="230"/>
      <c r="B162" s="6" t="s">
        <v>15</v>
      </c>
      <c r="C162" s="6">
        <v>12</v>
      </c>
      <c r="D162" s="6">
        <v>19</v>
      </c>
      <c r="E162" s="6">
        <v>24</v>
      </c>
      <c r="F162" s="6">
        <v>18</v>
      </c>
      <c r="G162" s="6">
        <v>22</v>
      </c>
      <c r="H162" s="6">
        <v>20</v>
      </c>
      <c r="I162" s="6">
        <v>25</v>
      </c>
      <c r="J162" s="6">
        <v>21</v>
      </c>
      <c r="K162" s="227"/>
      <c r="L162" s="6" t="s">
        <v>15</v>
      </c>
      <c r="M162" s="6">
        <v>19</v>
      </c>
      <c r="N162" s="6">
        <v>17</v>
      </c>
      <c r="O162" s="6">
        <v>19</v>
      </c>
      <c r="P162" s="6">
        <v>22</v>
      </c>
      <c r="Q162" s="6">
        <v>18</v>
      </c>
      <c r="R162" s="6">
        <v>33</v>
      </c>
      <c r="S162" s="6">
        <v>36</v>
      </c>
      <c r="T162" s="51">
        <v>22</v>
      </c>
      <c r="U162" s="59">
        <f t="shared" si="26"/>
        <v>347</v>
      </c>
    </row>
    <row r="163" spans="1:21" ht="15.75" customHeight="1">
      <c r="A163" s="230"/>
      <c r="B163" s="6" t="s">
        <v>16</v>
      </c>
      <c r="C163" s="6">
        <v>2</v>
      </c>
      <c r="D163" s="6">
        <v>5</v>
      </c>
      <c r="E163" s="6">
        <v>6</v>
      </c>
      <c r="F163" s="6">
        <v>4</v>
      </c>
      <c r="G163" s="6">
        <v>11</v>
      </c>
      <c r="H163" s="6">
        <v>10</v>
      </c>
      <c r="I163" s="6">
        <v>5</v>
      </c>
      <c r="J163" s="6">
        <v>6</v>
      </c>
      <c r="K163" s="227"/>
      <c r="L163" s="6" t="s">
        <v>16</v>
      </c>
      <c r="M163" s="6">
        <v>5</v>
      </c>
      <c r="N163" s="6">
        <v>4</v>
      </c>
      <c r="O163" s="6">
        <v>3</v>
      </c>
      <c r="P163" s="6">
        <v>7</v>
      </c>
      <c r="Q163" s="6">
        <v>6</v>
      </c>
      <c r="R163" s="6">
        <v>5</v>
      </c>
      <c r="S163" s="6">
        <v>2</v>
      </c>
      <c r="T163" s="51">
        <v>1</v>
      </c>
      <c r="U163" s="59">
        <f t="shared" si="26"/>
        <v>82</v>
      </c>
    </row>
    <row r="164" spans="1:21" ht="15.75" customHeight="1">
      <c r="A164" s="230"/>
      <c r="B164" s="6" t="s">
        <v>17</v>
      </c>
      <c r="C164" s="6">
        <v>5</v>
      </c>
      <c r="D164" s="6">
        <v>9</v>
      </c>
      <c r="E164" s="6">
        <v>7</v>
      </c>
      <c r="F164" s="6">
        <v>5</v>
      </c>
      <c r="G164" s="6">
        <v>8</v>
      </c>
      <c r="H164" s="6">
        <v>11</v>
      </c>
      <c r="I164" s="6">
        <v>12</v>
      </c>
      <c r="J164" s="6">
        <v>8</v>
      </c>
      <c r="K164" s="227"/>
      <c r="L164" s="6" t="s">
        <v>17</v>
      </c>
      <c r="M164" s="6">
        <v>5</v>
      </c>
      <c r="N164" s="6">
        <v>6</v>
      </c>
      <c r="O164" s="6">
        <v>2</v>
      </c>
      <c r="P164" s="6">
        <v>5</v>
      </c>
      <c r="Q164" s="6">
        <v>7</v>
      </c>
      <c r="R164" s="6">
        <v>4</v>
      </c>
      <c r="S164" s="6">
        <v>6</v>
      </c>
      <c r="T164" s="51">
        <v>3</v>
      </c>
      <c r="U164" s="59">
        <f t="shared" si="26"/>
        <v>103</v>
      </c>
    </row>
    <row r="165" spans="1:21" ht="15.75" customHeight="1">
      <c r="A165" s="230"/>
      <c r="B165" s="47" t="s">
        <v>18</v>
      </c>
      <c r="C165" s="47">
        <v>15</v>
      </c>
      <c r="D165" s="47">
        <v>4</v>
      </c>
      <c r="E165" s="47">
        <v>8</v>
      </c>
      <c r="F165" s="47">
        <v>9</v>
      </c>
      <c r="G165" s="47">
        <v>9</v>
      </c>
      <c r="H165" s="47">
        <v>10</v>
      </c>
      <c r="I165" s="47">
        <v>15</v>
      </c>
      <c r="J165" s="47">
        <v>9</v>
      </c>
      <c r="K165" s="227"/>
      <c r="L165" s="47" t="s">
        <v>18</v>
      </c>
      <c r="M165" s="47">
        <v>8</v>
      </c>
      <c r="N165" s="47">
        <v>7</v>
      </c>
      <c r="O165" s="47">
        <v>5</v>
      </c>
      <c r="P165" s="47">
        <v>2</v>
      </c>
      <c r="Q165" s="47">
        <v>5</v>
      </c>
      <c r="R165" s="47">
        <v>10</v>
      </c>
      <c r="S165" s="47">
        <v>6</v>
      </c>
      <c r="T165" s="70">
        <v>6</v>
      </c>
      <c r="U165" s="59">
        <f t="shared" si="26"/>
        <v>128</v>
      </c>
    </row>
    <row r="166" spans="1:21" ht="15.75" customHeight="1">
      <c r="A166" s="195" t="s">
        <v>9</v>
      </c>
      <c r="B166" s="56" t="s">
        <v>13</v>
      </c>
      <c r="C166" s="56">
        <v>15</v>
      </c>
      <c r="D166" s="56">
        <v>18</v>
      </c>
      <c r="E166" s="56">
        <v>19</v>
      </c>
      <c r="F166" s="56">
        <v>22</v>
      </c>
      <c r="G166" s="56">
        <v>29</v>
      </c>
      <c r="H166" s="56">
        <v>30</v>
      </c>
      <c r="I166" s="56">
        <v>37</v>
      </c>
      <c r="J166" s="56">
        <v>15</v>
      </c>
      <c r="K166" s="196" t="s">
        <v>9</v>
      </c>
      <c r="L166" s="56" t="s">
        <v>13</v>
      </c>
      <c r="M166" s="56">
        <v>18</v>
      </c>
      <c r="N166" s="56">
        <v>10</v>
      </c>
      <c r="O166" s="56">
        <v>14</v>
      </c>
      <c r="P166" s="56">
        <v>18</v>
      </c>
      <c r="Q166" s="56">
        <v>22</v>
      </c>
      <c r="R166" s="56">
        <v>20</v>
      </c>
      <c r="S166" s="56"/>
      <c r="T166" s="67"/>
      <c r="U166" s="59">
        <f t="shared" si="26"/>
        <v>287</v>
      </c>
    </row>
    <row r="167" spans="1:21" ht="15.75" customHeight="1">
      <c r="A167" s="230"/>
      <c r="B167" s="4" t="s">
        <v>14</v>
      </c>
      <c r="C167" s="4">
        <v>9</v>
      </c>
      <c r="D167" s="4">
        <v>7</v>
      </c>
      <c r="E167" s="4">
        <v>5</v>
      </c>
      <c r="F167" s="4">
        <v>15</v>
      </c>
      <c r="G167" s="4">
        <v>17</v>
      </c>
      <c r="H167" s="4">
        <v>15</v>
      </c>
      <c r="I167" s="4">
        <v>12</v>
      </c>
      <c r="J167" s="4">
        <v>8</v>
      </c>
      <c r="K167" s="227"/>
      <c r="L167" s="4" t="s">
        <v>14</v>
      </c>
      <c r="M167" s="4">
        <v>10</v>
      </c>
      <c r="N167" s="4">
        <v>6</v>
      </c>
      <c r="O167" s="4">
        <v>10</v>
      </c>
      <c r="P167" s="4">
        <v>12</v>
      </c>
      <c r="Q167" s="4">
        <v>10</v>
      </c>
      <c r="R167" s="4">
        <v>6</v>
      </c>
      <c r="S167" s="4"/>
      <c r="T167" s="50"/>
      <c r="U167" s="59">
        <f t="shared" si="26"/>
        <v>142</v>
      </c>
    </row>
    <row r="168" spans="1:21" ht="15.75" customHeight="1">
      <c r="A168" s="230"/>
      <c r="B168" s="4" t="s">
        <v>15</v>
      </c>
      <c r="C168" s="4">
        <v>21</v>
      </c>
      <c r="D168" s="4">
        <v>18</v>
      </c>
      <c r="E168" s="4">
        <v>23</v>
      </c>
      <c r="F168" s="4">
        <v>16</v>
      </c>
      <c r="G168" s="4">
        <v>25</v>
      </c>
      <c r="H168" s="4">
        <v>16</v>
      </c>
      <c r="I168" s="4">
        <v>28</v>
      </c>
      <c r="J168" s="4">
        <v>19</v>
      </c>
      <c r="K168" s="227"/>
      <c r="L168" s="4" t="s">
        <v>15</v>
      </c>
      <c r="M168" s="4">
        <v>19</v>
      </c>
      <c r="N168" s="4">
        <v>20</v>
      </c>
      <c r="O168" s="4">
        <v>21</v>
      </c>
      <c r="P168" s="4">
        <v>22</v>
      </c>
      <c r="Q168" s="4">
        <v>20</v>
      </c>
      <c r="R168" s="4">
        <v>30</v>
      </c>
      <c r="S168" s="4"/>
      <c r="T168" s="50"/>
      <c r="U168" s="59">
        <f t="shared" si="26"/>
        <v>298</v>
      </c>
    </row>
    <row r="169" spans="1:21" ht="15.75" customHeight="1">
      <c r="A169" s="230"/>
      <c r="B169" s="4" t="s">
        <v>16</v>
      </c>
      <c r="C169" s="4">
        <v>4</v>
      </c>
      <c r="D169" s="4">
        <v>6</v>
      </c>
      <c r="E169" s="4">
        <v>6</v>
      </c>
      <c r="F169" s="4">
        <v>6</v>
      </c>
      <c r="G169" s="4">
        <v>15</v>
      </c>
      <c r="H169" s="4">
        <v>12</v>
      </c>
      <c r="I169" s="4">
        <v>7</v>
      </c>
      <c r="J169" s="4">
        <v>11</v>
      </c>
      <c r="K169" s="227"/>
      <c r="L169" s="4" t="s">
        <v>16</v>
      </c>
      <c r="M169" s="4">
        <v>3</v>
      </c>
      <c r="N169" s="4">
        <v>4</v>
      </c>
      <c r="O169" s="4">
        <v>4</v>
      </c>
      <c r="P169" s="4">
        <v>6</v>
      </c>
      <c r="Q169" s="4">
        <v>6</v>
      </c>
      <c r="R169" s="4">
        <v>1</v>
      </c>
      <c r="S169" s="4"/>
      <c r="T169" s="50"/>
      <c r="U169" s="59">
        <f t="shared" si="26"/>
        <v>91</v>
      </c>
    </row>
    <row r="170" spans="1:21" ht="15.75" customHeight="1">
      <c r="A170" s="230"/>
      <c r="B170" s="4" t="s">
        <v>17</v>
      </c>
      <c r="C170" s="4">
        <v>9</v>
      </c>
      <c r="D170" s="4">
        <v>7</v>
      </c>
      <c r="E170" s="4">
        <v>11</v>
      </c>
      <c r="F170" s="4">
        <v>10</v>
      </c>
      <c r="G170" s="4">
        <v>11</v>
      </c>
      <c r="H170" s="4">
        <v>10</v>
      </c>
      <c r="I170" s="4">
        <v>6</v>
      </c>
      <c r="J170" s="4">
        <v>5</v>
      </c>
      <c r="K170" s="227"/>
      <c r="L170" s="4" t="s">
        <v>17</v>
      </c>
      <c r="M170" s="4">
        <v>2</v>
      </c>
      <c r="N170" s="4">
        <v>2</v>
      </c>
      <c r="O170" s="4">
        <v>3</v>
      </c>
      <c r="P170" s="4">
        <v>5</v>
      </c>
      <c r="Q170" s="4">
        <v>8</v>
      </c>
      <c r="R170" s="4">
        <v>7</v>
      </c>
      <c r="S170" s="4"/>
      <c r="T170" s="50"/>
      <c r="U170" s="59">
        <f t="shared" si="26"/>
        <v>96</v>
      </c>
    </row>
    <row r="171" spans="1:21" ht="15.75" customHeight="1">
      <c r="A171" s="230"/>
      <c r="B171" s="46" t="s">
        <v>18</v>
      </c>
      <c r="C171" s="46">
        <v>12</v>
      </c>
      <c r="D171" s="46">
        <v>14</v>
      </c>
      <c r="E171" s="46">
        <v>7</v>
      </c>
      <c r="F171" s="46">
        <v>6</v>
      </c>
      <c r="G171" s="46">
        <v>11</v>
      </c>
      <c r="H171" s="46">
        <v>5</v>
      </c>
      <c r="I171" s="46">
        <v>17</v>
      </c>
      <c r="J171" s="46">
        <v>7</v>
      </c>
      <c r="K171" s="227"/>
      <c r="L171" s="46" t="s">
        <v>18</v>
      </c>
      <c r="M171" s="46">
        <v>3</v>
      </c>
      <c r="N171" s="46">
        <v>4</v>
      </c>
      <c r="O171" s="46">
        <v>4</v>
      </c>
      <c r="P171" s="46">
        <v>5</v>
      </c>
      <c r="Q171" s="46">
        <v>7</v>
      </c>
      <c r="R171" s="46">
        <v>1</v>
      </c>
      <c r="S171" s="46"/>
      <c r="T171" s="69"/>
      <c r="U171" s="59">
        <f t="shared" si="26"/>
        <v>103</v>
      </c>
    </row>
    <row r="172" spans="1:21" ht="15.75" customHeight="1">
      <c r="A172" s="193" t="s">
        <v>10</v>
      </c>
      <c r="B172" s="63" t="s">
        <v>13</v>
      </c>
      <c r="C172" s="121">
        <v>24</v>
      </c>
      <c r="D172" s="121">
        <v>21</v>
      </c>
      <c r="E172" s="121">
        <v>22</v>
      </c>
      <c r="F172" s="121">
        <v>15</v>
      </c>
      <c r="G172" s="121">
        <v>25</v>
      </c>
      <c r="H172" s="121">
        <v>27</v>
      </c>
      <c r="I172" s="121">
        <v>25</v>
      </c>
      <c r="J172" s="121">
        <v>11</v>
      </c>
      <c r="K172" s="194" t="s">
        <v>10</v>
      </c>
      <c r="L172" s="63" t="s">
        <v>13</v>
      </c>
      <c r="M172" s="121">
        <v>11</v>
      </c>
      <c r="N172" s="121">
        <v>12</v>
      </c>
      <c r="O172" s="121">
        <v>14</v>
      </c>
      <c r="P172" s="121">
        <v>16</v>
      </c>
      <c r="Q172" s="121">
        <v>12</v>
      </c>
      <c r="R172" s="121">
        <v>19</v>
      </c>
      <c r="S172" s="121">
        <v>7</v>
      </c>
      <c r="T172" s="124">
        <v>5</v>
      </c>
      <c r="U172" s="59">
        <f t="shared" si="26"/>
        <v>266</v>
      </c>
    </row>
    <row r="173" spans="1:21" ht="15.75" customHeight="1">
      <c r="A173" s="230"/>
      <c r="B173" s="6" t="s">
        <v>14</v>
      </c>
      <c r="C173" s="122">
        <v>6</v>
      </c>
      <c r="D173" s="122">
        <v>5</v>
      </c>
      <c r="E173" s="122">
        <v>9</v>
      </c>
      <c r="F173" s="122">
        <v>11</v>
      </c>
      <c r="G173" s="122">
        <v>15</v>
      </c>
      <c r="H173" s="122">
        <v>15</v>
      </c>
      <c r="I173" s="122">
        <v>14</v>
      </c>
      <c r="J173" s="122">
        <v>4</v>
      </c>
      <c r="K173" s="227"/>
      <c r="L173" s="6" t="s">
        <v>14</v>
      </c>
      <c r="M173" s="122">
        <v>7</v>
      </c>
      <c r="N173" s="122">
        <v>6</v>
      </c>
      <c r="O173" s="122">
        <v>11</v>
      </c>
      <c r="P173" s="122">
        <v>12</v>
      </c>
      <c r="Q173" s="122">
        <v>6</v>
      </c>
      <c r="R173" s="122">
        <v>4</v>
      </c>
      <c r="S173" s="122">
        <v>1</v>
      </c>
      <c r="T173" s="125">
        <v>4</v>
      </c>
      <c r="U173" s="59">
        <f t="shared" si="26"/>
        <v>130</v>
      </c>
    </row>
    <row r="174" spans="1:21" ht="15.75" customHeight="1">
      <c r="A174" s="230"/>
      <c r="B174" s="6" t="s">
        <v>15</v>
      </c>
      <c r="C174" s="122">
        <v>12</v>
      </c>
      <c r="D174" s="122">
        <v>16</v>
      </c>
      <c r="E174" s="122">
        <v>17</v>
      </c>
      <c r="F174" s="122">
        <v>19</v>
      </c>
      <c r="G174" s="122">
        <v>25</v>
      </c>
      <c r="H174" s="122">
        <v>20</v>
      </c>
      <c r="I174" s="122">
        <v>21</v>
      </c>
      <c r="J174" s="122">
        <v>19</v>
      </c>
      <c r="K174" s="227"/>
      <c r="L174" s="6" t="s">
        <v>15</v>
      </c>
      <c r="M174" s="122">
        <v>22</v>
      </c>
      <c r="N174" s="122">
        <v>12</v>
      </c>
      <c r="O174" s="122">
        <v>14</v>
      </c>
      <c r="P174" s="122">
        <v>20</v>
      </c>
      <c r="Q174" s="122">
        <v>19</v>
      </c>
      <c r="R174" s="122">
        <v>15</v>
      </c>
      <c r="S174" s="122">
        <v>15</v>
      </c>
      <c r="T174" s="125">
        <v>11</v>
      </c>
      <c r="U174" s="59">
        <f t="shared" si="26"/>
        <v>277</v>
      </c>
    </row>
    <row r="175" spans="1:21" ht="15.75" customHeight="1">
      <c r="A175" s="230"/>
      <c r="B175" s="6" t="s">
        <v>16</v>
      </c>
      <c r="C175" s="122">
        <v>6</v>
      </c>
      <c r="D175" s="122">
        <v>3</v>
      </c>
      <c r="E175" s="122">
        <v>4</v>
      </c>
      <c r="F175" s="122">
        <v>6</v>
      </c>
      <c r="G175" s="122">
        <v>8</v>
      </c>
      <c r="H175" s="122">
        <v>9</v>
      </c>
      <c r="I175" s="122">
        <v>8</v>
      </c>
      <c r="J175" s="122">
        <v>5</v>
      </c>
      <c r="K175" s="227"/>
      <c r="L175" s="6" t="s">
        <v>16</v>
      </c>
      <c r="M175" s="122">
        <v>3</v>
      </c>
      <c r="N175" s="122">
        <v>5</v>
      </c>
      <c r="O175" s="122">
        <v>1</v>
      </c>
      <c r="P175" s="122">
        <v>7</v>
      </c>
      <c r="Q175" s="122">
        <v>3</v>
      </c>
      <c r="R175" s="122">
        <v>5</v>
      </c>
      <c r="S175" s="122">
        <v>5</v>
      </c>
      <c r="T175" s="125">
        <v>4</v>
      </c>
      <c r="U175" s="59">
        <f t="shared" si="26"/>
        <v>82</v>
      </c>
    </row>
    <row r="176" spans="1:21" ht="15.75" customHeight="1">
      <c r="A176" s="230"/>
      <c r="B176" s="6" t="s">
        <v>17</v>
      </c>
      <c r="C176" s="122">
        <v>5</v>
      </c>
      <c r="D176" s="122">
        <v>7</v>
      </c>
      <c r="E176" s="122">
        <v>6</v>
      </c>
      <c r="F176" s="122">
        <v>9</v>
      </c>
      <c r="G176" s="122">
        <v>10</v>
      </c>
      <c r="H176" s="122">
        <v>9</v>
      </c>
      <c r="I176" s="122">
        <v>8</v>
      </c>
      <c r="J176" s="122">
        <v>5</v>
      </c>
      <c r="K176" s="227"/>
      <c r="L176" s="6" t="s">
        <v>17</v>
      </c>
      <c r="M176" s="122">
        <v>7</v>
      </c>
      <c r="N176" s="122">
        <v>3</v>
      </c>
      <c r="O176" s="122">
        <v>8</v>
      </c>
      <c r="P176" s="122">
        <v>3</v>
      </c>
      <c r="Q176" s="122">
        <v>7</v>
      </c>
      <c r="R176" s="122">
        <v>6</v>
      </c>
      <c r="S176" s="122">
        <v>4</v>
      </c>
      <c r="T176" s="125">
        <v>4</v>
      </c>
      <c r="U176" s="59">
        <f t="shared" si="26"/>
        <v>101</v>
      </c>
    </row>
    <row r="177" spans="1:40" ht="15.75" customHeight="1">
      <c r="A177" s="230"/>
      <c r="B177" s="47" t="s">
        <v>18</v>
      </c>
      <c r="C177" s="123">
        <v>13</v>
      </c>
      <c r="D177" s="123">
        <v>10</v>
      </c>
      <c r="E177" s="123">
        <v>8</v>
      </c>
      <c r="F177" s="123">
        <v>6</v>
      </c>
      <c r="G177" s="123">
        <v>10</v>
      </c>
      <c r="H177" s="123">
        <v>7</v>
      </c>
      <c r="I177" s="123">
        <v>5</v>
      </c>
      <c r="J177" s="123">
        <v>5</v>
      </c>
      <c r="K177" s="227"/>
      <c r="L177" s="47" t="s">
        <v>18</v>
      </c>
      <c r="M177" s="123">
        <v>6</v>
      </c>
      <c r="N177" s="123">
        <v>1</v>
      </c>
      <c r="O177" s="123">
        <v>8</v>
      </c>
      <c r="P177" s="123">
        <v>11</v>
      </c>
      <c r="Q177" s="123">
        <v>3</v>
      </c>
      <c r="R177" s="123">
        <v>8</v>
      </c>
      <c r="S177" s="123">
        <v>6</v>
      </c>
      <c r="T177" s="126">
        <v>4</v>
      </c>
      <c r="U177" s="59">
        <f t="shared" si="26"/>
        <v>111</v>
      </c>
    </row>
    <row r="178" spans="1:40" ht="15.75" customHeight="1">
      <c r="A178" s="195" t="s">
        <v>11</v>
      </c>
      <c r="B178" s="56" t="s">
        <v>13</v>
      </c>
      <c r="C178" s="127">
        <v>12</v>
      </c>
      <c r="D178" s="127">
        <v>19</v>
      </c>
      <c r="E178" s="127">
        <v>16</v>
      </c>
      <c r="F178" s="127">
        <v>28</v>
      </c>
      <c r="G178" s="127">
        <v>36</v>
      </c>
      <c r="H178" s="127">
        <v>29</v>
      </c>
      <c r="I178" s="127">
        <v>25</v>
      </c>
      <c r="J178" s="127">
        <v>20</v>
      </c>
      <c r="K178" s="196" t="s">
        <v>11</v>
      </c>
      <c r="L178" s="56" t="s">
        <v>13</v>
      </c>
      <c r="M178" s="127">
        <v>15</v>
      </c>
      <c r="N178" s="127">
        <v>16</v>
      </c>
      <c r="O178" s="127">
        <v>14</v>
      </c>
      <c r="P178" s="127">
        <v>10</v>
      </c>
      <c r="Q178" s="127">
        <v>15</v>
      </c>
      <c r="R178" s="127">
        <v>10</v>
      </c>
      <c r="S178" s="127">
        <v>13</v>
      </c>
      <c r="T178" s="130">
        <v>3</v>
      </c>
      <c r="U178" s="59">
        <f t="shared" si="26"/>
        <v>281</v>
      </c>
    </row>
    <row r="179" spans="1:40" ht="15.75" customHeight="1">
      <c r="A179" s="230"/>
      <c r="B179" s="4" t="s">
        <v>14</v>
      </c>
      <c r="C179" s="128">
        <v>4</v>
      </c>
      <c r="D179" s="128">
        <v>7</v>
      </c>
      <c r="E179" s="128">
        <v>9</v>
      </c>
      <c r="F179" s="128">
        <v>13</v>
      </c>
      <c r="G179" s="128">
        <v>8</v>
      </c>
      <c r="H179" s="128">
        <v>11</v>
      </c>
      <c r="I179" s="128">
        <v>14</v>
      </c>
      <c r="J179" s="128">
        <v>8</v>
      </c>
      <c r="K179" s="227"/>
      <c r="L179" s="4" t="s">
        <v>14</v>
      </c>
      <c r="M179" s="128">
        <v>6</v>
      </c>
      <c r="N179" s="128">
        <v>10</v>
      </c>
      <c r="O179" s="128">
        <v>5</v>
      </c>
      <c r="P179" s="128">
        <v>3</v>
      </c>
      <c r="Q179" s="128">
        <v>7</v>
      </c>
      <c r="R179" s="128">
        <v>3</v>
      </c>
      <c r="S179" s="128">
        <v>3</v>
      </c>
      <c r="T179" s="131">
        <v>0</v>
      </c>
      <c r="U179" s="59">
        <f t="shared" si="26"/>
        <v>111</v>
      </c>
    </row>
    <row r="180" spans="1:40" ht="15.75" customHeight="1">
      <c r="A180" s="230"/>
      <c r="B180" s="4" t="s">
        <v>15</v>
      </c>
      <c r="C180" s="128">
        <v>16</v>
      </c>
      <c r="D180" s="128">
        <v>15</v>
      </c>
      <c r="E180" s="128">
        <v>18</v>
      </c>
      <c r="F180" s="128">
        <v>24</v>
      </c>
      <c r="G180" s="128">
        <v>27</v>
      </c>
      <c r="H180" s="128">
        <v>21</v>
      </c>
      <c r="I180" s="128">
        <v>23</v>
      </c>
      <c r="J180" s="128">
        <v>17</v>
      </c>
      <c r="K180" s="227"/>
      <c r="L180" s="4" t="s">
        <v>15</v>
      </c>
      <c r="M180" s="128">
        <v>12</v>
      </c>
      <c r="N180" s="128">
        <v>19</v>
      </c>
      <c r="O180" s="128">
        <v>13</v>
      </c>
      <c r="P180" s="128">
        <v>9</v>
      </c>
      <c r="Q180" s="128">
        <v>14</v>
      </c>
      <c r="R180" s="128">
        <v>9</v>
      </c>
      <c r="S180" s="128">
        <v>12</v>
      </c>
      <c r="T180" s="131">
        <v>8</v>
      </c>
      <c r="U180" s="59">
        <f t="shared" si="26"/>
        <v>257</v>
      </c>
    </row>
    <row r="181" spans="1:40" ht="15.75" customHeight="1">
      <c r="A181" s="230"/>
      <c r="B181" s="4" t="s">
        <v>16</v>
      </c>
      <c r="C181" s="128">
        <v>3</v>
      </c>
      <c r="D181" s="128">
        <v>4</v>
      </c>
      <c r="E181" s="128">
        <v>5</v>
      </c>
      <c r="F181" s="128">
        <v>4</v>
      </c>
      <c r="G181" s="128">
        <v>6</v>
      </c>
      <c r="H181" s="128">
        <v>9</v>
      </c>
      <c r="I181" s="128">
        <v>7</v>
      </c>
      <c r="J181" s="128">
        <v>4</v>
      </c>
      <c r="K181" s="227"/>
      <c r="L181" s="4" t="s">
        <v>16</v>
      </c>
      <c r="M181" s="128">
        <v>3</v>
      </c>
      <c r="N181" s="128">
        <v>6</v>
      </c>
      <c r="O181" s="128">
        <v>5</v>
      </c>
      <c r="P181" s="128">
        <v>2</v>
      </c>
      <c r="Q181" s="128">
        <v>1</v>
      </c>
      <c r="R181" s="128">
        <v>2</v>
      </c>
      <c r="S181" s="128">
        <v>2</v>
      </c>
      <c r="T181" s="131">
        <v>3</v>
      </c>
      <c r="U181" s="59">
        <f t="shared" si="26"/>
        <v>66</v>
      </c>
    </row>
    <row r="182" spans="1:40" ht="15.75" customHeight="1">
      <c r="A182" s="230"/>
      <c r="B182" s="4" t="s">
        <v>17</v>
      </c>
      <c r="C182" s="128">
        <v>4</v>
      </c>
      <c r="D182" s="128">
        <v>5</v>
      </c>
      <c r="E182" s="128">
        <v>6</v>
      </c>
      <c r="F182" s="128">
        <v>7</v>
      </c>
      <c r="G182" s="128">
        <v>8</v>
      </c>
      <c r="H182" s="128">
        <v>12</v>
      </c>
      <c r="I182" s="128">
        <v>10</v>
      </c>
      <c r="J182" s="128">
        <v>6</v>
      </c>
      <c r="K182" s="227"/>
      <c r="L182" s="4" t="s">
        <v>17</v>
      </c>
      <c r="M182" s="128">
        <v>5</v>
      </c>
      <c r="N182" s="128">
        <v>10</v>
      </c>
      <c r="O182" s="128">
        <v>6</v>
      </c>
      <c r="P182" s="128">
        <v>3</v>
      </c>
      <c r="Q182" s="128">
        <v>4</v>
      </c>
      <c r="R182" s="128">
        <v>3</v>
      </c>
      <c r="S182" s="128">
        <v>4</v>
      </c>
      <c r="T182" s="131">
        <v>1</v>
      </c>
      <c r="U182" s="59">
        <f t="shared" si="26"/>
        <v>94</v>
      </c>
    </row>
    <row r="183" spans="1:40" ht="15.75" customHeight="1">
      <c r="A183" s="231"/>
      <c r="B183" s="61" t="s">
        <v>18</v>
      </c>
      <c r="C183" s="129">
        <v>12</v>
      </c>
      <c r="D183" s="129">
        <v>6</v>
      </c>
      <c r="E183" s="129">
        <v>8</v>
      </c>
      <c r="F183" s="129">
        <v>9</v>
      </c>
      <c r="G183" s="129">
        <v>10</v>
      </c>
      <c r="H183" s="129">
        <v>12</v>
      </c>
      <c r="I183" s="129">
        <v>14</v>
      </c>
      <c r="J183" s="129">
        <v>8</v>
      </c>
      <c r="K183" s="232"/>
      <c r="L183" s="61" t="s">
        <v>18</v>
      </c>
      <c r="M183" s="129">
        <v>6</v>
      </c>
      <c r="N183" s="129">
        <v>5</v>
      </c>
      <c r="O183" s="129">
        <v>4</v>
      </c>
      <c r="P183" s="129">
        <v>2</v>
      </c>
      <c r="Q183" s="129">
        <v>5</v>
      </c>
      <c r="R183" s="129">
        <v>2</v>
      </c>
      <c r="S183" s="129">
        <v>3</v>
      </c>
      <c r="T183" s="132">
        <v>1</v>
      </c>
      <c r="U183" s="59">
        <f t="shared" si="26"/>
        <v>107</v>
      </c>
    </row>
    <row r="184" spans="1:40" s="154" customFormat="1" ht="15.75" customHeight="1">
      <c r="A184" s="154" t="s">
        <v>98</v>
      </c>
    </row>
    <row r="185" spans="1:40" ht="15.75" customHeight="1">
      <c r="A185" s="1"/>
      <c r="B185" s="1"/>
      <c r="C185" s="183" t="s">
        <v>0</v>
      </c>
      <c r="D185" s="225"/>
      <c r="E185" s="225"/>
      <c r="F185" s="225"/>
      <c r="G185" s="226"/>
      <c r="H185" s="2"/>
      <c r="I185" s="1"/>
    </row>
    <row r="186" spans="1:40" ht="15.75" customHeight="1">
      <c r="A186" s="1"/>
      <c r="B186" s="183" t="s">
        <v>1</v>
      </c>
      <c r="C186" s="225"/>
      <c r="D186" s="226"/>
      <c r="E186" s="1"/>
      <c r="F186" s="184"/>
      <c r="G186" s="225"/>
      <c r="H186" s="226"/>
      <c r="I186" s="1"/>
      <c r="K186" s="1"/>
      <c r="L186" s="183" t="s">
        <v>26</v>
      </c>
      <c r="M186" s="225"/>
      <c r="N186" s="226"/>
      <c r="O186" s="1"/>
      <c r="P186" s="184"/>
      <c r="Q186" s="225"/>
      <c r="R186" s="226"/>
      <c r="S186" s="1"/>
    </row>
    <row r="187" spans="1:40" ht="15.75" customHeight="1">
      <c r="A187" s="54" t="s">
        <v>35</v>
      </c>
      <c r="B187" s="54" t="s">
        <v>4</v>
      </c>
      <c r="C187" s="54" t="s">
        <v>12</v>
      </c>
      <c r="D187" s="54" t="s">
        <v>19</v>
      </c>
      <c r="E187" s="54" t="s">
        <v>20</v>
      </c>
      <c r="F187" s="54" t="s">
        <v>21</v>
      </c>
      <c r="G187" s="54" t="s">
        <v>22</v>
      </c>
      <c r="H187" s="54" t="s">
        <v>23</v>
      </c>
      <c r="I187" s="54" t="s">
        <v>24</v>
      </c>
      <c r="J187" s="54" t="s">
        <v>25</v>
      </c>
      <c r="K187" s="54" t="s">
        <v>35</v>
      </c>
      <c r="L187" s="54" t="s">
        <v>4</v>
      </c>
      <c r="M187" s="54" t="s">
        <v>27</v>
      </c>
      <c r="N187" s="54" t="s">
        <v>28</v>
      </c>
      <c r="O187" s="54" t="s">
        <v>29</v>
      </c>
      <c r="P187" s="54" t="s">
        <v>30</v>
      </c>
      <c r="Q187" s="54" t="s">
        <v>31</v>
      </c>
      <c r="R187" s="54" t="s">
        <v>32</v>
      </c>
      <c r="S187" s="54" t="s">
        <v>33</v>
      </c>
      <c r="T187" s="54" t="s">
        <v>34</v>
      </c>
      <c r="U187" s="54" t="s">
        <v>55</v>
      </c>
    </row>
    <row r="188" spans="1:40" ht="15.75" customHeight="1">
      <c r="A188" s="195" t="s">
        <v>5</v>
      </c>
      <c r="B188" s="56" t="s">
        <v>13</v>
      </c>
      <c r="C188" s="57"/>
      <c r="D188" s="57"/>
      <c r="E188" s="56"/>
      <c r="F188" s="56"/>
      <c r="G188" s="56"/>
      <c r="H188" s="56"/>
      <c r="I188" s="56"/>
      <c r="J188" s="56"/>
      <c r="K188" s="196" t="s">
        <v>5</v>
      </c>
      <c r="L188" s="56" t="s">
        <v>13</v>
      </c>
      <c r="M188" s="56"/>
      <c r="N188" s="56"/>
      <c r="O188" s="56"/>
      <c r="P188" s="56"/>
      <c r="Q188" s="56"/>
      <c r="R188" s="57"/>
      <c r="S188" s="57"/>
      <c r="T188" s="58"/>
      <c r="U188" s="59">
        <f>SUM(M188:T188,C188:J188)</f>
        <v>0</v>
      </c>
      <c r="W188" s="197"/>
      <c r="X188" s="198"/>
      <c r="AG188" s="190" t="s">
        <v>58</v>
      </c>
      <c r="AH188" s="191"/>
      <c r="AI188" s="191"/>
      <c r="AJ188" s="191"/>
      <c r="AK188" s="191"/>
      <c r="AL188" s="191"/>
      <c r="AM188" s="191"/>
      <c r="AN188" s="192"/>
    </row>
    <row r="189" spans="1:40" ht="15.75" customHeight="1">
      <c r="A189" s="230"/>
      <c r="B189" s="4" t="s">
        <v>14</v>
      </c>
      <c r="C189" s="5"/>
      <c r="D189" s="5"/>
      <c r="E189" s="4"/>
      <c r="F189" s="4"/>
      <c r="G189" s="4"/>
      <c r="H189" s="4"/>
      <c r="I189" s="4"/>
      <c r="J189" s="4"/>
      <c r="K189" s="227"/>
      <c r="L189" s="4" t="s">
        <v>14</v>
      </c>
      <c r="M189" s="4"/>
      <c r="N189" s="4"/>
      <c r="O189" s="4"/>
      <c r="P189" s="4"/>
      <c r="Q189" s="4"/>
      <c r="R189" s="5"/>
      <c r="S189" s="5"/>
      <c r="T189" s="49"/>
      <c r="U189" s="59">
        <f t="shared" ref="U189:U229" si="34">SUM(M189:T189,C189:J189)</f>
        <v>0</v>
      </c>
      <c r="W189" s="55" t="s">
        <v>5</v>
      </c>
      <c r="X189" s="48">
        <f>SUM(U188:U193)</f>
        <v>0</v>
      </c>
      <c r="AG189" s="98" t="s">
        <v>4</v>
      </c>
      <c r="AH189" s="98" t="s">
        <v>5</v>
      </c>
      <c r="AI189" s="98" t="s">
        <v>6</v>
      </c>
      <c r="AJ189" s="98" t="s">
        <v>7</v>
      </c>
      <c r="AK189" s="98" t="s">
        <v>8</v>
      </c>
      <c r="AL189" s="98" t="s">
        <v>9</v>
      </c>
      <c r="AM189" s="98" t="s">
        <v>10</v>
      </c>
      <c r="AN189" s="98" t="s">
        <v>11</v>
      </c>
    </row>
    <row r="190" spans="1:40" ht="15.75" customHeight="1">
      <c r="A190" s="230"/>
      <c r="B190" s="4" t="s">
        <v>15</v>
      </c>
      <c r="C190" s="5"/>
      <c r="D190" s="5"/>
      <c r="E190" s="4"/>
      <c r="F190" s="4"/>
      <c r="G190" s="4"/>
      <c r="H190" s="4"/>
      <c r="I190" s="4"/>
      <c r="J190" s="4"/>
      <c r="K190" s="227"/>
      <c r="L190" s="4" t="s">
        <v>15</v>
      </c>
      <c r="M190" s="4"/>
      <c r="N190" s="4"/>
      <c r="O190" s="4"/>
      <c r="P190" s="4"/>
      <c r="Q190" s="4"/>
      <c r="R190" s="5"/>
      <c r="S190" s="5"/>
      <c r="T190" s="49"/>
      <c r="U190" s="59">
        <f t="shared" si="34"/>
        <v>0</v>
      </c>
      <c r="W190" s="55" t="s">
        <v>6</v>
      </c>
      <c r="X190" s="48">
        <f>SUM(U194:U199)</f>
        <v>0</v>
      </c>
      <c r="AG190" s="79" t="s">
        <v>13</v>
      </c>
      <c r="AH190" s="79">
        <f t="shared" ref="AH190:AH195" si="35">U188</f>
        <v>0</v>
      </c>
      <c r="AI190" s="79">
        <f t="shared" ref="AI190:AI195" si="36">U194</f>
        <v>0</v>
      </c>
      <c r="AJ190" s="79">
        <f t="shared" ref="AJ190:AJ195" si="37">U200</f>
        <v>0</v>
      </c>
      <c r="AK190" s="79">
        <f t="shared" ref="AK190:AK195" si="38">U206</f>
        <v>0</v>
      </c>
      <c r="AL190" s="79">
        <f t="shared" ref="AL190:AL195" si="39">U212</f>
        <v>0</v>
      </c>
      <c r="AM190" s="79">
        <f t="shared" ref="AM190:AM195" si="40">U218</f>
        <v>0</v>
      </c>
      <c r="AN190" s="79">
        <f t="shared" ref="AN190:AN195" si="41">U224</f>
        <v>0</v>
      </c>
    </row>
    <row r="191" spans="1:40" ht="15.75" customHeight="1">
      <c r="A191" s="230"/>
      <c r="B191" s="4" t="s">
        <v>16</v>
      </c>
      <c r="C191" s="5"/>
      <c r="D191" s="5"/>
      <c r="E191" s="4"/>
      <c r="F191" s="4"/>
      <c r="G191" s="4"/>
      <c r="H191" s="4"/>
      <c r="I191" s="4"/>
      <c r="J191" s="4"/>
      <c r="K191" s="227"/>
      <c r="L191" s="4" t="s">
        <v>16</v>
      </c>
      <c r="M191" s="4"/>
      <c r="N191" s="4"/>
      <c r="O191" s="4"/>
      <c r="P191" s="4"/>
      <c r="Q191" s="4"/>
      <c r="R191" s="5"/>
      <c r="S191" s="5"/>
      <c r="T191" s="49"/>
      <c r="U191" s="59">
        <f t="shared" si="34"/>
        <v>0</v>
      </c>
      <c r="W191" s="55" t="s">
        <v>7</v>
      </c>
      <c r="X191" s="48">
        <f>SUM(U200:U205)</f>
        <v>0</v>
      </c>
      <c r="AG191" s="97" t="s">
        <v>14</v>
      </c>
      <c r="AH191" s="97">
        <f t="shared" si="35"/>
        <v>0</v>
      </c>
      <c r="AI191" s="97">
        <f t="shared" si="36"/>
        <v>0</v>
      </c>
      <c r="AJ191" s="97">
        <f t="shared" si="37"/>
        <v>0</v>
      </c>
      <c r="AK191" s="97">
        <f t="shared" si="38"/>
        <v>0</v>
      </c>
      <c r="AL191" s="97">
        <f t="shared" si="39"/>
        <v>0</v>
      </c>
      <c r="AM191" s="97">
        <f t="shared" si="40"/>
        <v>0</v>
      </c>
      <c r="AN191" s="97">
        <f t="shared" si="41"/>
        <v>0</v>
      </c>
    </row>
    <row r="192" spans="1:40" ht="15.75" customHeight="1">
      <c r="A192" s="230"/>
      <c r="B192" s="4" t="s">
        <v>17</v>
      </c>
      <c r="C192" s="5"/>
      <c r="D192" s="5"/>
      <c r="E192" s="4"/>
      <c r="F192" s="4"/>
      <c r="G192" s="4"/>
      <c r="H192" s="4"/>
      <c r="I192" s="4"/>
      <c r="J192" s="4"/>
      <c r="K192" s="227"/>
      <c r="L192" s="4" t="s">
        <v>17</v>
      </c>
      <c r="M192" s="4"/>
      <c r="N192" s="4"/>
      <c r="O192" s="4"/>
      <c r="P192" s="4"/>
      <c r="Q192" s="4"/>
      <c r="R192" s="5"/>
      <c r="S192" s="5"/>
      <c r="T192" s="49"/>
      <c r="U192" s="59">
        <f t="shared" si="34"/>
        <v>0</v>
      </c>
      <c r="W192" s="55" t="s">
        <v>61</v>
      </c>
      <c r="X192" s="48">
        <f>SUM(U206:U211)</f>
        <v>0</v>
      </c>
      <c r="AG192" s="79" t="s">
        <v>15</v>
      </c>
      <c r="AH192" s="79">
        <f t="shared" si="35"/>
        <v>0</v>
      </c>
      <c r="AI192" s="79">
        <f t="shared" si="36"/>
        <v>0</v>
      </c>
      <c r="AJ192" s="79">
        <f t="shared" si="37"/>
        <v>0</v>
      </c>
      <c r="AK192" s="79">
        <f t="shared" si="38"/>
        <v>0</v>
      </c>
      <c r="AL192" s="79">
        <f t="shared" si="39"/>
        <v>0</v>
      </c>
      <c r="AM192" s="79">
        <f t="shared" si="40"/>
        <v>0</v>
      </c>
      <c r="AN192" s="79">
        <f t="shared" si="41"/>
        <v>0</v>
      </c>
    </row>
    <row r="193" spans="1:40" ht="15.75" customHeight="1">
      <c r="A193" s="230"/>
      <c r="B193" s="46" t="s">
        <v>18</v>
      </c>
      <c r="C193" s="64"/>
      <c r="D193" s="64"/>
      <c r="E193" s="46"/>
      <c r="F193" s="46"/>
      <c r="G193" s="46"/>
      <c r="H193" s="46"/>
      <c r="I193" s="46"/>
      <c r="J193" s="46"/>
      <c r="K193" s="227"/>
      <c r="L193" s="46" t="s">
        <v>18</v>
      </c>
      <c r="M193" s="46"/>
      <c r="N193" s="46"/>
      <c r="O193" s="46"/>
      <c r="P193" s="46"/>
      <c r="Q193" s="46"/>
      <c r="R193" s="64"/>
      <c r="S193" s="64"/>
      <c r="T193" s="65"/>
      <c r="U193" s="59">
        <f t="shared" si="34"/>
        <v>0</v>
      </c>
      <c r="W193" s="55" t="s">
        <v>9</v>
      </c>
      <c r="X193" s="48">
        <f>SUM(U212:U217)</f>
        <v>0</v>
      </c>
      <c r="AG193" s="97" t="s">
        <v>16</v>
      </c>
      <c r="AH193" s="97">
        <f t="shared" si="35"/>
        <v>0</v>
      </c>
      <c r="AI193" s="97">
        <f t="shared" si="36"/>
        <v>0</v>
      </c>
      <c r="AJ193" s="97">
        <f t="shared" si="37"/>
        <v>0</v>
      </c>
      <c r="AK193" s="97">
        <f t="shared" si="38"/>
        <v>0</v>
      </c>
      <c r="AL193" s="97">
        <f t="shared" si="39"/>
        <v>0</v>
      </c>
      <c r="AM193" s="97">
        <f t="shared" si="40"/>
        <v>0</v>
      </c>
      <c r="AN193" s="97">
        <f t="shared" si="41"/>
        <v>0</v>
      </c>
    </row>
    <row r="194" spans="1:40" ht="15.75" customHeight="1">
      <c r="A194" s="193" t="s">
        <v>6</v>
      </c>
      <c r="B194" s="63" t="s">
        <v>13</v>
      </c>
      <c r="C194" s="57"/>
      <c r="D194" s="57"/>
      <c r="E194" s="57"/>
      <c r="F194" s="63"/>
      <c r="G194" s="63"/>
      <c r="H194" s="63"/>
      <c r="I194" s="63"/>
      <c r="J194" s="63"/>
      <c r="K194" s="194" t="s">
        <v>6</v>
      </c>
      <c r="L194" s="63" t="s">
        <v>13</v>
      </c>
      <c r="M194" s="63"/>
      <c r="N194" s="63"/>
      <c r="O194" s="63"/>
      <c r="P194" s="63"/>
      <c r="Q194" s="57"/>
      <c r="R194" s="57"/>
      <c r="S194" s="57"/>
      <c r="T194" s="58"/>
      <c r="U194" s="59">
        <f t="shared" si="34"/>
        <v>0</v>
      </c>
      <c r="W194" s="55" t="s">
        <v>10</v>
      </c>
      <c r="X194" s="48">
        <f>SUM(U218:U223)</f>
        <v>0</v>
      </c>
      <c r="AG194" s="79" t="s">
        <v>17</v>
      </c>
      <c r="AH194" s="79">
        <f t="shared" si="35"/>
        <v>0</v>
      </c>
      <c r="AI194" s="79">
        <f t="shared" si="36"/>
        <v>0</v>
      </c>
      <c r="AJ194" s="79">
        <f t="shared" si="37"/>
        <v>0</v>
      </c>
      <c r="AK194" s="79">
        <f t="shared" si="38"/>
        <v>0</v>
      </c>
      <c r="AL194" s="79">
        <f t="shared" si="39"/>
        <v>0</v>
      </c>
      <c r="AM194" s="79">
        <f t="shared" si="40"/>
        <v>0</v>
      </c>
      <c r="AN194" s="79">
        <f t="shared" si="41"/>
        <v>0</v>
      </c>
    </row>
    <row r="195" spans="1:40" ht="15.75" customHeight="1">
      <c r="A195" s="230"/>
      <c r="B195" s="6" t="s">
        <v>14</v>
      </c>
      <c r="C195" s="5"/>
      <c r="D195" s="5"/>
      <c r="E195" s="5"/>
      <c r="F195" s="6"/>
      <c r="G195" s="6"/>
      <c r="H195" s="6"/>
      <c r="I195" s="6"/>
      <c r="J195" s="6"/>
      <c r="K195" s="227"/>
      <c r="L195" s="6" t="s">
        <v>14</v>
      </c>
      <c r="M195" s="6"/>
      <c r="N195" s="6"/>
      <c r="O195" s="6"/>
      <c r="P195" s="6"/>
      <c r="Q195" s="5"/>
      <c r="R195" s="5"/>
      <c r="S195" s="5"/>
      <c r="T195" s="49"/>
      <c r="U195" s="59">
        <f t="shared" si="34"/>
        <v>0</v>
      </c>
      <c r="W195" s="81" t="s">
        <v>11</v>
      </c>
      <c r="X195" s="80">
        <f>SUM(U224:U229)</f>
        <v>0</v>
      </c>
      <c r="AG195" s="97" t="s">
        <v>18</v>
      </c>
      <c r="AH195" s="97">
        <f t="shared" si="35"/>
        <v>0</v>
      </c>
      <c r="AI195" s="97">
        <f t="shared" si="36"/>
        <v>0</v>
      </c>
      <c r="AJ195" s="97">
        <f t="shared" si="37"/>
        <v>0</v>
      </c>
      <c r="AK195" s="97">
        <f t="shared" si="38"/>
        <v>0</v>
      </c>
      <c r="AL195" s="97">
        <f t="shared" si="39"/>
        <v>0</v>
      </c>
      <c r="AM195" s="97">
        <f t="shared" si="40"/>
        <v>0</v>
      </c>
      <c r="AN195" s="97">
        <f t="shared" si="41"/>
        <v>0</v>
      </c>
    </row>
    <row r="196" spans="1:40" ht="15.75" customHeight="1">
      <c r="A196" s="230"/>
      <c r="B196" s="6" t="s">
        <v>15</v>
      </c>
      <c r="C196" s="5"/>
      <c r="D196" s="5"/>
      <c r="E196" s="5"/>
      <c r="F196" s="6"/>
      <c r="G196" s="6"/>
      <c r="H196" s="6"/>
      <c r="I196" s="6"/>
      <c r="J196" s="6"/>
      <c r="K196" s="227"/>
      <c r="L196" s="6" t="s">
        <v>15</v>
      </c>
      <c r="M196" s="6"/>
      <c r="N196" s="6"/>
      <c r="O196" s="6"/>
      <c r="P196" s="6"/>
      <c r="Q196" s="5"/>
      <c r="R196" s="5"/>
      <c r="S196" s="5"/>
      <c r="T196" s="49"/>
      <c r="U196" s="59">
        <f t="shared" si="34"/>
        <v>0</v>
      </c>
      <c r="W196" s="79" t="s">
        <v>63</v>
      </c>
      <c r="X196" s="82">
        <f>SUM(X189:X195)</f>
        <v>0</v>
      </c>
    </row>
    <row r="197" spans="1:40" ht="15.75" customHeight="1">
      <c r="A197" s="230"/>
      <c r="B197" s="6" t="s">
        <v>16</v>
      </c>
      <c r="C197" s="5"/>
      <c r="D197" s="5"/>
      <c r="E197" s="5"/>
      <c r="F197" s="6"/>
      <c r="G197" s="6"/>
      <c r="H197" s="6"/>
      <c r="I197" s="6"/>
      <c r="J197" s="6"/>
      <c r="K197" s="227"/>
      <c r="L197" s="6" t="s">
        <v>16</v>
      </c>
      <c r="M197" s="6"/>
      <c r="N197" s="6"/>
      <c r="O197" s="6"/>
      <c r="P197" s="6"/>
      <c r="Q197" s="5"/>
      <c r="R197" s="5"/>
      <c r="S197" s="5"/>
      <c r="T197" s="49"/>
      <c r="U197" s="59">
        <f t="shared" si="34"/>
        <v>0</v>
      </c>
    </row>
    <row r="198" spans="1:40" ht="15.75" customHeight="1">
      <c r="A198" s="230"/>
      <c r="B198" s="6" t="s">
        <v>17</v>
      </c>
      <c r="C198" s="5"/>
      <c r="D198" s="5"/>
      <c r="E198" s="5"/>
      <c r="F198" s="6"/>
      <c r="G198" s="6"/>
      <c r="H198" s="6"/>
      <c r="I198" s="6"/>
      <c r="J198" s="6"/>
      <c r="K198" s="227"/>
      <c r="L198" s="6" t="s">
        <v>17</v>
      </c>
      <c r="M198" s="6"/>
      <c r="N198" s="6"/>
      <c r="O198" s="6"/>
      <c r="P198" s="6"/>
      <c r="Q198" s="5"/>
      <c r="R198" s="5"/>
      <c r="S198" s="5"/>
      <c r="T198" s="49"/>
      <c r="U198" s="59">
        <f t="shared" si="34"/>
        <v>0</v>
      </c>
    </row>
    <row r="199" spans="1:40" ht="15.75" customHeight="1">
      <c r="A199" s="230"/>
      <c r="B199" s="47" t="s">
        <v>18</v>
      </c>
      <c r="C199" s="64"/>
      <c r="D199" s="64"/>
      <c r="E199" s="64"/>
      <c r="F199" s="47"/>
      <c r="G199" s="47"/>
      <c r="H199" s="47"/>
      <c r="I199" s="47"/>
      <c r="J199" s="47"/>
      <c r="K199" s="227"/>
      <c r="L199" s="47" t="s">
        <v>18</v>
      </c>
      <c r="M199" s="47"/>
      <c r="N199" s="47"/>
      <c r="O199" s="47"/>
      <c r="P199" s="47"/>
      <c r="Q199" s="64"/>
      <c r="R199" s="64"/>
      <c r="S199" s="64"/>
      <c r="T199" s="65"/>
      <c r="U199" s="59">
        <f t="shared" si="34"/>
        <v>0</v>
      </c>
    </row>
    <row r="200" spans="1:40" ht="15.75" customHeight="1">
      <c r="A200" s="195" t="s">
        <v>7</v>
      </c>
      <c r="B200" s="56" t="s">
        <v>13</v>
      </c>
      <c r="C200" s="56"/>
      <c r="D200" s="56"/>
      <c r="E200" s="56"/>
      <c r="F200" s="56"/>
      <c r="G200" s="56"/>
      <c r="H200" s="56"/>
      <c r="I200" s="56"/>
      <c r="J200" s="56"/>
      <c r="K200" s="196" t="s">
        <v>7</v>
      </c>
      <c r="L200" s="56" t="s">
        <v>13</v>
      </c>
      <c r="M200" s="56"/>
      <c r="N200" s="56"/>
      <c r="O200" s="56"/>
      <c r="P200" s="56"/>
      <c r="Q200" s="56"/>
      <c r="R200" s="56"/>
      <c r="S200" s="56"/>
      <c r="T200" s="67"/>
      <c r="U200" s="59">
        <f t="shared" si="34"/>
        <v>0</v>
      </c>
    </row>
    <row r="201" spans="1:40" ht="15.75" customHeight="1">
      <c r="A201" s="230"/>
      <c r="B201" s="4" t="s">
        <v>14</v>
      </c>
      <c r="C201" s="4"/>
      <c r="D201" s="4"/>
      <c r="E201" s="4"/>
      <c r="F201" s="4"/>
      <c r="G201" s="4"/>
      <c r="H201" s="4"/>
      <c r="I201" s="4"/>
      <c r="J201" s="4"/>
      <c r="K201" s="227"/>
      <c r="L201" s="4" t="s">
        <v>14</v>
      </c>
      <c r="M201" s="4"/>
      <c r="N201" s="4"/>
      <c r="O201" s="4"/>
      <c r="P201" s="4"/>
      <c r="Q201" s="4"/>
      <c r="R201" s="4"/>
      <c r="S201" s="4"/>
      <c r="T201" s="50"/>
      <c r="U201" s="59">
        <f t="shared" si="34"/>
        <v>0</v>
      </c>
    </row>
    <row r="202" spans="1:40" ht="15.75" customHeight="1">
      <c r="A202" s="230"/>
      <c r="B202" s="4" t="s">
        <v>15</v>
      </c>
      <c r="C202" s="4"/>
      <c r="D202" s="4"/>
      <c r="E202" s="4"/>
      <c r="F202" s="4"/>
      <c r="G202" s="4"/>
      <c r="H202" s="4"/>
      <c r="I202" s="4"/>
      <c r="J202" s="4"/>
      <c r="K202" s="227"/>
      <c r="L202" s="4" t="s">
        <v>15</v>
      </c>
      <c r="M202" s="4"/>
      <c r="N202" s="4"/>
      <c r="O202" s="4"/>
      <c r="P202" s="4"/>
      <c r="Q202" s="4"/>
      <c r="R202" s="4"/>
      <c r="S202" s="4"/>
      <c r="T202" s="50"/>
      <c r="U202" s="59">
        <f t="shared" si="34"/>
        <v>0</v>
      </c>
    </row>
    <row r="203" spans="1:40" ht="15.75" customHeight="1">
      <c r="A203" s="230"/>
      <c r="B203" s="4" t="s">
        <v>16</v>
      </c>
      <c r="C203" s="4"/>
      <c r="D203" s="4"/>
      <c r="E203" s="4"/>
      <c r="F203" s="4"/>
      <c r="G203" s="4"/>
      <c r="H203" s="4"/>
      <c r="I203" s="4"/>
      <c r="J203" s="4"/>
      <c r="K203" s="227"/>
      <c r="L203" s="4" t="s">
        <v>16</v>
      </c>
      <c r="M203" s="4"/>
      <c r="N203" s="4"/>
      <c r="O203" s="4"/>
      <c r="P203" s="4"/>
      <c r="Q203" s="4"/>
      <c r="R203" s="4"/>
      <c r="S203" s="4"/>
      <c r="T203" s="50"/>
      <c r="U203" s="59">
        <f t="shared" si="34"/>
        <v>0</v>
      </c>
    </row>
    <row r="204" spans="1:40" ht="15.75" customHeight="1">
      <c r="A204" s="230"/>
      <c r="B204" s="4" t="s">
        <v>17</v>
      </c>
      <c r="C204" s="4"/>
      <c r="D204" s="4"/>
      <c r="E204" s="4"/>
      <c r="F204" s="4"/>
      <c r="G204" s="4"/>
      <c r="H204" s="4"/>
      <c r="I204" s="4"/>
      <c r="J204" s="4"/>
      <c r="K204" s="227"/>
      <c r="L204" s="4" t="s">
        <v>17</v>
      </c>
      <c r="M204" s="4"/>
      <c r="N204" s="4"/>
      <c r="O204" s="4"/>
      <c r="P204" s="4"/>
      <c r="Q204" s="4"/>
      <c r="R204" s="4"/>
      <c r="S204" s="4"/>
      <c r="T204" s="50"/>
      <c r="U204" s="59">
        <f t="shared" si="34"/>
        <v>0</v>
      </c>
    </row>
    <row r="205" spans="1:40" ht="15.75" customHeight="1">
      <c r="A205" s="230"/>
      <c r="B205" s="46" t="s">
        <v>18</v>
      </c>
      <c r="C205" s="46"/>
      <c r="D205" s="46"/>
      <c r="E205" s="46"/>
      <c r="F205" s="46"/>
      <c r="G205" s="46"/>
      <c r="H205" s="46"/>
      <c r="I205" s="46"/>
      <c r="J205" s="46"/>
      <c r="K205" s="227"/>
      <c r="L205" s="46" t="s">
        <v>18</v>
      </c>
      <c r="M205" s="46"/>
      <c r="N205" s="46"/>
      <c r="O205" s="46"/>
      <c r="P205" s="46"/>
      <c r="Q205" s="46"/>
      <c r="R205" s="46"/>
      <c r="S205" s="46"/>
      <c r="T205" s="69"/>
      <c r="U205" s="59">
        <f t="shared" si="34"/>
        <v>0</v>
      </c>
    </row>
    <row r="206" spans="1:40" ht="15.75" customHeight="1">
      <c r="A206" s="193" t="s">
        <v>8</v>
      </c>
      <c r="B206" s="63" t="s">
        <v>13</v>
      </c>
      <c r="C206" s="63"/>
      <c r="D206" s="63"/>
      <c r="E206" s="63"/>
      <c r="F206" s="63"/>
      <c r="G206" s="63"/>
      <c r="H206" s="63"/>
      <c r="I206" s="63"/>
      <c r="J206" s="63"/>
      <c r="K206" s="194" t="s">
        <v>8</v>
      </c>
      <c r="L206" s="63" t="s">
        <v>13</v>
      </c>
      <c r="M206" s="63"/>
      <c r="N206" s="63"/>
      <c r="O206" s="63"/>
      <c r="P206" s="63"/>
      <c r="Q206" s="63"/>
      <c r="R206" s="63"/>
      <c r="S206" s="63"/>
      <c r="T206" s="68"/>
      <c r="U206" s="59">
        <f t="shared" si="34"/>
        <v>0</v>
      </c>
    </row>
    <row r="207" spans="1:40" ht="15.75" customHeight="1">
      <c r="A207" s="230"/>
      <c r="B207" s="6" t="s">
        <v>14</v>
      </c>
      <c r="C207" s="6"/>
      <c r="D207" s="6"/>
      <c r="E207" s="6"/>
      <c r="F207" s="6"/>
      <c r="G207" s="6"/>
      <c r="H207" s="6"/>
      <c r="I207" s="6"/>
      <c r="J207" s="6"/>
      <c r="K207" s="227"/>
      <c r="L207" s="6" t="s">
        <v>14</v>
      </c>
      <c r="M207" s="6"/>
      <c r="N207" s="6"/>
      <c r="O207" s="6"/>
      <c r="P207" s="6"/>
      <c r="Q207" s="6"/>
      <c r="R207" s="6"/>
      <c r="S207" s="6"/>
      <c r="T207" s="51"/>
      <c r="U207" s="59">
        <f t="shared" si="34"/>
        <v>0</v>
      </c>
    </row>
    <row r="208" spans="1:40" ht="15.75" customHeight="1">
      <c r="A208" s="230"/>
      <c r="B208" s="6" t="s">
        <v>15</v>
      </c>
      <c r="C208" s="6"/>
      <c r="D208" s="6"/>
      <c r="E208" s="6"/>
      <c r="F208" s="6"/>
      <c r="G208" s="6"/>
      <c r="H208" s="6"/>
      <c r="I208" s="6"/>
      <c r="J208" s="6"/>
      <c r="K208" s="227"/>
      <c r="L208" s="6" t="s">
        <v>15</v>
      </c>
      <c r="M208" s="6"/>
      <c r="N208" s="6"/>
      <c r="O208" s="6"/>
      <c r="P208" s="6"/>
      <c r="Q208" s="6"/>
      <c r="R208" s="6"/>
      <c r="S208" s="6"/>
      <c r="T208" s="51"/>
      <c r="U208" s="59">
        <f t="shared" si="34"/>
        <v>0</v>
      </c>
    </row>
    <row r="209" spans="1:21" ht="15.75" customHeight="1">
      <c r="A209" s="230"/>
      <c r="B209" s="6" t="s">
        <v>16</v>
      </c>
      <c r="C209" s="6"/>
      <c r="D209" s="6"/>
      <c r="E209" s="6"/>
      <c r="F209" s="6"/>
      <c r="G209" s="6"/>
      <c r="H209" s="6"/>
      <c r="I209" s="6"/>
      <c r="J209" s="6"/>
      <c r="K209" s="227"/>
      <c r="L209" s="6" t="s">
        <v>16</v>
      </c>
      <c r="M209" s="6"/>
      <c r="N209" s="6"/>
      <c r="O209" s="6"/>
      <c r="P209" s="6"/>
      <c r="Q209" s="6"/>
      <c r="R209" s="6"/>
      <c r="S209" s="6"/>
      <c r="T209" s="51"/>
      <c r="U209" s="59">
        <f t="shared" si="34"/>
        <v>0</v>
      </c>
    </row>
    <row r="210" spans="1:21" ht="15.75" customHeight="1">
      <c r="A210" s="230"/>
      <c r="B210" s="6" t="s">
        <v>17</v>
      </c>
      <c r="C210" s="6"/>
      <c r="D210" s="6"/>
      <c r="E210" s="6"/>
      <c r="F210" s="6"/>
      <c r="G210" s="6"/>
      <c r="H210" s="6"/>
      <c r="I210" s="6"/>
      <c r="J210" s="6"/>
      <c r="K210" s="227"/>
      <c r="L210" s="6" t="s">
        <v>17</v>
      </c>
      <c r="M210" s="6"/>
      <c r="N210" s="6"/>
      <c r="O210" s="6"/>
      <c r="P210" s="6"/>
      <c r="Q210" s="6"/>
      <c r="R210" s="6"/>
      <c r="S210" s="6"/>
      <c r="T210" s="51"/>
      <c r="U210" s="59">
        <f t="shared" si="34"/>
        <v>0</v>
      </c>
    </row>
    <row r="211" spans="1:21" ht="15.75" customHeight="1">
      <c r="A211" s="230"/>
      <c r="B211" s="47" t="s">
        <v>18</v>
      </c>
      <c r="C211" s="47"/>
      <c r="D211" s="47"/>
      <c r="E211" s="47"/>
      <c r="F211" s="47"/>
      <c r="G211" s="47"/>
      <c r="H211" s="47"/>
      <c r="I211" s="47"/>
      <c r="J211" s="47"/>
      <c r="K211" s="227"/>
      <c r="L211" s="47" t="s">
        <v>18</v>
      </c>
      <c r="M211" s="47"/>
      <c r="N211" s="47"/>
      <c r="O211" s="47"/>
      <c r="P211" s="47"/>
      <c r="Q211" s="47"/>
      <c r="R211" s="47"/>
      <c r="S211" s="47"/>
      <c r="T211" s="70"/>
      <c r="U211" s="59">
        <f t="shared" si="34"/>
        <v>0</v>
      </c>
    </row>
    <row r="212" spans="1:21" ht="15.75" customHeight="1">
      <c r="A212" s="195" t="s">
        <v>9</v>
      </c>
      <c r="B212" s="56" t="s">
        <v>13</v>
      </c>
      <c r="C212" s="56"/>
      <c r="D212" s="56"/>
      <c r="E212" s="56"/>
      <c r="F212" s="56"/>
      <c r="G212" s="56"/>
      <c r="H212" s="56"/>
      <c r="I212" s="56"/>
      <c r="J212" s="56"/>
      <c r="K212" s="196" t="s">
        <v>9</v>
      </c>
      <c r="L212" s="56" t="s">
        <v>13</v>
      </c>
      <c r="M212" s="56"/>
      <c r="N212" s="56"/>
      <c r="O212" s="56"/>
      <c r="P212" s="56"/>
      <c r="Q212" s="56"/>
      <c r="R212" s="56"/>
      <c r="S212" s="56"/>
      <c r="T212" s="67"/>
      <c r="U212" s="59">
        <f t="shared" si="34"/>
        <v>0</v>
      </c>
    </row>
    <row r="213" spans="1:21" ht="15.75" customHeight="1">
      <c r="A213" s="230"/>
      <c r="B213" s="4" t="s">
        <v>14</v>
      </c>
      <c r="C213" s="4"/>
      <c r="D213" s="4"/>
      <c r="E213" s="4"/>
      <c r="F213" s="4"/>
      <c r="G213" s="4"/>
      <c r="H213" s="4"/>
      <c r="I213" s="4"/>
      <c r="J213" s="4"/>
      <c r="K213" s="227"/>
      <c r="L213" s="4" t="s">
        <v>14</v>
      </c>
      <c r="M213" s="4"/>
      <c r="N213" s="4"/>
      <c r="O213" s="4"/>
      <c r="P213" s="4"/>
      <c r="Q213" s="4"/>
      <c r="R213" s="4"/>
      <c r="S213" s="4"/>
      <c r="T213" s="50"/>
      <c r="U213" s="59">
        <f t="shared" si="34"/>
        <v>0</v>
      </c>
    </row>
    <row r="214" spans="1:21" ht="15.75" customHeight="1">
      <c r="A214" s="230"/>
      <c r="B214" s="4" t="s">
        <v>15</v>
      </c>
      <c r="C214" s="4"/>
      <c r="D214" s="4"/>
      <c r="E214" s="4"/>
      <c r="F214" s="4"/>
      <c r="G214" s="4"/>
      <c r="H214" s="4"/>
      <c r="I214" s="4"/>
      <c r="J214" s="4"/>
      <c r="K214" s="227"/>
      <c r="L214" s="4" t="s">
        <v>15</v>
      </c>
      <c r="M214" s="4"/>
      <c r="N214" s="4"/>
      <c r="O214" s="4"/>
      <c r="P214" s="4"/>
      <c r="Q214" s="4"/>
      <c r="R214" s="4"/>
      <c r="S214" s="4"/>
      <c r="T214" s="50"/>
      <c r="U214" s="59">
        <f t="shared" si="34"/>
        <v>0</v>
      </c>
    </row>
    <row r="215" spans="1:21" ht="15.75" customHeight="1">
      <c r="A215" s="230"/>
      <c r="B215" s="4" t="s">
        <v>16</v>
      </c>
      <c r="C215" s="4"/>
      <c r="D215" s="4"/>
      <c r="E215" s="4"/>
      <c r="F215" s="4"/>
      <c r="G215" s="4"/>
      <c r="H215" s="4"/>
      <c r="I215" s="4"/>
      <c r="J215" s="4"/>
      <c r="K215" s="227"/>
      <c r="L215" s="4" t="s">
        <v>16</v>
      </c>
      <c r="M215" s="4"/>
      <c r="N215" s="4"/>
      <c r="O215" s="4"/>
      <c r="P215" s="4"/>
      <c r="Q215" s="4"/>
      <c r="R215" s="4"/>
      <c r="S215" s="4"/>
      <c r="T215" s="50"/>
      <c r="U215" s="59">
        <f t="shared" si="34"/>
        <v>0</v>
      </c>
    </row>
    <row r="216" spans="1:21" ht="15.75" customHeight="1">
      <c r="A216" s="230"/>
      <c r="B216" s="4" t="s">
        <v>17</v>
      </c>
      <c r="C216" s="4"/>
      <c r="D216" s="4"/>
      <c r="E216" s="4"/>
      <c r="F216" s="4"/>
      <c r="G216" s="4"/>
      <c r="H216" s="4"/>
      <c r="I216" s="4"/>
      <c r="J216" s="4"/>
      <c r="K216" s="227"/>
      <c r="L216" s="4" t="s">
        <v>17</v>
      </c>
      <c r="M216" s="4"/>
      <c r="N216" s="4"/>
      <c r="O216" s="4"/>
      <c r="P216" s="4"/>
      <c r="Q216" s="4"/>
      <c r="R216" s="4"/>
      <c r="S216" s="4"/>
      <c r="T216" s="50"/>
      <c r="U216" s="59">
        <f t="shared" si="34"/>
        <v>0</v>
      </c>
    </row>
    <row r="217" spans="1:21" ht="15.75" customHeight="1">
      <c r="A217" s="230"/>
      <c r="B217" s="46" t="s">
        <v>18</v>
      </c>
      <c r="C217" s="46"/>
      <c r="D217" s="46"/>
      <c r="E217" s="46"/>
      <c r="F217" s="46"/>
      <c r="G217" s="46"/>
      <c r="H217" s="46"/>
      <c r="I217" s="46"/>
      <c r="J217" s="46"/>
      <c r="K217" s="227"/>
      <c r="L217" s="46" t="s">
        <v>18</v>
      </c>
      <c r="M217" s="46"/>
      <c r="N217" s="46"/>
      <c r="O217" s="46"/>
      <c r="P217" s="46"/>
      <c r="Q217" s="46"/>
      <c r="R217" s="46"/>
      <c r="S217" s="46"/>
      <c r="T217" s="69"/>
      <c r="U217" s="59">
        <f t="shared" si="34"/>
        <v>0</v>
      </c>
    </row>
    <row r="218" spans="1:21" ht="15.75" customHeight="1">
      <c r="A218" s="193" t="s">
        <v>10</v>
      </c>
      <c r="B218" s="63" t="s">
        <v>13</v>
      </c>
      <c r="C218" s="71"/>
      <c r="D218" s="71"/>
      <c r="E218" s="71"/>
      <c r="F218" s="71"/>
      <c r="G218" s="71"/>
      <c r="H218" s="71"/>
      <c r="I218" s="71"/>
      <c r="J218" s="71"/>
      <c r="K218" s="194" t="s">
        <v>10</v>
      </c>
      <c r="L218" s="63" t="s">
        <v>13</v>
      </c>
      <c r="M218" s="71"/>
      <c r="N218" s="71"/>
      <c r="O218" s="71"/>
      <c r="P218" s="71"/>
      <c r="Q218" s="71"/>
      <c r="R218" s="71"/>
      <c r="S218" s="71"/>
      <c r="T218" s="72"/>
      <c r="U218" s="59">
        <f t="shared" si="34"/>
        <v>0</v>
      </c>
    </row>
    <row r="219" spans="1:21" ht="15.75" customHeight="1">
      <c r="A219" s="230"/>
      <c r="B219" s="6" t="s">
        <v>14</v>
      </c>
      <c r="C219" s="8"/>
      <c r="D219" s="8"/>
      <c r="E219" s="8"/>
      <c r="F219" s="8"/>
      <c r="G219" s="8"/>
      <c r="H219" s="8"/>
      <c r="I219" s="8"/>
      <c r="J219" s="8"/>
      <c r="K219" s="227"/>
      <c r="L219" s="6" t="s">
        <v>14</v>
      </c>
      <c r="M219" s="8"/>
      <c r="N219" s="8"/>
      <c r="O219" s="8"/>
      <c r="P219" s="8"/>
      <c r="Q219" s="8"/>
      <c r="R219" s="8"/>
      <c r="S219" s="8"/>
      <c r="T219" s="52"/>
      <c r="U219" s="59">
        <f t="shared" si="34"/>
        <v>0</v>
      </c>
    </row>
    <row r="220" spans="1:21" ht="15.75" customHeight="1">
      <c r="A220" s="230"/>
      <c r="B220" s="6" t="s">
        <v>15</v>
      </c>
      <c r="C220" s="8"/>
      <c r="D220" s="8"/>
      <c r="E220" s="8"/>
      <c r="F220" s="8"/>
      <c r="G220" s="8"/>
      <c r="H220" s="8"/>
      <c r="I220" s="8"/>
      <c r="J220" s="8"/>
      <c r="K220" s="227"/>
      <c r="L220" s="6" t="s">
        <v>15</v>
      </c>
      <c r="M220" s="8"/>
      <c r="N220" s="8"/>
      <c r="O220" s="8"/>
      <c r="P220" s="8"/>
      <c r="Q220" s="8"/>
      <c r="R220" s="8"/>
      <c r="S220" s="8"/>
      <c r="T220" s="52"/>
      <c r="U220" s="59">
        <f t="shared" si="34"/>
        <v>0</v>
      </c>
    </row>
    <row r="221" spans="1:21" ht="15.75" customHeight="1">
      <c r="A221" s="230"/>
      <c r="B221" s="6" t="s">
        <v>16</v>
      </c>
      <c r="C221" s="8"/>
      <c r="D221" s="8"/>
      <c r="E221" s="8"/>
      <c r="F221" s="8"/>
      <c r="G221" s="8"/>
      <c r="H221" s="8"/>
      <c r="I221" s="8"/>
      <c r="J221" s="8"/>
      <c r="K221" s="227"/>
      <c r="L221" s="6" t="s">
        <v>16</v>
      </c>
      <c r="M221" s="8"/>
      <c r="N221" s="8"/>
      <c r="O221" s="8"/>
      <c r="P221" s="8"/>
      <c r="Q221" s="8"/>
      <c r="R221" s="8"/>
      <c r="S221" s="8"/>
      <c r="T221" s="52"/>
      <c r="U221" s="59">
        <f t="shared" si="34"/>
        <v>0</v>
      </c>
    </row>
    <row r="222" spans="1:21" ht="15.75" customHeight="1">
      <c r="A222" s="230"/>
      <c r="B222" s="6" t="s">
        <v>17</v>
      </c>
      <c r="C222" s="8"/>
      <c r="D222" s="8"/>
      <c r="E222" s="8"/>
      <c r="F222" s="8"/>
      <c r="G222" s="8"/>
      <c r="H222" s="8"/>
      <c r="I222" s="8"/>
      <c r="J222" s="8"/>
      <c r="K222" s="227"/>
      <c r="L222" s="6" t="s">
        <v>17</v>
      </c>
      <c r="M222" s="8"/>
      <c r="N222" s="8"/>
      <c r="O222" s="8"/>
      <c r="P222" s="8"/>
      <c r="Q222" s="8"/>
      <c r="R222" s="8"/>
      <c r="S222" s="8"/>
      <c r="T222" s="52"/>
      <c r="U222" s="59">
        <f t="shared" si="34"/>
        <v>0</v>
      </c>
    </row>
    <row r="223" spans="1:21" ht="15.75" customHeight="1">
      <c r="A223" s="230"/>
      <c r="B223" s="47" t="s">
        <v>18</v>
      </c>
      <c r="C223" s="77"/>
      <c r="D223" s="77"/>
      <c r="E223" s="77"/>
      <c r="F223" s="77"/>
      <c r="G223" s="77"/>
      <c r="H223" s="77"/>
      <c r="I223" s="77"/>
      <c r="J223" s="77"/>
      <c r="K223" s="227"/>
      <c r="L223" s="47" t="s">
        <v>18</v>
      </c>
      <c r="M223" s="77"/>
      <c r="N223" s="77"/>
      <c r="O223" s="77"/>
      <c r="P223" s="77"/>
      <c r="Q223" s="77"/>
      <c r="R223" s="77"/>
      <c r="S223" s="77"/>
      <c r="T223" s="78"/>
      <c r="U223" s="59">
        <f t="shared" si="34"/>
        <v>0</v>
      </c>
    </row>
    <row r="224" spans="1:21" ht="15.75" customHeight="1">
      <c r="A224" s="195" t="s">
        <v>11</v>
      </c>
      <c r="B224" s="56" t="s">
        <v>13</v>
      </c>
      <c r="C224" s="73"/>
      <c r="D224" s="73"/>
      <c r="E224" s="73"/>
      <c r="F224" s="73"/>
      <c r="G224" s="73"/>
      <c r="H224" s="73"/>
      <c r="I224" s="73"/>
      <c r="J224" s="73"/>
      <c r="K224" s="196" t="s">
        <v>11</v>
      </c>
      <c r="L224" s="56" t="s">
        <v>13</v>
      </c>
      <c r="M224" s="73"/>
      <c r="N224" s="73"/>
      <c r="O224" s="73"/>
      <c r="P224" s="73"/>
      <c r="Q224" s="73"/>
      <c r="R224" s="73"/>
      <c r="S224" s="73"/>
      <c r="T224" s="74"/>
      <c r="U224" s="59">
        <f t="shared" si="34"/>
        <v>0</v>
      </c>
    </row>
    <row r="225" spans="1:21" ht="15.75" customHeight="1">
      <c r="A225" s="230"/>
      <c r="B225" s="4" t="s">
        <v>14</v>
      </c>
      <c r="C225" s="9"/>
      <c r="D225" s="9"/>
      <c r="E225" s="9"/>
      <c r="F225" s="9"/>
      <c r="G225" s="9"/>
      <c r="H225" s="9"/>
      <c r="I225" s="9"/>
      <c r="J225" s="9"/>
      <c r="K225" s="227"/>
      <c r="L225" s="4" t="s">
        <v>14</v>
      </c>
      <c r="M225" s="9"/>
      <c r="N225" s="9"/>
      <c r="O225" s="9"/>
      <c r="P225" s="9"/>
      <c r="Q225" s="9"/>
      <c r="R225" s="9"/>
      <c r="S225" s="9"/>
      <c r="T225" s="53"/>
      <c r="U225" s="59">
        <f t="shared" si="34"/>
        <v>0</v>
      </c>
    </row>
    <row r="226" spans="1:21" ht="15.75" customHeight="1">
      <c r="A226" s="230"/>
      <c r="B226" s="4" t="s">
        <v>15</v>
      </c>
      <c r="C226" s="9"/>
      <c r="D226" s="9"/>
      <c r="E226" s="9"/>
      <c r="F226" s="9"/>
      <c r="G226" s="9"/>
      <c r="H226" s="9"/>
      <c r="I226" s="9"/>
      <c r="J226" s="9"/>
      <c r="K226" s="227"/>
      <c r="L226" s="4" t="s">
        <v>15</v>
      </c>
      <c r="M226" s="9"/>
      <c r="N226" s="9"/>
      <c r="O226" s="9"/>
      <c r="P226" s="9"/>
      <c r="Q226" s="9"/>
      <c r="R226" s="9"/>
      <c r="S226" s="9"/>
      <c r="T226" s="53"/>
      <c r="U226" s="59">
        <f t="shared" si="34"/>
        <v>0</v>
      </c>
    </row>
    <row r="227" spans="1:21" ht="15.75" customHeight="1">
      <c r="A227" s="230"/>
      <c r="B227" s="4" t="s">
        <v>16</v>
      </c>
      <c r="C227" s="9"/>
      <c r="D227" s="9"/>
      <c r="E227" s="9"/>
      <c r="F227" s="9"/>
      <c r="G227" s="9"/>
      <c r="H227" s="9"/>
      <c r="I227" s="9"/>
      <c r="J227" s="9"/>
      <c r="K227" s="227"/>
      <c r="L227" s="4" t="s">
        <v>16</v>
      </c>
      <c r="M227" s="9"/>
      <c r="N227" s="9"/>
      <c r="O227" s="9"/>
      <c r="P227" s="9"/>
      <c r="Q227" s="9"/>
      <c r="R227" s="9"/>
      <c r="S227" s="9"/>
      <c r="T227" s="53"/>
      <c r="U227" s="59">
        <f t="shared" si="34"/>
        <v>0</v>
      </c>
    </row>
    <row r="228" spans="1:21" ht="15.75" customHeight="1">
      <c r="A228" s="230"/>
      <c r="B228" s="4" t="s">
        <v>17</v>
      </c>
      <c r="C228" s="9"/>
      <c r="D228" s="9"/>
      <c r="E228" s="9"/>
      <c r="F228" s="9"/>
      <c r="G228" s="9"/>
      <c r="H228" s="9"/>
      <c r="I228" s="9"/>
      <c r="J228" s="9"/>
      <c r="K228" s="227"/>
      <c r="L228" s="4" t="s">
        <v>17</v>
      </c>
      <c r="M228" s="9"/>
      <c r="N228" s="9"/>
      <c r="O228" s="9"/>
      <c r="P228" s="9"/>
      <c r="Q228" s="9"/>
      <c r="R228" s="9"/>
      <c r="S228" s="9"/>
      <c r="T228" s="53"/>
      <c r="U228" s="59">
        <f t="shared" si="34"/>
        <v>0</v>
      </c>
    </row>
    <row r="229" spans="1:21" ht="15.75" customHeight="1">
      <c r="A229" s="231"/>
      <c r="B229" s="61" t="s">
        <v>18</v>
      </c>
      <c r="C229" s="75"/>
      <c r="D229" s="75"/>
      <c r="E229" s="75"/>
      <c r="F229" s="75"/>
      <c r="G229" s="75"/>
      <c r="H229" s="75"/>
      <c r="I229" s="75"/>
      <c r="J229" s="75"/>
      <c r="K229" s="232"/>
      <c r="L229" s="61" t="s">
        <v>18</v>
      </c>
      <c r="M229" s="75"/>
      <c r="N229" s="75"/>
      <c r="O229" s="75"/>
      <c r="P229" s="75"/>
      <c r="Q229" s="75"/>
      <c r="R229" s="75"/>
      <c r="S229" s="75"/>
      <c r="T229" s="76"/>
      <c r="U229" s="59">
        <f t="shared" si="34"/>
        <v>0</v>
      </c>
    </row>
  </sheetData>
  <mergeCells count="111">
    <mergeCell ref="A218:A223"/>
    <mergeCell ref="K218:K223"/>
    <mergeCell ref="A224:A229"/>
    <mergeCell ref="K224:K229"/>
    <mergeCell ref="A200:A205"/>
    <mergeCell ref="K200:K205"/>
    <mergeCell ref="A206:A211"/>
    <mergeCell ref="K206:K211"/>
    <mergeCell ref="A212:A217"/>
    <mergeCell ref="K212:K217"/>
    <mergeCell ref="P186:R186"/>
    <mergeCell ref="A188:A193"/>
    <mergeCell ref="K188:K193"/>
    <mergeCell ref="W188:X188"/>
    <mergeCell ref="AG188:AN188"/>
    <mergeCell ref="A194:A199"/>
    <mergeCell ref="K194:K199"/>
    <mergeCell ref="A178:A183"/>
    <mergeCell ref="K178:K183"/>
    <mergeCell ref="C185:G185"/>
    <mergeCell ref="B186:D186"/>
    <mergeCell ref="F186:H186"/>
    <mergeCell ref="L186:N186"/>
    <mergeCell ref="A160:A165"/>
    <mergeCell ref="K160:K165"/>
    <mergeCell ref="A166:A171"/>
    <mergeCell ref="K166:K171"/>
    <mergeCell ref="A172:A177"/>
    <mergeCell ref="K172:K177"/>
    <mergeCell ref="W142:X142"/>
    <mergeCell ref="AG142:AN142"/>
    <mergeCell ref="A148:A153"/>
    <mergeCell ref="K148:K153"/>
    <mergeCell ref="A154:A159"/>
    <mergeCell ref="K154:K159"/>
    <mergeCell ref="C139:G139"/>
    <mergeCell ref="B140:D140"/>
    <mergeCell ref="F140:H140"/>
    <mergeCell ref="L140:N140"/>
    <mergeCell ref="P140:R140"/>
    <mergeCell ref="A142:A147"/>
    <mergeCell ref="K142:K147"/>
    <mergeCell ref="A120:A125"/>
    <mergeCell ref="K120:K125"/>
    <mergeCell ref="A126:A131"/>
    <mergeCell ref="K126:K131"/>
    <mergeCell ref="A132:A137"/>
    <mergeCell ref="K132:K137"/>
    <mergeCell ref="A102:A107"/>
    <mergeCell ref="K102:K107"/>
    <mergeCell ref="A108:A113"/>
    <mergeCell ref="K108:K113"/>
    <mergeCell ref="A114:A119"/>
    <mergeCell ref="K114:K119"/>
    <mergeCell ref="L94:N94"/>
    <mergeCell ref="P94:R94"/>
    <mergeCell ref="A96:A101"/>
    <mergeCell ref="K96:K101"/>
    <mergeCell ref="W96:X96"/>
    <mergeCell ref="AG96:AN96"/>
    <mergeCell ref="A80:A85"/>
    <mergeCell ref="K80:K85"/>
    <mergeCell ref="A86:A91"/>
    <mergeCell ref="K86:K91"/>
    <mergeCell ref="C93:G93"/>
    <mergeCell ref="B94:D94"/>
    <mergeCell ref="F94:H94"/>
    <mergeCell ref="A62:A67"/>
    <mergeCell ref="K62:K67"/>
    <mergeCell ref="A68:A73"/>
    <mergeCell ref="K68:K73"/>
    <mergeCell ref="A74:A79"/>
    <mergeCell ref="K74:K79"/>
    <mergeCell ref="P48:R48"/>
    <mergeCell ref="A50:A55"/>
    <mergeCell ref="K50:K55"/>
    <mergeCell ref="W50:X50"/>
    <mergeCell ref="AG50:AN50"/>
    <mergeCell ref="A56:A61"/>
    <mergeCell ref="K56:K61"/>
    <mergeCell ref="A40:A45"/>
    <mergeCell ref="K40:K45"/>
    <mergeCell ref="C47:G47"/>
    <mergeCell ref="B48:D48"/>
    <mergeCell ref="F48:H48"/>
    <mergeCell ref="L48:N48"/>
    <mergeCell ref="A22:A27"/>
    <mergeCell ref="K22:K27"/>
    <mergeCell ref="A28:A33"/>
    <mergeCell ref="K28:K33"/>
    <mergeCell ref="A34:A39"/>
    <mergeCell ref="K34:K39"/>
    <mergeCell ref="Z8:AA8"/>
    <mergeCell ref="A10:A15"/>
    <mergeCell ref="K10:K15"/>
    <mergeCell ref="Z10:AA10"/>
    <mergeCell ref="A16:A21"/>
    <mergeCell ref="K16:K21"/>
    <mergeCell ref="A4:A9"/>
    <mergeCell ref="W4:X4"/>
    <mergeCell ref="Z4:AA4"/>
    <mergeCell ref="AD4:AE4"/>
    <mergeCell ref="AG4:AN4"/>
    <mergeCell ref="AP4:AW4"/>
    <mergeCell ref="Z6:AA6"/>
    <mergeCell ref="C1:G1"/>
    <mergeCell ref="B2:D2"/>
    <mergeCell ref="F2:H2"/>
    <mergeCell ref="L2:N2"/>
    <mergeCell ref="P2:R2"/>
    <mergeCell ref="K4:K9"/>
  </mergeCells>
  <printOptions horizontalCentered="1" verticalCentered="1"/>
  <pageMargins left="0.25" right="0.25" top="0.25" bottom="0.25" header="0" footer="0"/>
  <pageSetup pageOrder="overThenDown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53D8C-F330-4543-BC89-E39BEFAE3932}">
  <sheetPr>
    <outlinePr summaryBelow="0" summaryRight="0"/>
    <pageSetUpPr fitToPage="1"/>
  </sheetPr>
  <dimension ref="A1:AW229"/>
  <sheetViews>
    <sheetView topLeftCell="C1" workbookViewId="0">
      <selection activeCell="AL191" sqref="AL191"/>
    </sheetView>
  </sheetViews>
  <sheetFormatPr defaultColWidth="12.5703125" defaultRowHeight="15.75" customHeight="1"/>
  <cols>
    <col min="1" max="1" width="13.140625" bestFit="1" customWidth="1"/>
    <col min="2" max="2" width="16.140625" bestFit="1" customWidth="1"/>
    <col min="3" max="10" width="10.42578125" customWidth="1"/>
    <col min="11" max="11" width="13.140625" bestFit="1" customWidth="1"/>
    <col min="12" max="12" width="16.140625" bestFit="1" customWidth="1"/>
    <col min="13" max="20" width="10.42578125" customWidth="1"/>
    <col min="21" max="22" width="9.140625"/>
    <col min="23" max="23" width="13" bestFit="1" customWidth="1"/>
    <col min="24" max="26" width="9.140625"/>
    <col min="27" max="27" width="14.140625" customWidth="1"/>
  </cols>
  <sheetData>
    <row r="1" spans="1:49" ht="18.75" customHeight="1">
      <c r="A1" s="1"/>
      <c r="B1" s="1"/>
      <c r="C1" s="183" t="s">
        <v>0</v>
      </c>
      <c r="D1" s="225"/>
      <c r="E1" s="225"/>
      <c r="F1" s="225"/>
      <c r="G1" s="226"/>
      <c r="H1" s="2"/>
      <c r="I1" s="1"/>
    </row>
    <row r="2" spans="1:49" ht="18.75" customHeight="1">
      <c r="A2" s="1"/>
      <c r="B2" s="183" t="s">
        <v>1</v>
      </c>
      <c r="C2" s="225"/>
      <c r="D2" s="226"/>
      <c r="E2" s="1"/>
      <c r="F2" s="184" t="s">
        <v>99</v>
      </c>
      <c r="G2" s="225"/>
      <c r="H2" s="226"/>
      <c r="I2" s="1"/>
      <c r="K2" s="1"/>
      <c r="L2" s="183" t="s">
        <v>26</v>
      </c>
      <c r="M2" s="225"/>
      <c r="N2" s="226"/>
      <c r="O2" s="1"/>
      <c r="P2" s="184" t="s">
        <v>2</v>
      </c>
      <c r="Q2" s="225"/>
      <c r="R2" s="226"/>
      <c r="S2" s="1"/>
    </row>
    <row r="3" spans="1:49" ht="18.75" customHeight="1">
      <c r="A3" s="54" t="s">
        <v>35</v>
      </c>
      <c r="B3" s="54" t="s">
        <v>4</v>
      </c>
      <c r="C3" s="54" t="s">
        <v>12</v>
      </c>
      <c r="D3" s="54" t="s">
        <v>19</v>
      </c>
      <c r="E3" s="54" t="s">
        <v>20</v>
      </c>
      <c r="F3" s="54" t="s">
        <v>21</v>
      </c>
      <c r="G3" s="54" t="s">
        <v>22</v>
      </c>
      <c r="H3" s="54" t="s">
        <v>23</v>
      </c>
      <c r="I3" s="54" t="s">
        <v>24</v>
      </c>
      <c r="J3" s="54" t="s">
        <v>25</v>
      </c>
      <c r="K3" s="54" t="s">
        <v>35</v>
      </c>
      <c r="L3" s="54" t="s">
        <v>4</v>
      </c>
      <c r="M3" s="54" t="s">
        <v>27</v>
      </c>
      <c r="N3" s="54" t="s">
        <v>28</v>
      </c>
      <c r="O3" s="54" t="s">
        <v>29</v>
      </c>
      <c r="P3" s="54" t="s">
        <v>30</v>
      </c>
      <c r="Q3" s="54" t="s">
        <v>31</v>
      </c>
      <c r="R3" s="54" t="s">
        <v>32</v>
      </c>
      <c r="S3" s="54" t="s">
        <v>33</v>
      </c>
      <c r="T3" s="54" t="s">
        <v>34</v>
      </c>
      <c r="U3" s="54" t="s">
        <v>55</v>
      </c>
    </row>
    <row r="4" spans="1:49" ht="18.75" customHeight="1">
      <c r="A4" s="195" t="s">
        <v>5</v>
      </c>
      <c r="B4" s="56" t="s">
        <v>13</v>
      </c>
      <c r="C4" s="57"/>
      <c r="D4" s="57"/>
      <c r="E4" s="56"/>
      <c r="F4" s="56"/>
      <c r="G4" s="56"/>
      <c r="H4" s="56"/>
      <c r="I4" s="56"/>
      <c r="J4" s="56"/>
      <c r="K4" s="196" t="s">
        <v>5</v>
      </c>
      <c r="L4" s="56" t="s">
        <v>13</v>
      </c>
      <c r="M4" s="56"/>
      <c r="N4" s="56"/>
      <c r="O4" s="56"/>
      <c r="P4" s="56"/>
      <c r="Q4" s="56"/>
      <c r="R4" s="57"/>
      <c r="S4" s="57"/>
      <c r="T4" s="58"/>
      <c r="U4" s="59">
        <f>SUM(M4:T4,C4:J4)</f>
        <v>0</v>
      </c>
      <c r="W4" s="197" t="s">
        <v>2</v>
      </c>
      <c r="X4" s="198"/>
      <c r="Z4" s="197" t="s">
        <v>56</v>
      </c>
      <c r="AA4" s="203"/>
      <c r="AB4" s="83" t="e">
        <f>SUM(X12,X58,X104,X150,X196)</f>
        <v>#REF!</v>
      </c>
      <c r="AD4" s="197" t="s">
        <v>57</v>
      </c>
      <c r="AE4" s="198"/>
      <c r="AG4" s="190" t="s">
        <v>58</v>
      </c>
      <c r="AH4" s="191"/>
      <c r="AI4" s="191"/>
      <c r="AJ4" s="191"/>
      <c r="AK4" s="191"/>
      <c r="AL4" s="191"/>
      <c r="AM4" s="191"/>
      <c r="AN4" s="192"/>
      <c r="AP4" s="190" t="s">
        <v>59</v>
      </c>
      <c r="AQ4" s="191"/>
      <c r="AR4" s="191"/>
      <c r="AS4" s="191"/>
      <c r="AT4" s="191"/>
      <c r="AU4" s="191"/>
      <c r="AV4" s="191"/>
      <c r="AW4" s="192"/>
    </row>
    <row r="5" spans="1:49" ht="18.75" customHeight="1">
      <c r="A5" s="230"/>
      <c r="B5" s="4" t="s">
        <v>14</v>
      </c>
      <c r="C5" s="5"/>
      <c r="D5" s="5"/>
      <c r="E5" s="4"/>
      <c r="F5" s="4"/>
      <c r="G5" s="4"/>
      <c r="H5" s="4"/>
      <c r="I5" s="4"/>
      <c r="J5" s="4"/>
      <c r="K5" s="227"/>
      <c r="L5" s="4" t="s">
        <v>14</v>
      </c>
      <c r="M5" s="4"/>
      <c r="N5" s="4"/>
      <c r="O5" s="4"/>
      <c r="P5" s="4"/>
      <c r="Q5" s="4"/>
      <c r="R5" s="5"/>
      <c r="S5" s="5"/>
      <c r="T5" s="49"/>
      <c r="U5" s="60">
        <f>SUM(C5:J5,M5:T5)</f>
        <v>0</v>
      </c>
      <c r="W5" s="55" t="s">
        <v>5</v>
      </c>
      <c r="X5" s="48">
        <f>SUM(U4:U9)</f>
        <v>0</v>
      </c>
      <c r="AD5" s="55" t="s">
        <v>5</v>
      </c>
      <c r="AE5" s="48">
        <f t="shared" ref="AE5:AE11" si="0">AVERAGE(X5,X51,X97,X143,X189)</f>
        <v>439</v>
      </c>
      <c r="AG5" s="98" t="s">
        <v>4</v>
      </c>
      <c r="AH5" s="98" t="s">
        <v>5</v>
      </c>
      <c r="AI5" s="98" t="s">
        <v>6</v>
      </c>
      <c r="AJ5" s="98" t="s">
        <v>7</v>
      </c>
      <c r="AK5" s="98" t="s">
        <v>8</v>
      </c>
      <c r="AL5" s="98" t="s">
        <v>9</v>
      </c>
      <c r="AM5" s="98" t="s">
        <v>10</v>
      </c>
      <c r="AN5" s="98" t="s">
        <v>11</v>
      </c>
      <c r="AP5" s="98" t="s">
        <v>4</v>
      </c>
      <c r="AQ5" s="98" t="s">
        <v>5</v>
      </c>
      <c r="AR5" s="98" t="s">
        <v>6</v>
      </c>
      <c r="AS5" s="98" t="s">
        <v>7</v>
      </c>
      <c r="AT5" s="98" t="s">
        <v>8</v>
      </c>
      <c r="AU5" s="98" t="s">
        <v>9</v>
      </c>
      <c r="AV5" s="98" t="s">
        <v>10</v>
      </c>
      <c r="AW5" s="98" t="s">
        <v>11</v>
      </c>
    </row>
    <row r="6" spans="1:49" ht="18.75" customHeight="1">
      <c r="A6" s="230"/>
      <c r="B6" s="4" t="s">
        <v>15</v>
      </c>
      <c r="C6" s="5"/>
      <c r="D6" s="5"/>
      <c r="E6" s="4"/>
      <c r="F6" s="4"/>
      <c r="G6" s="4"/>
      <c r="H6" s="4"/>
      <c r="I6" s="4"/>
      <c r="J6" s="4"/>
      <c r="K6" s="227"/>
      <c r="L6" s="4" t="s">
        <v>15</v>
      </c>
      <c r="M6" s="4"/>
      <c r="N6" s="4"/>
      <c r="O6" s="4"/>
      <c r="P6" s="4"/>
      <c r="Q6" s="4"/>
      <c r="R6" s="5"/>
      <c r="S6" s="5"/>
      <c r="T6" s="49"/>
      <c r="U6" s="60">
        <f t="shared" ref="U6:U45" si="1">SUM(C6:J6,M6:T6)</f>
        <v>0</v>
      </c>
      <c r="W6" s="55" t="s">
        <v>6</v>
      </c>
      <c r="X6" s="48">
        <f>SUM(U10:U15)</f>
        <v>0</v>
      </c>
      <c r="Z6" s="197" t="s">
        <v>60</v>
      </c>
      <c r="AA6" s="203"/>
      <c r="AB6" s="83"/>
      <c r="AD6" s="55" t="s">
        <v>6</v>
      </c>
      <c r="AE6" s="48">
        <f t="shared" si="0"/>
        <v>355.6</v>
      </c>
      <c r="AG6" s="79" t="s">
        <v>13</v>
      </c>
      <c r="AH6" s="79">
        <f t="shared" ref="AH6:AH11" si="2">U4</f>
        <v>0</v>
      </c>
      <c r="AI6" s="79">
        <f t="shared" ref="AI6:AI11" si="3">U10</f>
        <v>0</v>
      </c>
      <c r="AJ6" s="79">
        <f t="shared" ref="AJ6:AJ11" si="4">U16</f>
        <v>0</v>
      </c>
      <c r="AK6" s="79">
        <f t="shared" ref="AK6:AK11" si="5">U22</f>
        <v>302</v>
      </c>
      <c r="AL6" s="79">
        <f t="shared" ref="AL6:AL11" si="6">U28</f>
        <v>273</v>
      </c>
      <c r="AM6" s="79">
        <f t="shared" ref="AM6:AM11" si="7">U34</f>
        <v>303</v>
      </c>
      <c r="AN6" s="79">
        <f t="shared" ref="AN6:AN11" si="8">U40</f>
        <v>293</v>
      </c>
      <c r="AP6" s="79" t="s">
        <v>13</v>
      </c>
      <c r="AQ6" s="79">
        <f t="shared" ref="AQ6:AW11" si="9">SUM(AH6,AH52,AH98,AH144,AH190)</f>
        <v>677</v>
      </c>
      <c r="AR6" s="79">
        <f t="shared" si="9"/>
        <v>636</v>
      </c>
      <c r="AS6" s="79">
        <f t="shared" si="9"/>
        <v>1345</v>
      </c>
      <c r="AT6" s="79">
        <f t="shared" si="9"/>
        <v>1439</v>
      </c>
      <c r="AU6" s="79">
        <f>SUM(AL6,AL52,AL98,AL144,AL190)</f>
        <v>961</v>
      </c>
      <c r="AV6" s="79">
        <f t="shared" si="9"/>
        <v>1012</v>
      </c>
      <c r="AW6" s="79">
        <f t="shared" si="9"/>
        <v>979</v>
      </c>
    </row>
    <row r="7" spans="1:49" ht="18.75" customHeight="1">
      <c r="A7" s="230"/>
      <c r="B7" s="4" t="s">
        <v>16</v>
      </c>
      <c r="C7" s="5"/>
      <c r="D7" s="5"/>
      <c r="E7" s="4"/>
      <c r="F7" s="4"/>
      <c r="G7" s="4"/>
      <c r="H7" s="4"/>
      <c r="I7" s="4"/>
      <c r="J7" s="4"/>
      <c r="K7" s="227"/>
      <c r="L7" s="4" t="s">
        <v>16</v>
      </c>
      <c r="M7" s="4"/>
      <c r="N7" s="4"/>
      <c r="O7" s="4"/>
      <c r="P7" s="4"/>
      <c r="Q7" s="4"/>
      <c r="R7" s="5"/>
      <c r="S7" s="5"/>
      <c r="T7" s="49"/>
      <c r="U7" s="60">
        <f t="shared" si="1"/>
        <v>0</v>
      </c>
      <c r="W7" s="55" t="s">
        <v>7</v>
      </c>
      <c r="X7" s="48">
        <f>SUM(U16:U21)</f>
        <v>0</v>
      </c>
      <c r="AD7" s="55" t="s">
        <v>7</v>
      </c>
      <c r="AE7" s="48">
        <f t="shared" si="0"/>
        <v>966.2</v>
      </c>
      <c r="AG7" s="97" t="s">
        <v>14</v>
      </c>
      <c r="AH7" s="97">
        <f t="shared" si="2"/>
        <v>0</v>
      </c>
      <c r="AI7" s="97">
        <f t="shared" si="3"/>
        <v>0</v>
      </c>
      <c r="AJ7" s="97">
        <f t="shared" si="4"/>
        <v>0</v>
      </c>
      <c r="AK7" s="97">
        <f t="shared" si="5"/>
        <v>114</v>
      </c>
      <c r="AL7" s="97">
        <f t="shared" si="6"/>
        <v>143</v>
      </c>
      <c r="AM7" s="97">
        <f t="shared" si="7"/>
        <v>135</v>
      </c>
      <c r="AN7" s="97">
        <f t="shared" si="8"/>
        <v>140</v>
      </c>
      <c r="AP7" s="97" t="s">
        <v>14</v>
      </c>
      <c r="AQ7" s="97">
        <f t="shared" si="9"/>
        <v>218</v>
      </c>
      <c r="AR7" s="97">
        <f t="shared" si="9"/>
        <v>186</v>
      </c>
      <c r="AS7" s="97">
        <f t="shared" si="9"/>
        <v>639</v>
      </c>
      <c r="AT7" s="97">
        <f t="shared" si="9"/>
        <v>569</v>
      </c>
      <c r="AU7" s="97">
        <f t="shared" si="9"/>
        <v>512</v>
      </c>
      <c r="AV7" s="97">
        <f t="shared" si="9"/>
        <v>443</v>
      </c>
      <c r="AW7" s="97">
        <f t="shared" si="9"/>
        <v>496</v>
      </c>
    </row>
    <row r="8" spans="1:49" ht="18.75" customHeight="1">
      <c r="A8" s="230"/>
      <c r="B8" s="4" t="s">
        <v>17</v>
      </c>
      <c r="C8" s="5"/>
      <c r="D8" s="5"/>
      <c r="E8" s="4"/>
      <c r="F8" s="4"/>
      <c r="G8" s="4"/>
      <c r="H8" s="4"/>
      <c r="I8" s="4"/>
      <c r="J8" s="4"/>
      <c r="K8" s="227"/>
      <c r="L8" s="4" t="s">
        <v>17</v>
      </c>
      <c r="M8" s="4"/>
      <c r="N8" s="4"/>
      <c r="O8" s="4"/>
      <c r="P8" s="4"/>
      <c r="Q8" s="4"/>
      <c r="R8" s="5"/>
      <c r="S8" s="5"/>
      <c r="T8" s="49"/>
      <c r="U8" s="60">
        <f t="shared" si="1"/>
        <v>0</v>
      </c>
      <c r="W8" s="55" t="s">
        <v>61</v>
      </c>
      <c r="X8" s="48">
        <f>SUM(U22:U27)</f>
        <v>1029</v>
      </c>
      <c r="Z8" s="197" t="s">
        <v>62</v>
      </c>
      <c r="AA8" s="203"/>
      <c r="AB8" s="83"/>
      <c r="AD8" s="55" t="s">
        <v>61</v>
      </c>
      <c r="AE8" s="48">
        <f t="shared" si="0"/>
        <v>973.4</v>
      </c>
      <c r="AG8" s="79" t="s">
        <v>15</v>
      </c>
      <c r="AH8" s="79">
        <f t="shared" si="2"/>
        <v>0</v>
      </c>
      <c r="AI8" s="79">
        <f t="shared" si="3"/>
        <v>0</v>
      </c>
      <c r="AJ8" s="79">
        <f t="shared" si="4"/>
        <v>0</v>
      </c>
      <c r="AK8" s="79">
        <f t="shared" si="5"/>
        <v>330</v>
      </c>
      <c r="AL8" s="79">
        <f t="shared" si="6"/>
        <v>352</v>
      </c>
      <c r="AM8" s="79">
        <f t="shared" si="7"/>
        <v>310</v>
      </c>
      <c r="AN8" s="79">
        <f t="shared" si="8"/>
        <v>256</v>
      </c>
      <c r="AP8" s="79" t="s">
        <v>15</v>
      </c>
      <c r="AQ8" s="79">
        <f t="shared" si="9"/>
        <v>650</v>
      </c>
      <c r="AR8" s="79">
        <f t="shared" si="9"/>
        <v>459</v>
      </c>
      <c r="AS8" s="79">
        <f t="shared" si="9"/>
        <v>1431</v>
      </c>
      <c r="AT8" s="79">
        <f t="shared" si="9"/>
        <v>1532</v>
      </c>
      <c r="AU8" s="79">
        <f t="shared" si="9"/>
        <v>1106</v>
      </c>
      <c r="AV8" s="79">
        <f t="shared" si="9"/>
        <v>969</v>
      </c>
      <c r="AW8" s="79">
        <f t="shared" si="9"/>
        <v>849</v>
      </c>
    </row>
    <row r="9" spans="1:49" ht="18.75" customHeight="1">
      <c r="A9" s="230"/>
      <c r="B9" s="46" t="s">
        <v>18</v>
      </c>
      <c r="C9" s="64"/>
      <c r="D9" s="64"/>
      <c r="E9" s="46"/>
      <c r="F9" s="46"/>
      <c r="G9" s="46"/>
      <c r="H9" s="46"/>
      <c r="I9" s="46"/>
      <c r="J9" s="46"/>
      <c r="K9" s="227"/>
      <c r="L9" s="46" t="s">
        <v>18</v>
      </c>
      <c r="M9" s="46"/>
      <c r="N9" s="46"/>
      <c r="O9" s="46"/>
      <c r="P9" s="46"/>
      <c r="Q9" s="46"/>
      <c r="R9" s="64"/>
      <c r="S9" s="64"/>
      <c r="T9" s="65"/>
      <c r="U9" s="60">
        <f t="shared" si="1"/>
        <v>0</v>
      </c>
      <c r="W9" s="55" t="s">
        <v>9</v>
      </c>
      <c r="X9" s="48">
        <f>SUM(U28:U33)</f>
        <v>1043</v>
      </c>
      <c r="AD9" s="55" t="s">
        <v>9</v>
      </c>
      <c r="AE9" s="48" t="e">
        <f t="shared" si="0"/>
        <v>#REF!</v>
      </c>
      <c r="AG9" s="97" t="s">
        <v>16</v>
      </c>
      <c r="AH9" s="97">
        <f t="shared" si="2"/>
        <v>0</v>
      </c>
      <c r="AI9" s="97">
        <f t="shared" si="3"/>
        <v>0</v>
      </c>
      <c r="AJ9" s="97">
        <f t="shared" si="4"/>
        <v>0</v>
      </c>
      <c r="AK9" s="97">
        <f t="shared" si="5"/>
        <v>71</v>
      </c>
      <c r="AL9" s="97">
        <f t="shared" si="6"/>
        <v>79</v>
      </c>
      <c r="AM9" s="97">
        <f t="shared" si="7"/>
        <v>118</v>
      </c>
      <c r="AN9" s="97">
        <f t="shared" si="8"/>
        <v>78</v>
      </c>
      <c r="AP9" s="97" t="s">
        <v>16</v>
      </c>
      <c r="AQ9" s="97">
        <f t="shared" si="9"/>
        <v>187</v>
      </c>
      <c r="AR9" s="97">
        <f t="shared" si="9"/>
        <v>153</v>
      </c>
      <c r="AS9" s="97">
        <f t="shared" si="9"/>
        <v>404</v>
      </c>
      <c r="AT9" s="97">
        <f t="shared" si="9"/>
        <v>390</v>
      </c>
      <c r="AU9" s="97">
        <f t="shared" si="9"/>
        <v>294</v>
      </c>
      <c r="AV9" s="97">
        <f t="shared" si="9"/>
        <v>327</v>
      </c>
      <c r="AW9" s="97">
        <f t="shared" si="9"/>
        <v>246</v>
      </c>
    </row>
    <row r="10" spans="1:49" ht="18.75" customHeight="1">
      <c r="A10" s="193" t="s">
        <v>6</v>
      </c>
      <c r="B10" s="63" t="s">
        <v>13</v>
      </c>
      <c r="C10" s="57"/>
      <c r="D10" s="57"/>
      <c r="E10" s="57"/>
      <c r="F10" s="63"/>
      <c r="G10" s="63"/>
      <c r="H10" s="63"/>
      <c r="I10" s="63"/>
      <c r="J10" s="63"/>
      <c r="K10" s="194" t="s">
        <v>6</v>
      </c>
      <c r="L10" s="63" t="s">
        <v>13</v>
      </c>
      <c r="M10" s="63"/>
      <c r="N10" s="63"/>
      <c r="O10" s="63"/>
      <c r="P10" s="63"/>
      <c r="Q10" s="57"/>
      <c r="R10" s="57"/>
      <c r="S10" s="57"/>
      <c r="T10" s="58"/>
      <c r="U10" s="60">
        <f t="shared" si="1"/>
        <v>0</v>
      </c>
      <c r="W10" s="55" t="s">
        <v>10</v>
      </c>
      <c r="X10" s="48">
        <f>SUM(U34:U39)</f>
        <v>1089</v>
      </c>
      <c r="Z10" s="197" t="s">
        <v>74</v>
      </c>
      <c r="AA10" s="203"/>
      <c r="AB10" s="83"/>
      <c r="AD10" s="55" t="s">
        <v>10</v>
      </c>
      <c r="AE10" s="48">
        <f t="shared" si="0"/>
        <v>694.6</v>
      </c>
      <c r="AG10" s="79" t="s">
        <v>17</v>
      </c>
      <c r="AH10" s="79">
        <f t="shared" si="2"/>
        <v>0</v>
      </c>
      <c r="AI10" s="79">
        <f t="shared" si="3"/>
        <v>0</v>
      </c>
      <c r="AJ10" s="79">
        <f t="shared" si="4"/>
        <v>0</v>
      </c>
      <c r="AK10" s="79">
        <f t="shared" si="5"/>
        <v>105</v>
      </c>
      <c r="AL10" s="79">
        <f t="shared" si="6"/>
        <v>81</v>
      </c>
      <c r="AM10" s="79">
        <f t="shared" si="7"/>
        <v>119</v>
      </c>
      <c r="AN10" s="79">
        <f t="shared" si="8"/>
        <v>95</v>
      </c>
      <c r="AP10" s="79" t="s">
        <v>17</v>
      </c>
      <c r="AQ10" s="79">
        <f t="shared" si="9"/>
        <v>248</v>
      </c>
      <c r="AR10" s="79">
        <f t="shared" si="9"/>
        <v>166</v>
      </c>
      <c r="AS10" s="79">
        <f t="shared" si="9"/>
        <v>491</v>
      </c>
      <c r="AT10" s="79">
        <f t="shared" si="9"/>
        <v>440</v>
      </c>
      <c r="AU10" s="79">
        <f t="shared" si="9"/>
        <v>313</v>
      </c>
      <c r="AV10" s="79">
        <f t="shared" si="9"/>
        <v>368</v>
      </c>
      <c r="AW10" s="79">
        <f t="shared" si="9"/>
        <v>297</v>
      </c>
    </row>
    <row r="11" spans="1:49" ht="18.75" customHeight="1">
      <c r="A11" s="230"/>
      <c r="B11" s="6" t="s">
        <v>14</v>
      </c>
      <c r="C11" s="5"/>
      <c r="D11" s="5"/>
      <c r="E11" s="5"/>
      <c r="F11" s="6"/>
      <c r="G11" s="6"/>
      <c r="H11" s="6"/>
      <c r="I11" s="6"/>
      <c r="J11" s="6"/>
      <c r="K11" s="227"/>
      <c r="L11" s="6" t="s">
        <v>14</v>
      </c>
      <c r="M11" s="6"/>
      <c r="N11" s="6"/>
      <c r="O11" s="6"/>
      <c r="P11" s="6"/>
      <c r="Q11" s="5"/>
      <c r="R11" s="5"/>
      <c r="S11" s="5"/>
      <c r="T11" s="49"/>
      <c r="U11" s="60">
        <f t="shared" si="1"/>
        <v>0</v>
      </c>
      <c r="W11" s="81" t="s">
        <v>11</v>
      </c>
      <c r="X11" s="80">
        <f>SUM(U40:U45)</f>
        <v>975</v>
      </c>
      <c r="AD11" s="81" t="s">
        <v>11</v>
      </c>
      <c r="AE11" s="48">
        <f t="shared" si="0"/>
        <v>639.79999999999995</v>
      </c>
      <c r="AG11" s="97" t="s">
        <v>18</v>
      </c>
      <c r="AH11" s="97">
        <f t="shared" si="2"/>
        <v>0</v>
      </c>
      <c r="AI11" s="97">
        <f t="shared" si="3"/>
        <v>0</v>
      </c>
      <c r="AJ11" s="97">
        <f t="shared" si="4"/>
        <v>0</v>
      </c>
      <c r="AK11" s="97">
        <f t="shared" si="5"/>
        <v>107</v>
      </c>
      <c r="AL11" s="97">
        <f t="shared" si="6"/>
        <v>115</v>
      </c>
      <c r="AM11" s="97">
        <f t="shared" si="7"/>
        <v>104</v>
      </c>
      <c r="AN11" s="97">
        <f t="shared" si="8"/>
        <v>113</v>
      </c>
      <c r="AP11" s="97" t="s">
        <v>18</v>
      </c>
      <c r="AQ11" s="97">
        <f t="shared" si="9"/>
        <v>215</v>
      </c>
      <c r="AR11" s="97">
        <f t="shared" si="9"/>
        <v>178</v>
      </c>
      <c r="AS11" s="97">
        <f t="shared" si="9"/>
        <v>521</v>
      </c>
      <c r="AT11" s="97">
        <f t="shared" si="9"/>
        <v>497</v>
      </c>
      <c r="AU11" s="97">
        <f t="shared" si="9"/>
        <v>374</v>
      </c>
      <c r="AV11" s="97">
        <f t="shared" si="9"/>
        <v>354</v>
      </c>
      <c r="AW11" s="97">
        <f t="shared" si="9"/>
        <v>332</v>
      </c>
    </row>
    <row r="12" spans="1:49" ht="18.75" customHeight="1">
      <c r="A12" s="230"/>
      <c r="B12" s="6" t="s">
        <v>15</v>
      </c>
      <c r="C12" s="5"/>
      <c r="D12" s="5"/>
      <c r="E12" s="5"/>
      <c r="F12" s="6"/>
      <c r="G12" s="6"/>
      <c r="H12" s="6"/>
      <c r="I12" s="6"/>
      <c r="J12" s="6"/>
      <c r="K12" s="227"/>
      <c r="L12" s="6" t="s">
        <v>15</v>
      </c>
      <c r="M12" s="6"/>
      <c r="N12" s="6"/>
      <c r="O12" s="6"/>
      <c r="P12" s="6"/>
      <c r="Q12" s="5"/>
      <c r="R12" s="5"/>
      <c r="S12" s="5"/>
      <c r="T12" s="49"/>
      <c r="U12" s="60">
        <f t="shared" si="1"/>
        <v>0</v>
      </c>
      <c r="W12" s="79" t="s">
        <v>63</v>
      </c>
      <c r="X12" s="82">
        <f>SUM(X5:X11)</f>
        <v>4136</v>
      </c>
      <c r="AD12" s="79" t="s">
        <v>40</v>
      </c>
      <c r="AE12" s="82" t="e">
        <f>AVERAGE(AE5:AE11)</f>
        <v>#REF!</v>
      </c>
    </row>
    <row r="13" spans="1:49" ht="18.75" customHeight="1">
      <c r="A13" s="230"/>
      <c r="B13" s="6" t="s">
        <v>16</v>
      </c>
      <c r="C13" s="5"/>
      <c r="D13" s="5"/>
      <c r="E13" s="5"/>
      <c r="F13" s="6"/>
      <c r="G13" s="6"/>
      <c r="H13" s="6"/>
      <c r="I13" s="6"/>
      <c r="J13" s="6"/>
      <c r="K13" s="227"/>
      <c r="L13" s="6" t="s">
        <v>16</v>
      </c>
      <c r="M13" s="6"/>
      <c r="N13" s="6"/>
      <c r="O13" s="6"/>
      <c r="P13" s="6"/>
      <c r="Q13" s="5"/>
      <c r="R13" s="5"/>
      <c r="S13" s="5"/>
      <c r="T13" s="49"/>
      <c r="U13" s="60">
        <f t="shared" si="1"/>
        <v>0</v>
      </c>
    </row>
    <row r="14" spans="1:49" ht="18.75" customHeight="1">
      <c r="A14" s="230"/>
      <c r="B14" s="6" t="s">
        <v>17</v>
      </c>
      <c r="C14" s="5"/>
      <c r="D14" s="5"/>
      <c r="E14" s="5"/>
      <c r="F14" s="6"/>
      <c r="G14" s="6"/>
      <c r="H14" s="6"/>
      <c r="I14" s="6"/>
      <c r="J14" s="6"/>
      <c r="K14" s="227"/>
      <c r="L14" s="6" t="s">
        <v>17</v>
      </c>
      <c r="M14" s="6"/>
      <c r="N14" s="6"/>
      <c r="O14" s="6"/>
      <c r="P14" s="6"/>
      <c r="Q14" s="5"/>
      <c r="R14" s="5"/>
      <c r="S14" s="5"/>
      <c r="T14" s="49"/>
      <c r="U14" s="60">
        <f t="shared" si="1"/>
        <v>0</v>
      </c>
    </row>
    <row r="15" spans="1:49" ht="18.75" customHeight="1">
      <c r="A15" s="230"/>
      <c r="B15" s="47" t="s">
        <v>18</v>
      </c>
      <c r="C15" s="64"/>
      <c r="D15" s="64"/>
      <c r="E15" s="64"/>
      <c r="F15" s="47"/>
      <c r="G15" s="47"/>
      <c r="H15" s="47"/>
      <c r="I15" s="47"/>
      <c r="J15" s="47"/>
      <c r="K15" s="227"/>
      <c r="L15" s="47" t="s">
        <v>18</v>
      </c>
      <c r="M15" s="47"/>
      <c r="N15" s="47"/>
      <c r="O15" s="47"/>
      <c r="P15" s="47"/>
      <c r="Q15" s="64"/>
      <c r="R15" s="64"/>
      <c r="S15" s="64"/>
      <c r="T15" s="65"/>
      <c r="U15" s="60">
        <f t="shared" si="1"/>
        <v>0</v>
      </c>
    </row>
    <row r="16" spans="1:49" ht="18.75" customHeight="1">
      <c r="A16" s="195" t="s">
        <v>7</v>
      </c>
      <c r="B16" s="56" t="s">
        <v>13</v>
      </c>
      <c r="C16" s="56"/>
      <c r="D16" s="56"/>
      <c r="E16" s="56"/>
      <c r="F16" s="56"/>
      <c r="G16" s="56"/>
      <c r="H16" s="56"/>
      <c r="I16" s="56"/>
      <c r="J16" s="56"/>
      <c r="K16" s="196" t="s">
        <v>7</v>
      </c>
      <c r="L16" s="56" t="s">
        <v>13</v>
      </c>
      <c r="M16" s="56"/>
      <c r="N16" s="56"/>
      <c r="O16" s="56"/>
      <c r="P16" s="56"/>
      <c r="Q16" s="56"/>
      <c r="R16" s="56"/>
      <c r="S16" s="56"/>
      <c r="T16" s="67"/>
      <c r="U16" s="60">
        <f t="shared" si="1"/>
        <v>0</v>
      </c>
    </row>
    <row r="17" spans="1:33" ht="18.75" customHeight="1">
      <c r="A17" s="230"/>
      <c r="B17" s="4" t="s">
        <v>14</v>
      </c>
      <c r="C17" s="4"/>
      <c r="D17" s="4"/>
      <c r="E17" s="4"/>
      <c r="F17" s="4"/>
      <c r="G17" s="4"/>
      <c r="H17" s="4"/>
      <c r="I17" s="4"/>
      <c r="J17" s="4"/>
      <c r="K17" s="227"/>
      <c r="L17" s="4" t="s">
        <v>14</v>
      </c>
      <c r="M17" s="4"/>
      <c r="N17" s="4"/>
      <c r="O17" s="4"/>
      <c r="P17" s="4"/>
      <c r="Q17" s="4"/>
      <c r="R17" s="4"/>
      <c r="S17" s="4"/>
      <c r="T17" s="50"/>
      <c r="U17" s="60">
        <f t="shared" si="1"/>
        <v>0</v>
      </c>
    </row>
    <row r="18" spans="1:33" ht="18.75" customHeight="1">
      <c r="A18" s="230"/>
      <c r="B18" s="4" t="s">
        <v>15</v>
      </c>
      <c r="C18" s="155" t="s">
        <v>100</v>
      </c>
      <c r="D18" s="155" t="s">
        <v>101</v>
      </c>
      <c r="E18" s="155" t="s">
        <v>102</v>
      </c>
      <c r="F18" s="155" t="s">
        <v>103</v>
      </c>
      <c r="G18" s="155" t="s">
        <v>104</v>
      </c>
      <c r="H18" s="155" t="s">
        <v>105</v>
      </c>
      <c r="I18" s="155" t="s">
        <v>101</v>
      </c>
      <c r="J18" s="155" t="s">
        <v>106</v>
      </c>
      <c r="K18" s="227"/>
      <c r="L18" s="4" t="s">
        <v>15</v>
      </c>
      <c r="M18" s="155" t="s">
        <v>100</v>
      </c>
      <c r="N18" s="155" t="s">
        <v>101</v>
      </c>
      <c r="O18" s="155" t="s">
        <v>102</v>
      </c>
      <c r="P18" s="155" t="s">
        <v>103</v>
      </c>
      <c r="Q18" s="155" t="s">
        <v>104</v>
      </c>
      <c r="R18" s="155" t="s">
        <v>105</v>
      </c>
      <c r="S18" s="155" t="s">
        <v>101</v>
      </c>
      <c r="T18" s="156" t="s">
        <v>106</v>
      </c>
      <c r="U18" s="60">
        <f t="shared" si="1"/>
        <v>0</v>
      </c>
    </row>
    <row r="19" spans="1:33" ht="18.75" customHeight="1">
      <c r="A19" s="230"/>
      <c r="B19" s="4" t="s">
        <v>16</v>
      </c>
      <c r="C19" s="4"/>
      <c r="D19" s="4"/>
      <c r="E19" s="4"/>
      <c r="F19" s="4"/>
      <c r="G19" s="4"/>
      <c r="H19" s="4"/>
      <c r="I19" s="4"/>
      <c r="J19" s="4"/>
      <c r="K19" s="227"/>
      <c r="L19" s="4" t="s">
        <v>16</v>
      </c>
      <c r="M19" s="4"/>
      <c r="N19" s="4"/>
      <c r="O19" s="4"/>
      <c r="P19" s="4"/>
      <c r="Q19" s="4"/>
      <c r="R19" s="4"/>
      <c r="S19" s="4"/>
      <c r="T19" s="50"/>
      <c r="U19" s="60">
        <f t="shared" si="1"/>
        <v>0</v>
      </c>
    </row>
    <row r="20" spans="1:33" ht="18.75" customHeight="1">
      <c r="A20" s="230"/>
      <c r="B20" s="4" t="s">
        <v>17</v>
      </c>
      <c r="C20" s="4"/>
      <c r="D20" s="4"/>
      <c r="E20" s="4"/>
      <c r="F20" s="4"/>
      <c r="G20" s="4"/>
      <c r="H20" s="4"/>
      <c r="I20" s="4"/>
      <c r="J20" s="4"/>
      <c r="K20" s="227"/>
      <c r="L20" s="4" t="s">
        <v>17</v>
      </c>
      <c r="M20" s="4"/>
      <c r="N20" s="4"/>
      <c r="O20" s="4"/>
      <c r="P20" s="4"/>
      <c r="Q20" s="4"/>
      <c r="R20" s="4"/>
      <c r="S20" s="4"/>
      <c r="T20" s="50"/>
      <c r="U20" s="60">
        <f t="shared" si="1"/>
        <v>0</v>
      </c>
    </row>
    <row r="21" spans="1:33" ht="18.75" customHeight="1">
      <c r="A21" s="230"/>
      <c r="B21" s="46" t="s">
        <v>18</v>
      </c>
      <c r="C21" s="46"/>
      <c r="D21" s="46"/>
      <c r="E21" s="46"/>
      <c r="F21" s="46"/>
      <c r="G21" s="46"/>
      <c r="H21" s="46"/>
      <c r="I21" s="46"/>
      <c r="J21" s="46"/>
      <c r="K21" s="227"/>
      <c r="L21" s="46" t="s">
        <v>18</v>
      </c>
      <c r="M21" s="46"/>
      <c r="N21" s="46"/>
      <c r="O21" s="46"/>
      <c r="P21" s="46"/>
      <c r="Q21" s="46"/>
      <c r="R21" s="46"/>
      <c r="S21" s="46"/>
      <c r="T21" s="69"/>
      <c r="U21" s="60">
        <f t="shared" si="1"/>
        <v>0</v>
      </c>
    </row>
    <row r="22" spans="1:33" ht="18.75" customHeight="1">
      <c r="A22" s="193" t="s">
        <v>8</v>
      </c>
      <c r="B22" s="63" t="s">
        <v>13</v>
      </c>
      <c r="C22" s="63">
        <v>15</v>
      </c>
      <c r="D22" s="63">
        <v>9</v>
      </c>
      <c r="E22" s="63">
        <v>18</v>
      </c>
      <c r="F22" s="63">
        <v>10</v>
      </c>
      <c r="G22" s="63">
        <v>28</v>
      </c>
      <c r="H22" s="63">
        <v>30</v>
      </c>
      <c r="I22" s="63">
        <v>27</v>
      </c>
      <c r="J22" s="63">
        <v>18</v>
      </c>
      <c r="K22" s="194" t="s">
        <v>8</v>
      </c>
      <c r="L22" s="63" t="s">
        <v>13</v>
      </c>
      <c r="M22" s="63">
        <v>17</v>
      </c>
      <c r="N22" s="63">
        <v>11</v>
      </c>
      <c r="O22" s="63">
        <v>22</v>
      </c>
      <c r="P22" s="63">
        <v>28</v>
      </c>
      <c r="Q22" s="63">
        <v>17</v>
      </c>
      <c r="R22" s="63">
        <v>28</v>
      </c>
      <c r="S22" s="63">
        <v>13</v>
      </c>
      <c r="T22" s="68">
        <v>11</v>
      </c>
      <c r="U22" s="60">
        <f t="shared" si="1"/>
        <v>302</v>
      </c>
    </row>
    <row r="23" spans="1:33" ht="18.75" customHeight="1">
      <c r="A23" s="230"/>
      <c r="B23" s="6" t="s">
        <v>14</v>
      </c>
      <c r="C23" s="6">
        <v>4</v>
      </c>
      <c r="D23" s="6">
        <v>6</v>
      </c>
      <c r="E23" s="6">
        <v>14</v>
      </c>
      <c r="F23" s="6">
        <v>10</v>
      </c>
      <c r="G23" s="6">
        <v>5</v>
      </c>
      <c r="H23" s="6">
        <v>7</v>
      </c>
      <c r="I23" s="6">
        <v>12</v>
      </c>
      <c r="J23" s="6">
        <v>12</v>
      </c>
      <c r="K23" s="227"/>
      <c r="L23" s="6" t="s">
        <v>14</v>
      </c>
      <c r="M23" s="6">
        <v>9</v>
      </c>
      <c r="N23" s="6">
        <v>8</v>
      </c>
      <c r="O23" s="6">
        <v>6</v>
      </c>
      <c r="P23" s="6">
        <v>3</v>
      </c>
      <c r="Q23" s="6">
        <v>10</v>
      </c>
      <c r="R23" s="6">
        <v>3</v>
      </c>
      <c r="S23" s="6">
        <v>4</v>
      </c>
      <c r="T23" s="51">
        <v>1</v>
      </c>
      <c r="U23" s="60">
        <f t="shared" si="1"/>
        <v>114</v>
      </c>
    </row>
    <row r="24" spans="1:33" ht="18.75" customHeight="1">
      <c r="A24" s="230"/>
      <c r="B24" s="6" t="s">
        <v>15</v>
      </c>
      <c r="C24" s="6">
        <v>13</v>
      </c>
      <c r="D24" s="6">
        <v>20</v>
      </c>
      <c r="E24" s="6">
        <v>18</v>
      </c>
      <c r="F24" s="6">
        <v>18</v>
      </c>
      <c r="G24" s="6">
        <v>24</v>
      </c>
      <c r="H24" s="6">
        <v>23</v>
      </c>
      <c r="I24" s="6">
        <v>20</v>
      </c>
      <c r="J24" s="6">
        <v>22</v>
      </c>
      <c r="K24" s="227"/>
      <c r="L24" s="6" t="s">
        <v>15</v>
      </c>
      <c r="M24" s="6">
        <v>13</v>
      </c>
      <c r="N24" s="6">
        <v>19</v>
      </c>
      <c r="O24" s="6">
        <v>20</v>
      </c>
      <c r="P24" s="6">
        <v>33</v>
      </c>
      <c r="Q24" s="6">
        <v>29</v>
      </c>
      <c r="R24" s="6">
        <v>23</v>
      </c>
      <c r="S24" s="6">
        <v>26</v>
      </c>
      <c r="T24" s="51">
        <v>9</v>
      </c>
      <c r="U24" s="60">
        <f t="shared" si="1"/>
        <v>330</v>
      </c>
    </row>
    <row r="25" spans="1:33" ht="18.75" customHeight="1">
      <c r="A25" s="230"/>
      <c r="B25" s="6" t="s">
        <v>16</v>
      </c>
      <c r="C25" s="6">
        <v>3</v>
      </c>
      <c r="D25" s="6">
        <v>5</v>
      </c>
      <c r="E25" s="6">
        <v>4</v>
      </c>
      <c r="F25" s="6">
        <v>8</v>
      </c>
      <c r="G25" s="6">
        <v>12</v>
      </c>
      <c r="H25" s="6">
        <v>9</v>
      </c>
      <c r="I25" s="6">
        <v>7</v>
      </c>
      <c r="J25" s="6">
        <v>4</v>
      </c>
      <c r="K25" s="227"/>
      <c r="L25" s="6" t="s">
        <v>16</v>
      </c>
      <c r="M25" s="6">
        <v>3</v>
      </c>
      <c r="N25" s="6">
        <v>3</v>
      </c>
      <c r="O25" s="6">
        <v>2</v>
      </c>
      <c r="P25" s="6">
        <v>3</v>
      </c>
      <c r="Q25" s="6">
        <v>2</v>
      </c>
      <c r="R25" s="6">
        <v>2</v>
      </c>
      <c r="S25" s="6">
        <v>3</v>
      </c>
      <c r="T25" s="51">
        <v>1</v>
      </c>
      <c r="U25" s="60">
        <f t="shared" si="1"/>
        <v>71</v>
      </c>
    </row>
    <row r="26" spans="1:33" ht="18.75" customHeight="1">
      <c r="A26" s="230"/>
      <c r="B26" s="6" t="s">
        <v>17</v>
      </c>
      <c r="C26" s="6">
        <v>8</v>
      </c>
      <c r="D26" s="6">
        <v>4</v>
      </c>
      <c r="E26" s="6">
        <v>3</v>
      </c>
      <c r="F26" s="6">
        <v>11</v>
      </c>
      <c r="G26" s="6">
        <v>10</v>
      </c>
      <c r="H26" s="6">
        <v>8</v>
      </c>
      <c r="I26" s="6">
        <v>9</v>
      </c>
      <c r="J26" s="6">
        <v>11</v>
      </c>
      <c r="K26" s="227"/>
      <c r="L26" s="6" t="s">
        <v>17</v>
      </c>
      <c r="M26" s="6">
        <v>5</v>
      </c>
      <c r="N26" s="6">
        <v>1</v>
      </c>
      <c r="O26" s="6">
        <v>5</v>
      </c>
      <c r="P26" s="6">
        <v>4</v>
      </c>
      <c r="Q26" s="6">
        <v>10</v>
      </c>
      <c r="R26" s="6">
        <v>8</v>
      </c>
      <c r="S26" s="6">
        <v>6</v>
      </c>
      <c r="T26" s="51">
        <v>2</v>
      </c>
      <c r="U26" s="60">
        <f t="shared" si="1"/>
        <v>105</v>
      </c>
      <c r="AG26" s="95"/>
    </row>
    <row r="27" spans="1:33" ht="18.75" customHeight="1">
      <c r="A27" s="230"/>
      <c r="B27" s="47" t="s">
        <v>18</v>
      </c>
      <c r="C27" s="47">
        <v>10</v>
      </c>
      <c r="D27" s="47">
        <v>12</v>
      </c>
      <c r="E27" s="47">
        <v>3</v>
      </c>
      <c r="F27" s="47">
        <v>4</v>
      </c>
      <c r="G27" s="47">
        <v>10</v>
      </c>
      <c r="H27" s="47">
        <v>9</v>
      </c>
      <c r="I27" s="47">
        <v>5</v>
      </c>
      <c r="J27" s="47">
        <v>8</v>
      </c>
      <c r="K27" s="227"/>
      <c r="L27" s="47" t="s">
        <v>18</v>
      </c>
      <c r="M27" s="47">
        <v>1</v>
      </c>
      <c r="N27" s="47">
        <v>1</v>
      </c>
      <c r="O27" s="47">
        <v>6</v>
      </c>
      <c r="P27" s="47">
        <v>6</v>
      </c>
      <c r="Q27" s="47">
        <v>13</v>
      </c>
      <c r="R27" s="47">
        <v>11</v>
      </c>
      <c r="S27" s="47">
        <v>6</v>
      </c>
      <c r="T27" s="70">
        <v>2</v>
      </c>
      <c r="U27" s="60">
        <f t="shared" si="1"/>
        <v>107</v>
      </c>
      <c r="AG27" s="96"/>
    </row>
    <row r="28" spans="1:33" ht="18.75" customHeight="1">
      <c r="A28" s="195" t="s">
        <v>9</v>
      </c>
      <c r="B28" s="56" t="s">
        <v>13</v>
      </c>
      <c r="C28" s="56">
        <v>11</v>
      </c>
      <c r="D28" s="56">
        <v>22</v>
      </c>
      <c r="E28" s="56">
        <v>13</v>
      </c>
      <c r="F28" s="56">
        <v>24</v>
      </c>
      <c r="G28" s="56">
        <v>30</v>
      </c>
      <c r="H28" s="56">
        <v>30</v>
      </c>
      <c r="I28" s="56">
        <v>10</v>
      </c>
      <c r="J28" s="56">
        <v>9</v>
      </c>
      <c r="K28" s="196" t="s">
        <v>9</v>
      </c>
      <c r="L28" s="56" t="s">
        <v>13</v>
      </c>
      <c r="M28" s="56">
        <v>15</v>
      </c>
      <c r="N28" s="56">
        <v>12</v>
      </c>
      <c r="O28" s="56">
        <v>18</v>
      </c>
      <c r="P28" s="56">
        <v>17</v>
      </c>
      <c r="Q28" s="56">
        <v>26</v>
      </c>
      <c r="R28" s="56">
        <v>21</v>
      </c>
      <c r="S28" s="56">
        <v>9</v>
      </c>
      <c r="T28" s="67">
        <v>6</v>
      </c>
      <c r="U28" s="60">
        <f t="shared" si="1"/>
        <v>273</v>
      </c>
      <c r="AG28" s="96"/>
    </row>
    <row r="29" spans="1:33" ht="18.75" customHeight="1">
      <c r="A29" s="230"/>
      <c r="B29" s="4" t="s">
        <v>14</v>
      </c>
      <c r="C29" s="4">
        <v>10</v>
      </c>
      <c r="D29" s="4">
        <v>10</v>
      </c>
      <c r="E29" s="4">
        <v>7</v>
      </c>
      <c r="F29" s="4">
        <v>14</v>
      </c>
      <c r="G29" s="4">
        <v>9</v>
      </c>
      <c r="H29" s="4">
        <v>14</v>
      </c>
      <c r="I29" s="4">
        <v>11</v>
      </c>
      <c r="J29" s="4">
        <v>11</v>
      </c>
      <c r="K29" s="227"/>
      <c r="L29" s="4" t="s">
        <v>14</v>
      </c>
      <c r="M29" s="4">
        <v>11</v>
      </c>
      <c r="N29" s="4">
        <v>3</v>
      </c>
      <c r="O29" s="4">
        <v>8</v>
      </c>
      <c r="P29" s="4">
        <v>8</v>
      </c>
      <c r="Q29" s="4">
        <v>13</v>
      </c>
      <c r="R29" s="4">
        <v>7</v>
      </c>
      <c r="S29" s="4">
        <v>2</v>
      </c>
      <c r="T29" s="50">
        <v>5</v>
      </c>
      <c r="U29" s="60">
        <f t="shared" si="1"/>
        <v>143</v>
      </c>
      <c r="AG29" s="96"/>
    </row>
    <row r="30" spans="1:33" ht="18.75" customHeight="1">
      <c r="A30" s="230"/>
      <c r="B30" s="4" t="s">
        <v>15</v>
      </c>
      <c r="C30" s="4">
        <v>32</v>
      </c>
      <c r="D30" s="4">
        <v>21</v>
      </c>
      <c r="E30" s="4">
        <v>17</v>
      </c>
      <c r="F30" s="4">
        <v>14</v>
      </c>
      <c r="G30" s="4">
        <v>28</v>
      </c>
      <c r="H30" s="4">
        <v>23</v>
      </c>
      <c r="I30" s="4">
        <v>25</v>
      </c>
      <c r="J30" s="4">
        <v>20</v>
      </c>
      <c r="K30" s="227"/>
      <c r="L30" s="4" t="s">
        <v>15</v>
      </c>
      <c r="M30" s="4">
        <v>17</v>
      </c>
      <c r="N30" s="4">
        <v>21</v>
      </c>
      <c r="O30" s="4">
        <v>26</v>
      </c>
      <c r="P30" s="4">
        <v>20</v>
      </c>
      <c r="Q30" s="4">
        <v>25</v>
      </c>
      <c r="R30" s="4">
        <v>27</v>
      </c>
      <c r="S30" s="4">
        <v>21</v>
      </c>
      <c r="T30" s="50">
        <v>15</v>
      </c>
      <c r="U30" s="60">
        <f t="shared" si="1"/>
        <v>352</v>
      </c>
      <c r="AG30" s="96"/>
    </row>
    <row r="31" spans="1:33" ht="18.75" customHeight="1">
      <c r="A31" s="230"/>
      <c r="B31" s="4" t="s">
        <v>16</v>
      </c>
      <c r="C31" s="4">
        <v>3</v>
      </c>
      <c r="D31" s="4">
        <v>4</v>
      </c>
      <c r="E31" s="4">
        <v>4</v>
      </c>
      <c r="F31" s="4">
        <v>4</v>
      </c>
      <c r="G31" s="4">
        <v>14</v>
      </c>
      <c r="H31" s="4">
        <v>14</v>
      </c>
      <c r="I31" s="4">
        <v>3</v>
      </c>
      <c r="J31" s="4">
        <v>5</v>
      </c>
      <c r="K31" s="227"/>
      <c r="L31" s="4" t="s">
        <v>16</v>
      </c>
      <c r="M31" s="4">
        <v>3</v>
      </c>
      <c r="N31" s="4">
        <v>2</v>
      </c>
      <c r="O31" s="4">
        <v>4</v>
      </c>
      <c r="P31" s="4">
        <v>2</v>
      </c>
      <c r="Q31" s="4">
        <v>6</v>
      </c>
      <c r="R31" s="4">
        <v>0</v>
      </c>
      <c r="S31" s="4">
        <v>8</v>
      </c>
      <c r="T31" s="50">
        <v>3</v>
      </c>
      <c r="U31" s="60">
        <f t="shared" si="1"/>
        <v>79</v>
      </c>
      <c r="AG31" s="96"/>
    </row>
    <row r="32" spans="1:33" ht="18.75" customHeight="1">
      <c r="A32" s="230"/>
      <c r="B32" s="4" t="s">
        <v>17</v>
      </c>
      <c r="C32" s="4">
        <v>6</v>
      </c>
      <c r="D32" s="4">
        <v>9</v>
      </c>
      <c r="E32" s="4">
        <v>9</v>
      </c>
      <c r="F32" s="4">
        <v>6</v>
      </c>
      <c r="G32" s="4">
        <v>11</v>
      </c>
      <c r="H32" s="4">
        <v>7</v>
      </c>
      <c r="I32" s="4">
        <v>3</v>
      </c>
      <c r="J32" s="4">
        <v>1</v>
      </c>
      <c r="K32" s="227"/>
      <c r="L32" s="4" t="s">
        <v>17</v>
      </c>
      <c r="M32" s="4">
        <v>5</v>
      </c>
      <c r="N32" s="4">
        <v>1</v>
      </c>
      <c r="O32" s="4">
        <v>7</v>
      </c>
      <c r="P32" s="4">
        <v>5</v>
      </c>
      <c r="Q32" s="4">
        <v>5</v>
      </c>
      <c r="R32" s="4">
        <v>1</v>
      </c>
      <c r="S32" s="4">
        <v>2</v>
      </c>
      <c r="T32" s="50">
        <v>3</v>
      </c>
      <c r="U32" s="60">
        <f t="shared" si="1"/>
        <v>81</v>
      </c>
      <c r="AG32" s="96"/>
    </row>
    <row r="33" spans="1:33" ht="18.75" customHeight="1">
      <c r="A33" s="230"/>
      <c r="B33" s="46" t="s">
        <v>18</v>
      </c>
      <c r="C33" s="46">
        <v>12</v>
      </c>
      <c r="D33" s="46">
        <v>9</v>
      </c>
      <c r="E33" s="46">
        <v>6</v>
      </c>
      <c r="F33" s="46">
        <v>4</v>
      </c>
      <c r="G33" s="46">
        <v>6</v>
      </c>
      <c r="H33" s="46">
        <v>15</v>
      </c>
      <c r="I33" s="46">
        <v>8</v>
      </c>
      <c r="J33" s="46">
        <v>6</v>
      </c>
      <c r="K33" s="227"/>
      <c r="L33" s="46" t="s">
        <v>18</v>
      </c>
      <c r="M33" s="46">
        <v>3</v>
      </c>
      <c r="N33" s="46">
        <v>7</v>
      </c>
      <c r="O33" s="46">
        <v>9</v>
      </c>
      <c r="P33" s="46">
        <v>7</v>
      </c>
      <c r="Q33" s="46">
        <v>9</v>
      </c>
      <c r="R33" s="46">
        <v>6</v>
      </c>
      <c r="S33" s="46">
        <v>4</v>
      </c>
      <c r="T33" s="69">
        <v>4</v>
      </c>
      <c r="U33" s="60">
        <f t="shared" si="1"/>
        <v>115</v>
      </c>
      <c r="AG33" s="95"/>
    </row>
    <row r="34" spans="1:33" ht="18.75" customHeight="1">
      <c r="A34" s="193" t="s">
        <v>10</v>
      </c>
      <c r="B34" s="63" t="s">
        <v>13</v>
      </c>
      <c r="C34" s="71">
        <v>8</v>
      </c>
      <c r="D34" s="71">
        <v>21</v>
      </c>
      <c r="E34" s="71">
        <v>12</v>
      </c>
      <c r="F34" s="71">
        <v>27</v>
      </c>
      <c r="G34" s="71">
        <v>28</v>
      </c>
      <c r="H34" s="71">
        <v>21</v>
      </c>
      <c r="I34" s="71">
        <v>21</v>
      </c>
      <c r="J34" s="71">
        <v>14</v>
      </c>
      <c r="K34" s="194" t="s">
        <v>10</v>
      </c>
      <c r="L34" s="63" t="s">
        <v>13</v>
      </c>
      <c r="M34" s="71">
        <v>18</v>
      </c>
      <c r="N34" s="71">
        <v>16</v>
      </c>
      <c r="O34" s="71">
        <v>19</v>
      </c>
      <c r="P34" s="71">
        <v>22</v>
      </c>
      <c r="Q34" s="71">
        <v>30</v>
      </c>
      <c r="R34" s="71">
        <v>24</v>
      </c>
      <c r="S34" s="71">
        <v>15</v>
      </c>
      <c r="T34" s="72">
        <v>7</v>
      </c>
      <c r="U34" s="60">
        <f t="shared" si="1"/>
        <v>303</v>
      </c>
      <c r="AG34" s="96"/>
    </row>
    <row r="35" spans="1:33" ht="18.75" customHeight="1">
      <c r="A35" s="230"/>
      <c r="B35" s="6" t="s">
        <v>14</v>
      </c>
      <c r="C35" s="8">
        <v>3</v>
      </c>
      <c r="D35" s="8">
        <v>4</v>
      </c>
      <c r="E35" s="8">
        <v>4</v>
      </c>
      <c r="F35" s="8">
        <v>10</v>
      </c>
      <c r="G35" s="8">
        <v>28</v>
      </c>
      <c r="H35" s="8">
        <v>17</v>
      </c>
      <c r="I35" s="8">
        <v>12</v>
      </c>
      <c r="J35" s="8">
        <v>10</v>
      </c>
      <c r="K35" s="227"/>
      <c r="L35" s="6" t="s">
        <v>14</v>
      </c>
      <c r="M35" s="8">
        <v>9</v>
      </c>
      <c r="N35" s="8">
        <v>10</v>
      </c>
      <c r="O35" s="8">
        <v>9</v>
      </c>
      <c r="P35" s="8">
        <v>3</v>
      </c>
      <c r="Q35" s="8">
        <v>7</v>
      </c>
      <c r="R35" s="8">
        <v>4</v>
      </c>
      <c r="S35" s="8">
        <v>3</v>
      </c>
      <c r="T35" s="52">
        <v>2</v>
      </c>
      <c r="U35" s="60">
        <f t="shared" si="1"/>
        <v>135</v>
      </c>
      <c r="AG35" s="96"/>
    </row>
    <row r="36" spans="1:33" ht="18.75" customHeight="1">
      <c r="A36" s="230"/>
      <c r="B36" s="6" t="s">
        <v>15</v>
      </c>
      <c r="C36" s="8">
        <v>10</v>
      </c>
      <c r="D36" s="8">
        <v>19</v>
      </c>
      <c r="E36" s="8">
        <v>19</v>
      </c>
      <c r="F36" s="8">
        <v>21</v>
      </c>
      <c r="G36" s="8">
        <v>20</v>
      </c>
      <c r="H36" s="8">
        <v>15</v>
      </c>
      <c r="I36" s="8">
        <v>14</v>
      </c>
      <c r="J36" s="8">
        <v>13</v>
      </c>
      <c r="K36" s="227"/>
      <c r="L36" s="6" t="s">
        <v>15</v>
      </c>
      <c r="M36" s="8">
        <v>12</v>
      </c>
      <c r="N36" s="8">
        <v>20</v>
      </c>
      <c r="O36" s="8">
        <v>26</v>
      </c>
      <c r="P36" s="8">
        <v>30</v>
      </c>
      <c r="Q36" s="8">
        <v>33</v>
      </c>
      <c r="R36" s="8">
        <v>21</v>
      </c>
      <c r="S36" s="8">
        <v>21</v>
      </c>
      <c r="T36" s="52">
        <v>16</v>
      </c>
      <c r="U36" s="60">
        <f t="shared" si="1"/>
        <v>310</v>
      </c>
      <c r="AG36" s="96"/>
    </row>
    <row r="37" spans="1:33" ht="18.75" customHeight="1">
      <c r="A37" s="230"/>
      <c r="B37" s="6" t="s">
        <v>16</v>
      </c>
      <c r="C37" s="8">
        <v>4</v>
      </c>
      <c r="D37" s="8">
        <v>4</v>
      </c>
      <c r="E37" s="8">
        <v>3</v>
      </c>
      <c r="F37" s="8">
        <v>7</v>
      </c>
      <c r="G37" s="8">
        <v>19</v>
      </c>
      <c r="H37" s="8">
        <v>15</v>
      </c>
      <c r="I37" s="8">
        <v>8</v>
      </c>
      <c r="J37" s="8">
        <v>3</v>
      </c>
      <c r="K37" s="227"/>
      <c r="L37" s="6" t="s">
        <v>16</v>
      </c>
      <c r="M37" s="8">
        <v>9</v>
      </c>
      <c r="N37" s="8">
        <v>8</v>
      </c>
      <c r="O37" s="8">
        <v>5</v>
      </c>
      <c r="P37" s="8">
        <v>5</v>
      </c>
      <c r="Q37" s="8">
        <v>7</v>
      </c>
      <c r="R37" s="8">
        <v>15</v>
      </c>
      <c r="S37" s="8">
        <v>2</v>
      </c>
      <c r="T37" s="52">
        <v>4</v>
      </c>
      <c r="U37" s="60">
        <f t="shared" si="1"/>
        <v>118</v>
      </c>
      <c r="AG37" s="96"/>
    </row>
    <row r="38" spans="1:33" ht="18.75" customHeight="1">
      <c r="A38" s="230"/>
      <c r="B38" s="6" t="s">
        <v>17</v>
      </c>
      <c r="C38" s="8">
        <v>2</v>
      </c>
      <c r="D38" s="8">
        <v>6</v>
      </c>
      <c r="E38" s="8">
        <v>3</v>
      </c>
      <c r="F38" s="8">
        <v>12</v>
      </c>
      <c r="G38" s="8">
        <v>15</v>
      </c>
      <c r="H38" s="8">
        <v>12</v>
      </c>
      <c r="I38" s="8">
        <v>10</v>
      </c>
      <c r="J38" s="8">
        <v>6</v>
      </c>
      <c r="K38" s="227"/>
      <c r="L38" s="6" t="s">
        <v>17</v>
      </c>
      <c r="M38" s="8">
        <v>15</v>
      </c>
      <c r="N38" s="8">
        <v>5</v>
      </c>
      <c r="O38" s="8">
        <v>5</v>
      </c>
      <c r="P38" s="8">
        <v>11</v>
      </c>
      <c r="Q38" s="8">
        <v>8</v>
      </c>
      <c r="R38" s="8">
        <v>2</v>
      </c>
      <c r="S38" s="8">
        <v>5</v>
      </c>
      <c r="T38" s="52">
        <v>2</v>
      </c>
      <c r="U38" s="60">
        <f t="shared" si="1"/>
        <v>119</v>
      </c>
      <c r="AG38" s="96"/>
    </row>
    <row r="39" spans="1:33" ht="18.75" customHeight="1">
      <c r="A39" s="230"/>
      <c r="B39" s="47" t="s">
        <v>18</v>
      </c>
      <c r="C39" s="77">
        <v>2</v>
      </c>
      <c r="D39" s="77">
        <v>15</v>
      </c>
      <c r="E39" s="77">
        <v>5</v>
      </c>
      <c r="F39" s="77">
        <v>6</v>
      </c>
      <c r="G39" s="77">
        <v>8</v>
      </c>
      <c r="H39" s="77">
        <v>12</v>
      </c>
      <c r="I39" s="77">
        <v>7</v>
      </c>
      <c r="J39" s="77">
        <v>4</v>
      </c>
      <c r="K39" s="227"/>
      <c r="L39" s="47" t="s">
        <v>18</v>
      </c>
      <c r="M39" s="77">
        <v>3</v>
      </c>
      <c r="N39" s="77">
        <v>4</v>
      </c>
      <c r="O39" s="77">
        <v>4</v>
      </c>
      <c r="P39" s="77">
        <v>5</v>
      </c>
      <c r="Q39" s="77">
        <v>6</v>
      </c>
      <c r="R39" s="77">
        <v>10</v>
      </c>
      <c r="S39" s="77">
        <v>11</v>
      </c>
      <c r="T39" s="78">
        <v>2</v>
      </c>
      <c r="U39" s="60">
        <f t="shared" si="1"/>
        <v>104</v>
      </c>
      <c r="AG39" s="96"/>
    </row>
    <row r="40" spans="1:33" ht="18.75" customHeight="1">
      <c r="A40" s="195" t="s">
        <v>11</v>
      </c>
      <c r="B40" s="56" t="s">
        <v>13</v>
      </c>
      <c r="C40" s="73">
        <v>9</v>
      </c>
      <c r="D40" s="73">
        <v>27</v>
      </c>
      <c r="E40" s="73">
        <v>26</v>
      </c>
      <c r="F40" s="73">
        <v>30</v>
      </c>
      <c r="G40" s="73">
        <v>28</v>
      </c>
      <c r="H40" s="73">
        <v>26</v>
      </c>
      <c r="I40" s="73">
        <v>25</v>
      </c>
      <c r="J40" s="73">
        <v>12</v>
      </c>
      <c r="K40" s="196" t="s">
        <v>11</v>
      </c>
      <c r="L40" s="56" t="s">
        <v>13</v>
      </c>
      <c r="M40" s="73">
        <v>13</v>
      </c>
      <c r="N40" s="73">
        <v>10</v>
      </c>
      <c r="O40" s="73">
        <v>12</v>
      </c>
      <c r="P40" s="73">
        <v>19</v>
      </c>
      <c r="Q40" s="73">
        <v>14</v>
      </c>
      <c r="R40" s="73">
        <v>21</v>
      </c>
      <c r="S40" s="73">
        <v>10</v>
      </c>
      <c r="T40" s="74">
        <v>11</v>
      </c>
      <c r="U40" s="60">
        <f t="shared" si="1"/>
        <v>293</v>
      </c>
      <c r="AG40" s="95"/>
    </row>
    <row r="41" spans="1:33" ht="18.75" customHeight="1">
      <c r="A41" s="230"/>
      <c r="B41" s="4" t="s">
        <v>14</v>
      </c>
      <c r="C41" s="9">
        <v>7</v>
      </c>
      <c r="D41" s="9">
        <v>4</v>
      </c>
      <c r="E41" s="9">
        <v>9</v>
      </c>
      <c r="F41" s="9">
        <v>8</v>
      </c>
      <c r="G41" s="9">
        <v>15</v>
      </c>
      <c r="H41" s="9">
        <v>17</v>
      </c>
      <c r="I41" s="9">
        <v>18</v>
      </c>
      <c r="J41" s="9">
        <v>10</v>
      </c>
      <c r="K41" s="227"/>
      <c r="L41" s="4" t="s">
        <v>14</v>
      </c>
      <c r="M41" s="9">
        <v>18</v>
      </c>
      <c r="N41" s="9">
        <v>5</v>
      </c>
      <c r="O41" s="9">
        <v>8</v>
      </c>
      <c r="P41" s="9">
        <v>10</v>
      </c>
      <c r="Q41" s="9">
        <v>6</v>
      </c>
      <c r="R41" s="9">
        <v>0</v>
      </c>
      <c r="S41" s="9">
        <v>3</v>
      </c>
      <c r="T41" s="53">
        <v>2</v>
      </c>
      <c r="U41" s="60">
        <f t="shared" si="1"/>
        <v>140</v>
      </c>
      <c r="AG41" s="96"/>
    </row>
    <row r="42" spans="1:33" ht="18.75" customHeight="1">
      <c r="A42" s="230"/>
      <c r="B42" s="4" t="s">
        <v>15</v>
      </c>
      <c r="C42" s="9">
        <v>21</v>
      </c>
      <c r="D42" s="9">
        <v>13</v>
      </c>
      <c r="E42" s="9">
        <v>6</v>
      </c>
      <c r="F42" s="9">
        <v>18</v>
      </c>
      <c r="G42" s="9">
        <v>24</v>
      </c>
      <c r="H42" s="9">
        <v>20</v>
      </c>
      <c r="I42" s="9">
        <v>21</v>
      </c>
      <c r="J42" s="9">
        <v>11</v>
      </c>
      <c r="K42" s="227"/>
      <c r="L42" s="4" t="s">
        <v>15</v>
      </c>
      <c r="M42" s="9">
        <v>13</v>
      </c>
      <c r="N42" s="9">
        <v>17</v>
      </c>
      <c r="O42" s="9">
        <v>20</v>
      </c>
      <c r="P42" s="9">
        <v>24</v>
      </c>
      <c r="Q42" s="9">
        <v>21</v>
      </c>
      <c r="R42" s="9">
        <v>3</v>
      </c>
      <c r="S42" s="9">
        <v>17</v>
      </c>
      <c r="T42" s="53">
        <v>7</v>
      </c>
      <c r="U42" s="60">
        <f t="shared" si="1"/>
        <v>256</v>
      </c>
      <c r="AG42" s="96"/>
    </row>
    <row r="43" spans="1:33" ht="18.75" customHeight="1">
      <c r="A43" s="230"/>
      <c r="B43" s="4" t="s">
        <v>16</v>
      </c>
      <c r="C43" s="9">
        <v>2</v>
      </c>
      <c r="D43" s="9">
        <v>6</v>
      </c>
      <c r="E43" s="9">
        <v>8</v>
      </c>
      <c r="F43" s="9">
        <v>6</v>
      </c>
      <c r="G43" s="9">
        <v>8</v>
      </c>
      <c r="H43" s="9">
        <v>10</v>
      </c>
      <c r="I43" s="9">
        <v>10</v>
      </c>
      <c r="J43" s="9">
        <v>2</v>
      </c>
      <c r="K43" s="227"/>
      <c r="L43" s="4" t="s">
        <v>16</v>
      </c>
      <c r="M43" s="9">
        <v>5</v>
      </c>
      <c r="N43" s="9">
        <v>2</v>
      </c>
      <c r="O43" s="9">
        <v>4</v>
      </c>
      <c r="P43" s="9">
        <v>1</v>
      </c>
      <c r="Q43" s="9">
        <v>1</v>
      </c>
      <c r="R43" s="9">
        <v>2</v>
      </c>
      <c r="S43" s="9">
        <v>5</v>
      </c>
      <c r="T43" s="53">
        <v>6</v>
      </c>
      <c r="U43" s="60">
        <f t="shared" si="1"/>
        <v>78</v>
      </c>
      <c r="AG43" s="96"/>
    </row>
    <row r="44" spans="1:33" ht="18.75" customHeight="1">
      <c r="A44" s="230"/>
      <c r="B44" s="4" t="s">
        <v>17</v>
      </c>
      <c r="C44" s="9">
        <v>2</v>
      </c>
      <c r="D44" s="9">
        <v>9</v>
      </c>
      <c r="E44" s="9">
        <v>7</v>
      </c>
      <c r="F44" s="9">
        <v>12</v>
      </c>
      <c r="G44" s="9">
        <v>14</v>
      </c>
      <c r="H44" s="9">
        <v>8</v>
      </c>
      <c r="I44" s="9">
        <v>4</v>
      </c>
      <c r="J44" s="9">
        <v>5</v>
      </c>
      <c r="K44" s="227"/>
      <c r="L44" s="4" t="s">
        <v>17</v>
      </c>
      <c r="M44" s="9">
        <v>2</v>
      </c>
      <c r="N44" s="9">
        <v>7</v>
      </c>
      <c r="O44" s="9">
        <v>8</v>
      </c>
      <c r="P44" s="9">
        <v>6</v>
      </c>
      <c r="Q44" s="9">
        <v>4</v>
      </c>
      <c r="R44" s="9">
        <v>3</v>
      </c>
      <c r="S44" s="9">
        <v>2</v>
      </c>
      <c r="T44" s="53">
        <v>2</v>
      </c>
      <c r="U44" s="60">
        <f t="shared" si="1"/>
        <v>95</v>
      </c>
      <c r="AG44" s="96"/>
    </row>
    <row r="45" spans="1:33" ht="18.75" customHeight="1">
      <c r="A45" s="231"/>
      <c r="B45" s="61" t="s">
        <v>18</v>
      </c>
      <c r="C45" s="75">
        <v>6</v>
      </c>
      <c r="D45" s="75">
        <v>6</v>
      </c>
      <c r="E45" s="75">
        <v>2</v>
      </c>
      <c r="F45" s="75">
        <v>10</v>
      </c>
      <c r="G45" s="75">
        <v>8</v>
      </c>
      <c r="H45" s="75">
        <v>15</v>
      </c>
      <c r="I45" s="75">
        <v>17</v>
      </c>
      <c r="J45" s="75">
        <v>14</v>
      </c>
      <c r="K45" s="232"/>
      <c r="L45" s="61" t="s">
        <v>18</v>
      </c>
      <c r="M45" s="75">
        <v>4</v>
      </c>
      <c r="N45" s="75">
        <v>5</v>
      </c>
      <c r="O45" s="75">
        <v>6</v>
      </c>
      <c r="P45" s="75">
        <v>8</v>
      </c>
      <c r="Q45" s="75">
        <v>5</v>
      </c>
      <c r="R45" s="75">
        <v>3</v>
      </c>
      <c r="S45" s="75">
        <v>2</v>
      </c>
      <c r="T45" s="76">
        <v>2</v>
      </c>
      <c r="U45" s="60">
        <f t="shared" si="1"/>
        <v>113</v>
      </c>
      <c r="AG45" s="96"/>
    </row>
    <row r="46" spans="1:33" ht="18.75" customHeight="1">
      <c r="AG46" s="96"/>
    </row>
    <row r="47" spans="1:33" ht="18.75" customHeight="1">
      <c r="A47" s="1"/>
      <c r="B47" s="1"/>
      <c r="C47" s="183" t="s">
        <v>0</v>
      </c>
      <c r="D47" s="225"/>
      <c r="E47" s="225"/>
      <c r="F47" s="225"/>
      <c r="G47" s="226"/>
      <c r="H47" s="2"/>
      <c r="I47" s="1"/>
    </row>
    <row r="48" spans="1:33" ht="18.75" customHeight="1">
      <c r="A48" s="1"/>
      <c r="B48" s="183" t="s">
        <v>1</v>
      </c>
      <c r="C48" s="225"/>
      <c r="D48" s="226"/>
      <c r="E48" s="1"/>
      <c r="F48" s="184" t="s">
        <v>107</v>
      </c>
      <c r="G48" s="225"/>
      <c r="H48" s="226"/>
      <c r="I48" s="1"/>
      <c r="K48" s="1"/>
      <c r="L48" s="183" t="s">
        <v>26</v>
      </c>
      <c r="M48" s="225"/>
      <c r="N48" s="226"/>
      <c r="O48" s="1"/>
      <c r="P48" s="184" t="s">
        <v>108</v>
      </c>
      <c r="Q48" s="225"/>
      <c r="R48" s="226"/>
      <c r="S48" s="1"/>
    </row>
    <row r="49" spans="1:40" ht="18.75" customHeight="1">
      <c r="A49" s="54" t="s">
        <v>35</v>
      </c>
      <c r="B49" s="54" t="s">
        <v>4</v>
      </c>
      <c r="C49" s="54" t="s">
        <v>12</v>
      </c>
      <c r="D49" s="54" t="s">
        <v>19</v>
      </c>
      <c r="E49" s="54" t="s">
        <v>20</v>
      </c>
      <c r="F49" s="54" t="s">
        <v>21</v>
      </c>
      <c r="G49" s="54" t="s">
        <v>22</v>
      </c>
      <c r="H49" s="54" t="s">
        <v>23</v>
      </c>
      <c r="I49" s="54" t="s">
        <v>24</v>
      </c>
      <c r="J49" s="54" t="s">
        <v>25</v>
      </c>
      <c r="K49" s="54" t="s">
        <v>35</v>
      </c>
      <c r="L49" s="54" t="s">
        <v>4</v>
      </c>
      <c r="M49" s="54" t="s">
        <v>27</v>
      </c>
      <c r="N49" s="54" t="s">
        <v>28</v>
      </c>
      <c r="O49" s="54" t="s">
        <v>29</v>
      </c>
      <c r="P49" s="54" t="s">
        <v>30</v>
      </c>
      <c r="Q49" s="54" t="s">
        <v>31</v>
      </c>
      <c r="R49" s="54" t="s">
        <v>32</v>
      </c>
      <c r="S49" s="54" t="s">
        <v>33</v>
      </c>
      <c r="T49" s="54" t="s">
        <v>34</v>
      </c>
      <c r="U49" s="54" t="s">
        <v>55</v>
      </c>
    </row>
    <row r="50" spans="1:40" ht="18.75" customHeight="1">
      <c r="A50" s="195" t="s">
        <v>5</v>
      </c>
      <c r="B50" s="56" t="s">
        <v>13</v>
      </c>
      <c r="C50" s="57"/>
      <c r="D50" s="57"/>
      <c r="E50" s="56">
        <v>5</v>
      </c>
      <c r="F50" s="56">
        <v>20</v>
      </c>
      <c r="G50" s="56">
        <v>35</v>
      </c>
      <c r="H50" s="56"/>
      <c r="I50" s="56">
        <v>34</v>
      </c>
      <c r="J50" s="56"/>
      <c r="K50" s="196" t="s">
        <v>5</v>
      </c>
      <c r="L50" s="56" t="s">
        <v>13</v>
      </c>
      <c r="M50" s="56">
        <v>23</v>
      </c>
      <c r="N50" s="56">
        <v>27</v>
      </c>
      <c r="O50" s="56">
        <v>24</v>
      </c>
      <c r="P50" s="56">
        <v>19</v>
      </c>
      <c r="Q50" s="56">
        <v>14</v>
      </c>
      <c r="R50" s="57"/>
      <c r="S50" s="57"/>
      <c r="T50" s="58"/>
      <c r="U50" s="59">
        <f>SUM(M50:T50,C50:J50)</f>
        <v>201</v>
      </c>
      <c r="W50" s="197" t="s">
        <v>2</v>
      </c>
      <c r="X50" s="198"/>
      <c r="AG50" s="190" t="s">
        <v>58</v>
      </c>
      <c r="AH50" s="191"/>
      <c r="AI50" s="191"/>
      <c r="AJ50" s="191"/>
      <c r="AK50" s="191"/>
      <c r="AL50" s="191"/>
      <c r="AM50" s="191"/>
      <c r="AN50" s="192"/>
    </row>
    <row r="51" spans="1:40" ht="18.75" customHeight="1">
      <c r="A51" s="230"/>
      <c r="B51" s="4" t="s">
        <v>14</v>
      </c>
      <c r="C51" s="5"/>
      <c r="D51" s="5"/>
      <c r="E51" s="4">
        <v>2</v>
      </c>
      <c r="F51" s="4">
        <v>6</v>
      </c>
      <c r="G51" s="4">
        <v>4</v>
      </c>
      <c r="H51" s="4"/>
      <c r="I51" s="4">
        <v>17</v>
      </c>
      <c r="J51" s="4"/>
      <c r="K51" s="227"/>
      <c r="L51" s="4" t="s">
        <v>14</v>
      </c>
      <c r="M51" s="4">
        <v>8</v>
      </c>
      <c r="N51" s="4">
        <v>6</v>
      </c>
      <c r="O51" s="4">
        <v>7</v>
      </c>
      <c r="P51" s="4">
        <v>6</v>
      </c>
      <c r="Q51" s="4">
        <v>3</v>
      </c>
      <c r="R51" s="5"/>
      <c r="S51" s="5"/>
      <c r="T51" s="49"/>
      <c r="U51" s="59">
        <f t="shared" ref="U51:U91" si="10">SUM(M51:T51,C51:J51)</f>
        <v>59</v>
      </c>
      <c r="W51" s="55" t="s">
        <v>5</v>
      </c>
      <c r="X51" s="48">
        <f>SUM(U50:U55)</f>
        <v>569</v>
      </c>
      <c r="AG51" s="98" t="s">
        <v>4</v>
      </c>
      <c r="AH51" s="98" t="s">
        <v>5</v>
      </c>
      <c r="AI51" s="98" t="s">
        <v>6</v>
      </c>
      <c r="AJ51" s="98" t="s">
        <v>7</v>
      </c>
      <c r="AK51" s="98" t="s">
        <v>8</v>
      </c>
      <c r="AL51" s="98" t="s">
        <v>9</v>
      </c>
      <c r="AM51" s="98" t="s">
        <v>10</v>
      </c>
      <c r="AN51" s="98" t="s">
        <v>11</v>
      </c>
    </row>
    <row r="52" spans="1:40" ht="18.75" customHeight="1">
      <c r="A52" s="230"/>
      <c r="B52" s="4" t="s">
        <v>15</v>
      </c>
      <c r="C52" s="5"/>
      <c r="D52" s="5"/>
      <c r="E52" s="4">
        <v>5</v>
      </c>
      <c r="F52" s="4">
        <v>15</v>
      </c>
      <c r="G52" s="4">
        <v>11</v>
      </c>
      <c r="H52" s="4"/>
      <c r="I52" s="4">
        <v>19</v>
      </c>
      <c r="J52" s="4"/>
      <c r="K52" s="227"/>
      <c r="L52" s="4" t="s">
        <v>15</v>
      </c>
      <c r="M52" s="4">
        <v>27</v>
      </c>
      <c r="N52" s="4">
        <v>21</v>
      </c>
      <c r="O52" s="4">
        <v>19</v>
      </c>
      <c r="P52" s="4">
        <v>20</v>
      </c>
      <c r="Q52" s="4">
        <v>15</v>
      </c>
      <c r="R52" s="5"/>
      <c r="S52" s="5"/>
      <c r="T52" s="49"/>
      <c r="U52" s="59">
        <f t="shared" si="10"/>
        <v>152</v>
      </c>
      <c r="W52" s="55" t="s">
        <v>6</v>
      </c>
      <c r="X52" s="48">
        <f>SUM(U56:U61)</f>
        <v>455</v>
      </c>
      <c r="AG52" s="79" t="s">
        <v>13</v>
      </c>
      <c r="AH52" s="79">
        <f t="shared" ref="AH52:AH57" si="11">U50</f>
        <v>201</v>
      </c>
      <c r="AI52" s="79">
        <f t="shared" ref="AI52:AI57" si="12">U56</f>
        <v>202</v>
      </c>
      <c r="AJ52" s="79">
        <f t="shared" ref="AJ52:AJ57" si="13">U62</f>
        <v>325</v>
      </c>
      <c r="AK52" s="79">
        <f t="shared" ref="AK52:AK57" si="14">U68</f>
        <v>307</v>
      </c>
      <c r="AL52" s="79">
        <f t="shared" ref="AL52:AL57" si="15">U74</f>
        <v>309</v>
      </c>
      <c r="AM52" s="79">
        <f t="shared" ref="AM52:AM57" si="16">U80</f>
        <v>295</v>
      </c>
      <c r="AN52" s="79">
        <f t="shared" ref="AN52:AN57" si="17">U86</f>
        <v>248</v>
      </c>
    </row>
    <row r="53" spans="1:40" ht="18.75" customHeight="1">
      <c r="A53" s="230"/>
      <c r="B53" s="4" t="s">
        <v>16</v>
      </c>
      <c r="C53" s="5"/>
      <c r="D53" s="5"/>
      <c r="E53" s="4">
        <v>2</v>
      </c>
      <c r="F53" s="4">
        <v>1</v>
      </c>
      <c r="G53" s="4">
        <v>5</v>
      </c>
      <c r="H53" s="4"/>
      <c r="I53" s="4">
        <v>9</v>
      </c>
      <c r="J53" s="4"/>
      <c r="K53" s="227"/>
      <c r="L53" s="4" t="s">
        <v>16</v>
      </c>
      <c r="M53" s="4">
        <v>5</v>
      </c>
      <c r="N53" s="4">
        <v>7</v>
      </c>
      <c r="O53" s="4">
        <v>5</v>
      </c>
      <c r="P53" s="4">
        <v>6</v>
      </c>
      <c r="Q53" s="4">
        <v>5</v>
      </c>
      <c r="R53" s="5"/>
      <c r="S53" s="5"/>
      <c r="T53" s="49"/>
      <c r="U53" s="59">
        <f t="shared" si="10"/>
        <v>45</v>
      </c>
      <c r="W53" s="55" t="s">
        <v>7</v>
      </c>
      <c r="X53" s="48">
        <f>SUM(U62:U67)</f>
        <v>1194</v>
      </c>
      <c r="AG53" s="97" t="s">
        <v>14</v>
      </c>
      <c r="AH53" s="97">
        <f t="shared" si="11"/>
        <v>59</v>
      </c>
      <c r="AI53" s="97">
        <f t="shared" si="12"/>
        <v>41</v>
      </c>
      <c r="AJ53" s="97">
        <f t="shared" si="13"/>
        <v>158</v>
      </c>
      <c r="AK53" s="97">
        <f t="shared" si="14"/>
        <v>112</v>
      </c>
      <c r="AL53" s="97">
        <f t="shared" si="15"/>
        <v>137</v>
      </c>
      <c r="AM53" s="97">
        <f t="shared" si="16"/>
        <v>118</v>
      </c>
      <c r="AN53" s="97">
        <f t="shared" si="17"/>
        <v>144</v>
      </c>
    </row>
    <row r="54" spans="1:40" ht="18.75" customHeight="1">
      <c r="A54" s="230"/>
      <c r="B54" s="4" t="s">
        <v>17</v>
      </c>
      <c r="C54" s="5"/>
      <c r="D54" s="5"/>
      <c r="E54" s="4">
        <v>3</v>
      </c>
      <c r="F54" s="4">
        <v>5</v>
      </c>
      <c r="G54" s="4">
        <v>4</v>
      </c>
      <c r="H54" s="4"/>
      <c r="I54" s="4">
        <v>17</v>
      </c>
      <c r="J54" s="4"/>
      <c r="K54" s="227"/>
      <c r="L54" s="4" t="s">
        <v>17</v>
      </c>
      <c r="M54" s="4">
        <v>11</v>
      </c>
      <c r="N54" s="4">
        <v>11</v>
      </c>
      <c r="O54" s="4">
        <v>8</v>
      </c>
      <c r="P54" s="4">
        <v>8</v>
      </c>
      <c r="Q54" s="4">
        <v>4</v>
      </c>
      <c r="R54" s="5"/>
      <c r="S54" s="5"/>
      <c r="T54" s="49"/>
      <c r="U54" s="59">
        <f t="shared" si="10"/>
        <v>71</v>
      </c>
      <c r="W54" s="55" t="s">
        <v>61</v>
      </c>
      <c r="X54" s="48">
        <f>SUM(U68:U73)</f>
        <v>1001</v>
      </c>
      <c r="AG54" s="79" t="s">
        <v>15</v>
      </c>
      <c r="AH54" s="79">
        <f t="shared" si="11"/>
        <v>152</v>
      </c>
      <c r="AI54" s="79">
        <f t="shared" si="12"/>
        <v>98</v>
      </c>
      <c r="AJ54" s="79">
        <f t="shared" si="13"/>
        <v>370</v>
      </c>
      <c r="AK54" s="79">
        <f t="shared" si="14"/>
        <v>318</v>
      </c>
      <c r="AL54" s="79">
        <f t="shared" si="15"/>
        <v>312</v>
      </c>
      <c r="AM54" s="79">
        <f t="shared" si="16"/>
        <v>267</v>
      </c>
      <c r="AN54" s="79">
        <f t="shared" si="17"/>
        <v>213</v>
      </c>
    </row>
    <row r="55" spans="1:40" ht="18.75" customHeight="1">
      <c r="A55" s="230"/>
      <c r="B55" s="46" t="s">
        <v>18</v>
      </c>
      <c r="C55" s="64"/>
      <c r="D55" s="64"/>
      <c r="E55" s="46">
        <v>8</v>
      </c>
      <c r="F55" s="46">
        <v>4</v>
      </c>
      <c r="G55" s="46">
        <v>2</v>
      </c>
      <c r="H55" s="46"/>
      <c r="I55" s="46">
        <v>9</v>
      </c>
      <c r="J55" s="46"/>
      <c r="K55" s="227"/>
      <c r="L55" s="46" t="s">
        <v>18</v>
      </c>
      <c r="M55" s="46">
        <v>2</v>
      </c>
      <c r="N55" s="46">
        <v>3</v>
      </c>
      <c r="O55" s="46">
        <v>2</v>
      </c>
      <c r="P55" s="46">
        <v>6</v>
      </c>
      <c r="Q55" s="46">
        <v>5</v>
      </c>
      <c r="R55" s="64"/>
      <c r="S55" s="64"/>
      <c r="T55" s="65"/>
      <c r="U55" s="59">
        <f t="shared" si="10"/>
        <v>41</v>
      </c>
      <c r="W55" s="55" t="s">
        <v>9</v>
      </c>
      <c r="X55" s="48">
        <f>SUM(U74:U79)</f>
        <v>1024</v>
      </c>
      <c r="AG55" s="97" t="s">
        <v>16</v>
      </c>
      <c r="AH55" s="97">
        <f t="shared" si="11"/>
        <v>45</v>
      </c>
      <c r="AI55" s="97">
        <f t="shared" si="12"/>
        <v>41</v>
      </c>
      <c r="AJ55" s="97">
        <f t="shared" si="13"/>
        <v>85</v>
      </c>
      <c r="AK55" s="97">
        <f t="shared" si="14"/>
        <v>80</v>
      </c>
      <c r="AL55" s="97">
        <f t="shared" si="15"/>
        <v>77</v>
      </c>
      <c r="AM55" s="97">
        <f t="shared" si="16"/>
        <v>74</v>
      </c>
      <c r="AN55" s="97">
        <f t="shared" si="17"/>
        <v>45</v>
      </c>
    </row>
    <row r="56" spans="1:40" ht="18.75" customHeight="1">
      <c r="A56" s="193" t="s">
        <v>6</v>
      </c>
      <c r="B56" s="63" t="s">
        <v>13</v>
      </c>
      <c r="C56" s="57"/>
      <c r="D56" s="57"/>
      <c r="E56" s="57"/>
      <c r="F56" s="63">
        <v>33</v>
      </c>
      <c r="G56" s="63">
        <v>36</v>
      </c>
      <c r="H56" s="63">
        <v>22</v>
      </c>
      <c r="I56" s="63">
        <v>32</v>
      </c>
      <c r="J56" s="63">
        <v>20</v>
      </c>
      <c r="K56" s="194" t="s">
        <v>6</v>
      </c>
      <c r="L56" s="63" t="s">
        <v>13</v>
      </c>
      <c r="M56" s="63">
        <v>21</v>
      </c>
      <c r="N56" s="63">
        <v>15</v>
      </c>
      <c r="O56" s="63">
        <v>9</v>
      </c>
      <c r="P56" s="63">
        <v>14</v>
      </c>
      <c r="Q56" s="57"/>
      <c r="R56" s="57"/>
      <c r="S56" s="57"/>
      <c r="T56" s="58"/>
      <c r="U56" s="59">
        <f t="shared" si="10"/>
        <v>202</v>
      </c>
      <c r="W56" s="55" t="s">
        <v>10</v>
      </c>
      <c r="X56" s="48">
        <f>SUM(U80:U85)</f>
        <v>940</v>
      </c>
      <c r="AG56" s="79" t="s">
        <v>17</v>
      </c>
      <c r="AH56" s="79">
        <f t="shared" si="11"/>
        <v>71</v>
      </c>
      <c r="AI56" s="79">
        <f t="shared" si="12"/>
        <v>37</v>
      </c>
      <c r="AJ56" s="79">
        <f t="shared" si="13"/>
        <v>137</v>
      </c>
      <c r="AK56" s="79">
        <f t="shared" si="14"/>
        <v>88</v>
      </c>
      <c r="AL56" s="79">
        <f t="shared" si="15"/>
        <v>94</v>
      </c>
      <c r="AM56" s="79">
        <f t="shared" si="16"/>
        <v>85</v>
      </c>
      <c r="AN56" s="79">
        <f t="shared" si="17"/>
        <v>76</v>
      </c>
    </row>
    <row r="57" spans="1:40" ht="18.75" customHeight="1">
      <c r="A57" s="230"/>
      <c r="B57" s="6" t="s">
        <v>14</v>
      </c>
      <c r="C57" s="5"/>
      <c r="D57" s="5"/>
      <c r="E57" s="5"/>
      <c r="F57" s="6">
        <v>2</v>
      </c>
      <c r="G57" s="6">
        <v>3</v>
      </c>
      <c r="H57" s="6">
        <v>4</v>
      </c>
      <c r="I57" s="6">
        <v>5</v>
      </c>
      <c r="J57" s="6">
        <v>8</v>
      </c>
      <c r="K57" s="227"/>
      <c r="L57" s="6" t="s">
        <v>14</v>
      </c>
      <c r="M57" s="6">
        <v>7</v>
      </c>
      <c r="N57" s="6">
        <v>3</v>
      </c>
      <c r="O57" s="6">
        <v>5</v>
      </c>
      <c r="P57" s="6">
        <v>4</v>
      </c>
      <c r="Q57" s="5"/>
      <c r="R57" s="5"/>
      <c r="S57" s="5"/>
      <c r="T57" s="49"/>
      <c r="U57" s="59">
        <f t="shared" si="10"/>
        <v>41</v>
      </c>
      <c r="W57" s="81" t="s">
        <v>11</v>
      </c>
      <c r="X57" s="80">
        <f>SUM(U86:U91)</f>
        <v>793</v>
      </c>
      <c r="AG57" s="97" t="s">
        <v>18</v>
      </c>
      <c r="AH57" s="97">
        <f t="shared" si="11"/>
        <v>41</v>
      </c>
      <c r="AI57" s="97">
        <f t="shared" si="12"/>
        <v>36</v>
      </c>
      <c r="AJ57" s="97">
        <f t="shared" si="13"/>
        <v>119</v>
      </c>
      <c r="AK57" s="97">
        <f t="shared" si="14"/>
        <v>96</v>
      </c>
      <c r="AL57" s="97">
        <f t="shared" si="15"/>
        <v>95</v>
      </c>
      <c r="AM57" s="97">
        <f t="shared" si="16"/>
        <v>101</v>
      </c>
      <c r="AN57" s="97">
        <f t="shared" si="17"/>
        <v>67</v>
      </c>
    </row>
    <row r="58" spans="1:40" ht="18.75" customHeight="1">
      <c r="A58" s="230"/>
      <c r="B58" s="6" t="s">
        <v>15</v>
      </c>
      <c r="C58" s="5"/>
      <c r="D58" s="5"/>
      <c r="E58" s="5"/>
      <c r="F58" s="6">
        <v>18</v>
      </c>
      <c r="G58" s="6">
        <v>26</v>
      </c>
      <c r="H58" s="6">
        <v>1</v>
      </c>
      <c r="I58" s="6">
        <v>15</v>
      </c>
      <c r="J58" s="6">
        <v>12</v>
      </c>
      <c r="K58" s="227"/>
      <c r="L58" s="6" t="s">
        <v>15</v>
      </c>
      <c r="M58" s="6">
        <v>8</v>
      </c>
      <c r="N58" s="6">
        <v>7</v>
      </c>
      <c r="O58" s="6">
        <v>6</v>
      </c>
      <c r="P58" s="6">
        <v>5</v>
      </c>
      <c r="Q58" s="5"/>
      <c r="R58" s="5"/>
      <c r="S58" s="5"/>
      <c r="T58" s="49"/>
      <c r="U58" s="59">
        <f t="shared" si="10"/>
        <v>98</v>
      </c>
      <c r="W58" s="79" t="s">
        <v>63</v>
      </c>
      <c r="X58" s="82">
        <f>SUM(X51:X57)</f>
        <v>5976</v>
      </c>
    </row>
    <row r="59" spans="1:40" ht="18.75" customHeight="1">
      <c r="A59" s="230"/>
      <c r="B59" s="6" t="s">
        <v>16</v>
      </c>
      <c r="C59" s="5"/>
      <c r="D59" s="5"/>
      <c r="E59" s="5"/>
      <c r="F59" s="6">
        <v>2</v>
      </c>
      <c r="G59" s="6">
        <v>5</v>
      </c>
      <c r="H59" s="6">
        <v>5</v>
      </c>
      <c r="I59" s="6">
        <v>4</v>
      </c>
      <c r="J59" s="6">
        <v>3</v>
      </c>
      <c r="K59" s="227"/>
      <c r="L59" s="6" t="s">
        <v>16</v>
      </c>
      <c r="M59" s="6">
        <v>2</v>
      </c>
      <c r="N59" s="6">
        <v>7</v>
      </c>
      <c r="O59" s="6">
        <v>5</v>
      </c>
      <c r="P59" s="6">
        <v>8</v>
      </c>
      <c r="Q59" s="5"/>
      <c r="R59" s="5"/>
      <c r="S59" s="5"/>
      <c r="T59" s="49"/>
      <c r="U59" s="59">
        <f t="shared" si="10"/>
        <v>41</v>
      </c>
    </row>
    <row r="60" spans="1:40" ht="18.75" customHeight="1">
      <c r="A60" s="230"/>
      <c r="B60" s="6" t="s">
        <v>17</v>
      </c>
      <c r="C60" s="5"/>
      <c r="D60" s="5"/>
      <c r="E60" s="5"/>
      <c r="F60" s="6">
        <v>4</v>
      </c>
      <c r="G60" s="6">
        <v>10</v>
      </c>
      <c r="H60" s="6">
        <v>4</v>
      </c>
      <c r="I60" s="6">
        <v>5</v>
      </c>
      <c r="J60" s="6">
        <v>4</v>
      </c>
      <c r="K60" s="227"/>
      <c r="L60" s="6" t="s">
        <v>17</v>
      </c>
      <c r="M60" s="6">
        <v>2</v>
      </c>
      <c r="N60" s="6">
        <v>2</v>
      </c>
      <c r="O60" s="6">
        <v>5</v>
      </c>
      <c r="P60" s="6">
        <v>1</v>
      </c>
      <c r="Q60" s="5"/>
      <c r="R60" s="5"/>
      <c r="S60" s="5"/>
      <c r="T60" s="49"/>
      <c r="U60" s="59">
        <f t="shared" si="10"/>
        <v>37</v>
      </c>
    </row>
    <row r="61" spans="1:40" ht="18.75" customHeight="1">
      <c r="A61" s="230"/>
      <c r="B61" s="47" t="s">
        <v>18</v>
      </c>
      <c r="C61" s="64"/>
      <c r="D61" s="64"/>
      <c r="E61" s="64"/>
      <c r="F61" s="47">
        <v>3</v>
      </c>
      <c r="G61" s="47">
        <v>2</v>
      </c>
      <c r="H61" s="47">
        <v>8</v>
      </c>
      <c r="I61" s="47">
        <v>5</v>
      </c>
      <c r="J61" s="47">
        <v>4</v>
      </c>
      <c r="K61" s="227"/>
      <c r="L61" s="47" t="s">
        <v>18</v>
      </c>
      <c r="M61" s="47">
        <v>3</v>
      </c>
      <c r="N61" s="47">
        <v>2</v>
      </c>
      <c r="O61" s="47">
        <v>6</v>
      </c>
      <c r="P61" s="47">
        <v>3</v>
      </c>
      <c r="Q61" s="64"/>
      <c r="R61" s="64"/>
      <c r="S61" s="64"/>
      <c r="T61" s="65"/>
      <c r="U61" s="59">
        <f t="shared" si="10"/>
        <v>36</v>
      </c>
    </row>
    <row r="62" spans="1:40" ht="18.75" customHeight="1">
      <c r="A62" s="195" t="s">
        <v>7</v>
      </c>
      <c r="B62" s="56" t="s">
        <v>13</v>
      </c>
      <c r="C62" s="56">
        <v>12</v>
      </c>
      <c r="D62" s="56">
        <v>15</v>
      </c>
      <c r="E62" s="56">
        <v>7</v>
      </c>
      <c r="F62" s="56">
        <v>20</v>
      </c>
      <c r="G62" s="56">
        <v>22</v>
      </c>
      <c r="H62" s="56">
        <v>30</v>
      </c>
      <c r="I62" s="56">
        <v>33</v>
      </c>
      <c r="J62" s="56">
        <v>19</v>
      </c>
      <c r="K62" s="196" t="s">
        <v>7</v>
      </c>
      <c r="L62" s="56" t="s">
        <v>13</v>
      </c>
      <c r="M62" s="56">
        <v>15</v>
      </c>
      <c r="N62" s="56">
        <v>15</v>
      </c>
      <c r="O62" s="56">
        <v>15</v>
      </c>
      <c r="P62" s="56">
        <v>28</v>
      </c>
      <c r="Q62" s="56">
        <v>22</v>
      </c>
      <c r="R62" s="56">
        <v>25</v>
      </c>
      <c r="S62" s="56">
        <v>28</v>
      </c>
      <c r="T62" s="67">
        <v>19</v>
      </c>
      <c r="U62" s="59">
        <f t="shared" si="10"/>
        <v>325</v>
      </c>
    </row>
    <row r="63" spans="1:40" ht="18.75" customHeight="1">
      <c r="A63" s="230"/>
      <c r="B63" s="4" t="s">
        <v>14</v>
      </c>
      <c r="C63" s="4">
        <v>8</v>
      </c>
      <c r="D63" s="4">
        <v>9</v>
      </c>
      <c r="E63" s="4">
        <v>11</v>
      </c>
      <c r="F63" s="4">
        <v>10</v>
      </c>
      <c r="G63" s="4">
        <v>12</v>
      </c>
      <c r="H63" s="4">
        <v>13</v>
      </c>
      <c r="I63" s="4">
        <v>8</v>
      </c>
      <c r="J63" s="4">
        <v>11</v>
      </c>
      <c r="K63" s="227"/>
      <c r="L63" s="4" t="s">
        <v>14</v>
      </c>
      <c r="M63" s="4">
        <v>12</v>
      </c>
      <c r="N63" s="4">
        <v>10</v>
      </c>
      <c r="O63" s="4">
        <v>12</v>
      </c>
      <c r="P63" s="4">
        <v>9</v>
      </c>
      <c r="Q63" s="4">
        <v>12</v>
      </c>
      <c r="R63" s="4">
        <v>4</v>
      </c>
      <c r="S63" s="4">
        <v>10</v>
      </c>
      <c r="T63" s="50">
        <v>7</v>
      </c>
      <c r="U63" s="59">
        <f t="shared" si="10"/>
        <v>158</v>
      </c>
    </row>
    <row r="64" spans="1:40" ht="18.75" customHeight="1">
      <c r="A64" s="230"/>
      <c r="B64" s="4" t="s">
        <v>15</v>
      </c>
      <c r="C64" s="4">
        <v>16</v>
      </c>
      <c r="D64" s="4">
        <v>16</v>
      </c>
      <c r="E64" s="4">
        <v>24</v>
      </c>
      <c r="F64" s="4">
        <v>20</v>
      </c>
      <c r="G64" s="4">
        <v>32</v>
      </c>
      <c r="H64" s="4">
        <v>32</v>
      </c>
      <c r="I64" s="4">
        <v>15</v>
      </c>
      <c r="J64" s="4">
        <v>30</v>
      </c>
      <c r="K64" s="227"/>
      <c r="L64" s="4" t="s">
        <v>15</v>
      </c>
      <c r="M64" s="4">
        <v>15</v>
      </c>
      <c r="N64" s="4">
        <v>12</v>
      </c>
      <c r="O64" s="4">
        <v>20</v>
      </c>
      <c r="P64" s="4">
        <v>32</v>
      </c>
      <c r="Q64" s="4">
        <v>29</v>
      </c>
      <c r="R64" s="4">
        <v>33</v>
      </c>
      <c r="S64" s="4">
        <v>28</v>
      </c>
      <c r="T64" s="50">
        <v>16</v>
      </c>
      <c r="U64" s="59">
        <f t="shared" si="10"/>
        <v>370</v>
      </c>
    </row>
    <row r="65" spans="1:21" ht="18.75" customHeight="1">
      <c r="A65" s="230"/>
      <c r="B65" s="4" t="s">
        <v>16</v>
      </c>
      <c r="C65" s="4">
        <v>1</v>
      </c>
      <c r="D65" s="4">
        <v>5</v>
      </c>
      <c r="E65" s="4">
        <v>5</v>
      </c>
      <c r="F65" s="4">
        <v>7</v>
      </c>
      <c r="G65" s="4">
        <v>7</v>
      </c>
      <c r="H65" s="4">
        <v>7</v>
      </c>
      <c r="I65" s="4">
        <v>10</v>
      </c>
      <c r="J65" s="4">
        <v>5</v>
      </c>
      <c r="K65" s="227"/>
      <c r="L65" s="4" t="s">
        <v>16</v>
      </c>
      <c r="M65" s="4">
        <v>8</v>
      </c>
      <c r="N65" s="4">
        <v>5</v>
      </c>
      <c r="O65" s="4">
        <v>4</v>
      </c>
      <c r="P65" s="4">
        <v>4</v>
      </c>
      <c r="Q65" s="4">
        <v>5</v>
      </c>
      <c r="R65" s="4">
        <v>4</v>
      </c>
      <c r="S65" s="4">
        <v>4</v>
      </c>
      <c r="T65" s="50">
        <v>4</v>
      </c>
      <c r="U65" s="59">
        <f t="shared" si="10"/>
        <v>85</v>
      </c>
    </row>
    <row r="66" spans="1:21" ht="18.75" customHeight="1">
      <c r="A66" s="230"/>
      <c r="B66" s="4" t="s">
        <v>17</v>
      </c>
      <c r="C66" s="4">
        <v>4</v>
      </c>
      <c r="D66" s="4">
        <v>7</v>
      </c>
      <c r="E66" s="4">
        <v>6</v>
      </c>
      <c r="F66" s="4">
        <v>6</v>
      </c>
      <c r="G66" s="4">
        <v>18</v>
      </c>
      <c r="H66" s="4">
        <v>17</v>
      </c>
      <c r="I66" s="4">
        <v>14</v>
      </c>
      <c r="J66" s="4">
        <v>8</v>
      </c>
      <c r="K66" s="227"/>
      <c r="L66" s="4" t="s">
        <v>17</v>
      </c>
      <c r="M66" s="4">
        <v>7</v>
      </c>
      <c r="N66" s="4">
        <v>5</v>
      </c>
      <c r="O66" s="4">
        <v>5</v>
      </c>
      <c r="P66" s="4">
        <v>6</v>
      </c>
      <c r="Q66" s="4">
        <v>12</v>
      </c>
      <c r="R66" s="4">
        <v>8</v>
      </c>
      <c r="S66" s="4">
        <v>8</v>
      </c>
      <c r="T66" s="50">
        <v>6</v>
      </c>
      <c r="U66" s="59">
        <f t="shared" si="10"/>
        <v>137</v>
      </c>
    </row>
    <row r="67" spans="1:21" ht="18.75" customHeight="1">
      <c r="A67" s="230"/>
      <c r="B67" s="46" t="s">
        <v>18</v>
      </c>
      <c r="C67" s="46">
        <v>11</v>
      </c>
      <c r="D67" s="46">
        <v>9</v>
      </c>
      <c r="E67" s="46">
        <v>6</v>
      </c>
      <c r="F67" s="46">
        <v>6</v>
      </c>
      <c r="G67" s="46">
        <v>8</v>
      </c>
      <c r="H67" s="46">
        <v>12</v>
      </c>
      <c r="I67" s="46">
        <v>4</v>
      </c>
      <c r="J67" s="46">
        <v>2</v>
      </c>
      <c r="K67" s="227"/>
      <c r="L67" s="46" t="s">
        <v>18</v>
      </c>
      <c r="M67" s="46">
        <v>5</v>
      </c>
      <c r="N67" s="46">
        <v>3</v>
      </c>
      <c r="O67" s="46">
        <v>1</v>
      </c>
      <c r="P67" s="46">
        <v>6</v>
      </c>
      <c r="Q67" s="46">
        <v>12</v>
      </c>
      <c r="R67" s="46">
        <v>16</v>
      </c>
      <c r="S67" s="46">
        <v>11</v>
      </c>
      <c r="T67" s="69">
        <v>7</v>
      </c>
      <c r="U67" s="59">
        <f t="shared" si="10"/>
        <v>119</v>
      </c>
    </row>
    <row r="68" spans="1:21" ht="18.75" customHeight="1">
      <c r="A68" s="193" t="s">
        <v>8</v>
      </c>
      <c r="B68" s="63" t="s">
        <v>13</v>
      </c>
      <c r="C68" s="63">
        <v>14</v>
      </c>
      <c r="D68" s="63">
        <v>19</v>
      </c>
      <c r="E68" s="63">
        <v>21</v>
      </c>
      <c r="F68" s="63">
        <v>23</v>
      </c>
      <c r="G68" s="63">
        <v>32</v>
      </c>
      <c r="H68" s="63">
        <v>25</v>
      </c>
      <c r="I68" s="63">
        <v>27</v>
      </c>
      <c r="J68" s="63">
        <v>11</v>
      </c>
      <c r="K68" s="194" t="s">
        <v>8</v>
      </c>
      <c r="L68" s="63" t="s">
        <v>13</v>
      </c>
      <c r="M68" s="63">
        <v>6</v>
      </c>
      <c r="N68" s="63">
        <v>11</v>
      </c>
      <c r="O68" s="63">
        <v>9</v>
      </c>
      <c r="P68" s="63">
        <v>21</v>
      </c>
      <c r="Q68" s="63">
        <v>25</v>
      </c>
      <c r="R68" s="63">
        <v>24</v>
      </c>
      <c r="S68" s="63">
        <v>25</v>
      </c>
      <c r="T68" s="68">
        <v>14</v>
      </c>
      <c r="U68" s="59">
        <f t="shared" si="10"/>
        <v>307</v>
      </c>
    </row>
    <row r="69" spans="1:21" ht="18.75" customHeight="1">
      <c r="A69" s="230"/>
      <c r="B69" s="6" t="s">
        <v>14</v>
      </c>
      <c r="C69" s="6">
        <v>4</v>
      </c>
      <c r="D69" s="6">
        <v>4</v>
      </c>
      <c r="E69" s="6">
        <v>8</v>
      </c>
      <c r="F69" s="6">
        <v>10</v>
      </c>
      <c r="G69" s="6">
        <v>10</v>
      </c>
      <c r="H69" s="6">
        <v>11</v>
      </c>
      <c r="I69" s="6">
        <v>15</v>
      </c>
      <c r="J69" s="6">
        <v>11</v>
      </c>
      <c r="K69" s="227"/>
      <c r="L69" s="6" t="s">
        <v>14</v>
      </c>
      <c r="M69" s="6">
        <v>5</v>
      </c>
      <c r="N69" s="6">
        <v>3</v>
      </c>
      <c r="O69" s="6">
        <v>11</v>
      </c>
      <c r="P69" s="6">
        <v>8</v>
      </c>
      <c r="Q69" s="6">
        <v>7</v>
      </c>
      <c r="R69" s="6">
        <v>2</v>
      </c>
      <c r="S69" s="6">
        <v>1</v>
      </c>
      <c r="T69" s="51">
        <v>2</v>
      </c>
      <c r="U69" s="59">
        <f t="shared" si="10"/>
        <v>112</v>
      </c>
    </row>
    <row r="70" spans="1:21" ht="18.75" customHeight="1">
      <c r="A70" s="230"/>
      <c r="B70" s="6" t="s">
        <v>15</v>
      </c>
      <c r="C70" s="6">
        <v>15</v>
      </c>
      <c r="D70" s="6">
        <v>20</v>
      </c>
      <c r="E70" s="6">
        <v>25</v>
      </c>
      <c r="F70" s="6">
        <v>20</v>
      </c>
      <c r="G70" s="6">
        <v>8</v>
      </c>
      <c r="H70" s="6">
        <v>27</v>
      </c>
      <c r="I70" s="6">
        <v>26</v>
      </c>
      <c r="J70" s="6">
        <v>16</v>
      </c>
      <c r="K70" s="227"/>
      <c r="L70" s="6" t="s">
        <v>15</v>
      </c>
      <c r="M70" s="6">
        <v>13</v>
      </c>
      <c r="N70" s="6">
        <v>9</v>
      </c>
      <c r="O70" s="6">
        <v>16</v>
      </c>
      <c r="P70" s="6">
        <v>20</v>
      </c>
      <c r="Q70" s="6">
        <v>33</v>
      </c>
      <c r="R70" s="6">
        <v>22</v>
      </c>
      <c r="S70" s="6">
        <v>27</v>
      </c>
      <c r="T70" s="51">
        <v>21</v>
      </c>
      <c r="U70" s="59">
        <f t="shared" si="10"/>
        <v>318</v>
      </c>
    </row>
    <row r="71" spans="1:21" ht="18.75" customHeight="1">
      <c r="A71" s="230"/>
      <c r="B71" s="6" t="s">
        <v>16</v>
      </c>
      <c r="C71" s="6">
        <v>2</v>
      </c>
      <c r="D71" s="6">
        <v>7</v>
      </c>
      <c r="E71" s="6">
        <v>3</v>
      </c>
      <c r="F71" s="6">
        <v>4</v>
      </c>
      <c r="G71" s="6">
        <v>13</v>
      </c>
      <c r="H71" s="6">
        <v>0</v>
      </c>
      <c r="I71" s="6">
        <v>10</v>
      </c>
      <c r="J71" s="6">
        <v>6</v>
      </c>
      <c r="K71" s="227"/>
      <c r="L71" s="6" t="s">
        <v>16</v>
      </c>
      <c r="M71" s="6">
        <v>1</v>
      </c>
      <c r="N71" s="6">
        <v>5</v>
      </c>
      <c r="O71" s="6">
        <v>6</v>
      </c>
      <c r="P71" s="6">
        <v>2</v>
      </c>
      <c r="Q71" s="6">
        <v>6</v>
      </c>
      <c r="R71" s="6">
        <v>4</v>
      </c>
      <c r="S71" s="6">
        <v>7</v>
      </c>
      <c r="T71" s="51">
        <v>4</v>
      </c>
      <c r="U71" s="59">
        <f t="shared" si="10"/>
        <v>80</v>
      </c>
    </row>
    <row r="72" spans="1:21" ht="18.75" customHeight="1">
      <c r="A72" s="230"/>
      <c r="B72" s="6" t="s">
        <v>17</v>
      </c>
      <c r="C72" s="6">
        <v>6</v>
      </c>
      <c r="D72" s="6">
        <v>7</v>
      </c>
      <c r="E72" s="6">
        <v>6</v>
      </c>
      <c r="F72" s="6">
        <v>7</v>
      </c>
      <c r="G72" s="6">
        <v>8</v>
      </c>
      <c r="H72" s="6">
        <v>9</v>
      </c>
      <c r="I72" s="6">
        <v>6</v>
      </c>
      <c r="J72" s="6">
        <v>6</v>
      </c>
      <c r="K72" s="227"/>
      <c r="L72" s="6" t="s">
        <v>17</v>
      </c>
      <c r="M72" s="6">
        <v>3</v>
      </c>
      <c r="N72" s="6">
        <v>3</v>
      </c>
      <c r="O72" s="6">
        <v>4</v>
      </c>
      <c r="P72" s="6">
        <v>4</v>
      </c>
      <c r="Q72" s="6">
        <v>6</v>
      </c>
      <c r="R72" s="6">
        <v>6</v>
      </c>
      <c r="S72" s="6">
        <v>5</v>
      </c>
      <c r="T72" s="51">
        <v>2</v>
      </c>
      <c r="U72" s="59">
        <f t="shared" si="10"/>
        <v>88</v>
      </c>
    </row>
    <row r="73" spans="1:21" ht="18.75" customHeight="1">
      <c r="A73" s="230"/>
      <c r="B73" s="47" t="s">
        <v>18</v>
      </c>
      <c r="C73" s="47">
        <v>10</v>
      </c>
      <c r="D73" s="47">
        <v>6</v>
      </c>
      <c r="E73" s="47">
        <v>4</v>
      </c>
      <c r="F73" s="47">
        <v>4</v>
      </c>
      <c r="G73" s="47">
        <v>9</v>
      </c>
      <c r="H73" s="47">
        <v>6</v>
      </c>
      <c r="I73" s="47">
        <v>8</v>
      </c>
      <c r="J73" s="47">
        <v>5</v>
      </c>
      <c r="K73" s="227"/>
      <c r="L73" s="47" t="s">
        <v>18</v>
      </c>
      <c r="M73" s="47">
        <v>1</v>
      </c>
      <c r="N73" s="47">
        <v>1</v>
      </c>
      <c r="O73" s="47">
        <v>4</v>
      </c>
      <c r="P73" s="47">
        <v>5</v>
      </c>
      <c r="Q73" s="47">
        <v>5</v>
      </c>
      <c r="R73" s="47">
        <v>12</v>
      </c>
      <c r="S73" s="47">
        <v>11</v>
      </c>
      <c r="T73" s="70">
        <v>5</v>
      </c>
      <c r="U73" s="59">
        <f t="shared" si="10"/>
        <v>96</v>
      </c>
    </row>
    <row r="74" spans="1:21" ht="18.75" customHeight="1">
      <c r="A74" s="195" t="s">
        <v>9</v>
      </c>
      <c r="B74" s="56" t="s">
        <v>13</v>
      </c>
      <c r="C74" s="56">
        <v>17</v>
      </c>
      <c r="D74" s="56">
        <v>22</v>
      </c>
      <c r="E74" s="56">
        <v>20</v>
      </c>
      <c r="F74" s="56">
        <v>17</v>
      </c>
      <c r="G74" s="56">
        <v>31</v>
      </c>
      <c r="H74" s="56">
        <v>37</v>
      </c>
      <c r="I74" s="56">
        <v>20</v>
      </c>
      <c r="J74" s="56">
        <v>21</v>
      </c>
      <c r="K74" s="196" t="s">
        <v>9</v>
      </c>
      <c r="L74" s="56" t="s">
        <v>13</v>
      </c>
      <c r="M74" s="56">
        <v>14</v>
      </c>
      <c r="N74" s="56">
        <v>16</v>
      </c>
      <c r="O74" s="56">
        <v>20</v>
      </c>
      <c r="P74" s="56">
        <v>17</v>
      </c>
      <c r="Q74" s="56">
        <v>12</v>
      </c>
      <c r="R74" s="56">
        <v>16</v>
      </c>
      <c r="S74" s="56">
        <v>21</v>
      </c>
      <c r="T74" s="67">
        <v>8</v>
      </c>
      <c r="U74" s="59">
        <f t="shared" si="10"/>
        <v>309</v>
      </c>
    </row>
    <row r="75" spans="1:21" ht="18.75" customHeight="1">
      <c r="A75" s="230"/>
      <c r="B75" s="4" t="s">
        <v>14</v>
      </c>
      <c r="C75" s="4">
        <v>12</v>
      </c>
      <c r="D75" s="4">
        <v>7</v>
      </c>
      <c r="E75" s="4">
        <v>14</v>
      </c>
      <c r="F75" s="4">
        <v>13</v>
      </c>
      <c r="G75" s="4">
        <v>14</v>
      </c>
      <c r="H75" s="4">
        <v>19</v>
      </c>
      <c r="I75" s="4">
        <v>11</v>
      </c>
      <c r="J75" s="4">
        <v>11</v>
      </c>
      <c r="K75" s="227"/>
      <c r="L75" s="4" t="s">
        <v>14</v>
      </c>
      <c r="M75" s="4">
        <v>6</v>
      </c>
      <c r="N75" s="4">
        <v>4</v>
      </c>
      <c r="O75" s="4">
        <v>5</v>
      </c>
      <c r="P75" s="4">
        <v>7</v>
      </c>
      <c r="Q75" s="4">
        <v>1</v>
      </c>
      <c r="R75" s="4">
        <v>6</v>
      </c>
      <c r="S75" s="4">
        <v>5</v>
      </c>
      <c r="T75" s="50">
        <v>2</v>
      </c>
      <c r="U75" s="59">
        <f t="shared" si="10"/>
        <v>137</v>
      </c>
    </row>
    <row r="76" spans="1:21" ht="18.75" customHeight="1">
      <c r="A76" s="230"/>
      <c r="B76" s="4" t="s">
        <v>15</v>
      </c>
      <c r="C76" s="4">
        <v>22</v>
      </c>
      <c r="D76" s="4">
        <v>14</v>
      </c>
      <c r="E76" s="4">
        <v>16</v>
      </c>
      <c r="F76" s="4">
        <v>22</v>
      </c>
      <c r="G76" s="4">
        <v>24</v>
      </c>
      <c r="H76" s="4">
        <v>30</v>
      </c>
      <c r="I76" s="4">
        <v>16</v>
      </c>
      <c r="J76" s="4">
        <v>18</v>
      </c>
      <c r="K76" s="227"/>
      <c r="L76" s="4" t="s">
        <v>15</v>
      </c>
      <c r="M76" s="4">
        <v>13</v>
      </c>
      <c r="N76" s="4">
        <v>20</v>
      </c>
      <c r="O76" s="4">
        <v>21</v>
      </c>
      <c r="P76" s="4">
        <v>22</v>
      </c>
      <c r="Q76" s="4">
        <v>15</v>
      </c>
      <c r="R76" s="4">
        <v>18</v>
      </c>
      <c r="S76" s="4">
        <v>22</v>
      </c>
      <c r="T76" s="50">
        <v>19</v>
      </c>
      <c r="U76" s="59">
        <f t="shared" si="10"/>
        <v>312</v>
      </c>
    </row>
    <row r="77" spans="1:21" ht="18.75" customHeight="1">
      <c r="A77" s="230"/>
      <c r="B77" s="4" t="s">
        <v>16</v>
      </c>
      <c r="C77" s="4">
        <v>2</v>
      </c>
      <c r="D77" s="4">
        <v>4</v>
      </c>
      <c r="E77" s="4">
        <v>8</v>
      </c>
      <c r="F77" s="4">
        <v>6</v>
      </c>
      <c r="G77" s="4">
        <v>9</v>
      </c>
      <c r="H77" s="4">
        <v>9</v>
      </c>
      <c r="I77" s="4">
        <v>10</v>
      </c>
      <c r="J77" s="4">
        <v>6</v>
      </c>
      <c r="K77" s="227"/>
      <c r="L77" s="4" t="s">
        <v>16</v>
      </c>
      <c r="M77" s="4">
        <v>6</v>
      </c>
      <c r="N77" s="4">
        <v>2</v>
      </c>
      <c r="O77" s="4">
        <v>6</v>
      </c>
      <c r="P77" s="4">
        <v>3</v>
      </c>
      <c r="Q77" s="4">
        <v>1</v>
      </c>
      <c r="R77" s="4">
        <v>2</v>
      </c>
      <c r="S77" s="4">
        <v>1</v>
      </c>
      <c r="T77" s="50">
        <v>2</v>
      </c>
      <c r="U77" s="59">
        <f t="shared" si="10"/>
        <v>77</v>
      </c>
    </row>
    <row r="78" spans="1:21" ht="18.75" customHeight="1">
      <c r="A78" s="230"/>
      <c r="B78" s="4" t="s">
        <v>17</v>
      </c>
      <c r="C78" s="4">
        <v>12</v>
      </c>
      <c r="D78" s="4">
        <v>6</v>
      </c>
      <c r="E78" s="4">
        <v>8</v>
      </c>
      <c r="F78" s="4">
        <v>8</v>
      </c>
      <c r="G78" s="4">
        <v>7</v>
      </c>
      <c r="H78" s="4">
        <v>7</v>
      </c>
      <c r="I78" s="4">
        <v>7</v>
      </c>
      <c r="J78" s="4">
        <v>4</v>
      </c>
      <c r="K78" s="227"/>
      <c r="L78" s="4" t="s">
        <v>17</v>
      </c>
      <c r="M78" s="4">
        <v>1</v>
      </c>
      <c r="N78" s="4">
        <v>3</v>
      </c>
      <c r="O78" s="4">
        <v>5</v>
      </c>
      <c r="P78" s="4">
        <v>5</v>
      </c>
      <c r="Q78" s="4">
        <v>3</v>
      </c>
      <c r="R78" s="4">
        <v>5</v>
      </c>
      <c r="S78" s="4">
        <v>6</v>
      </c>
      <c r="T78" s="50">
        <v>7</v>
      </c>
      <c r="U78" s="59">
        <f t="shared" si="10"/>
        <v>94</v>
      </c>
    </row>
    <row r="79" spans="1:21" ht="18.75" customHeight="1">
      <c r="A79" s="230"/>
      <c r="B79" s="46" t="s">
        <v>18</v>
      </c>
      <c r="C79" s="46">
        <v>13</v>
      </c>
      <c r="D79" s="46">
        <v>10</v>
      </c>
      <c r="E79" s="46">
        <v>2</v>
      </c>
      <c r="F79" s="46">
        <v>3</v>
      </c>
      <c r="G79" s="46">
        <v>9</v>
      </c>
      <c r="H79" s="46">
        <v>8</v>
      </c>
      <c r="I79" s="46">
        <v>13</v>
      </c>
      <c r="J79" s="46">
        <v>4</v>
      </c>
      <c r="K79" s="227"/>
      <c r="L79" s="46" t="s">
        <v>18</v>
      </c>
      <c r="M79" s="46">
        <v>3</v>
      </c>
      <c r="N79" s="46">
        <v>4</v>
      </c>
      <c r="O79" s="46">
        <v>4</v>
      </c>
      <c r="P79" s="46">
        <v>3</v>
      </c>
      <c r="Q79" s="46">
        <v>6</v>
      </c>
      <c r="R79" s="46">
        <v>3</v>
      </c>
      <c r="S79" s="46">
        <v>4</v>
      </c>
      <c r="T79" s="69">
        <v>6</v>
      </c>
      <c r="U79" s="59">
        <f t="shared" si="10"/>
        <v>95</v>
      </c>
    </row>
    <row r="80" spans="1:21" ht="18.75" customHeight="1">
      <c r="A80" s="193" t="s">
        <v>10</v>
      </c>
      <c r="B80" s="63" t="s">
        <v>13</v>
      </c>
      <c r="C80" s="159">
        <v>25</v>
      </c>
      <c r="D80" s="159">
        <v>15</v>
      </c>
      <c r="E80" s="159">
        <v>16</v>
      </c>
      <c r="F80" s="159">
        <v>21</v>
      </c>
      <c r="G80" s="159">
        <v>33</v>
      </c>
      <c r="H80" s="159">
        <v>29</v>
      </c>
      <c r="I80" s="159">
        <v>28</v>
      </c>
      <c r="J80" s="159">
        <v>13</v>
      </c>
      <c r="K80" s="194" t="s">
        <v>10</v>
      </c>
      <c r="L80" s="63" t="s">
        <v>13</v>
      </c>
      <c r="M80" s="121">
        <v>15</v>
      </c>
      <c r="N80" s="121">
        <v>16</v>
      </c>
      <c r="O80" s="121">
        <v>9</v>
      </c>
      <c r="P80" s="121">
        <v>16</v>
      </c>
      <c r="Q80" s="121">
        <v>10</v>
      </c>
      <c r="R80" s="121">
        <v>22</v>
      </c>
      <c r="S80" s="121">
        <v>13</v>
      </c>
      <c r="T80" s="124">
        <v>14</v>
      </c>
      <c r="U80" s="59">
        <f t="shared" si="10"/>
        <v>295</v>
      </c>
    </row>
    <row r="81" spans="1:40" ht="18.75" customHeight="1">
      <c r="A81" s="230"/>
      <c r="B81" s="6" t="s">
        <v>14</v>
      </c>
      <c r="C81" s="160">
        <v>9</v>
      </c>
      <c r="D81" s="160">
        <v>6</v>
      </c>
      <c r="E81" s="160">
        <v>5</v>
      </c>
      <c r="F81" s="160">
        <v>13</v>
      </c>
      <c r="G81" s="160">
        <v>12</v>
      </c>
      <c r="H81" s="160">
        <v>15</v>
      </c>
      <c r="I81" s="160">
        <v>12</v>
      </c>
      <c r="J81" s="160">
        <v>5</v>
      </c>
      <c r="K81" s="227"/>
      <c r="L81" s="6" t="s">
        <v>14</v>
      </c>
      <c r="M81" s="122">
        <v>4</v>
      </c>
      <c r="N81" s="122">
        <v>4</v>
      </c>
      <c r="O81" s="122">
        <v>6</v>
      </c>
      <c r="P81" s="122">
        <v>7</v>
      </c>
      <c r="Q81" s="122">
        <v>6</v>
      </c>
      <c r="R81" s="122">
        <v>5</v>
      </c>
      <c r="S81" s="122">
        <v>5</v>
      </c>
      <c r="T81" s="125">
        <v>4</v>
      </c>
      <c r="U81" s="59">
        <f t="shared" si="10"/>
        <v>118</v>
      </c>
    </row>
    <row r="82" spans="1:40" ht="18.75" customHeight="1">
      <c r="A82" s="230"/>
      <c r="B82" s="6" t="s">
        <v>15</v>
      </c>
      <c r="C82" s="160">
        <v>18</v>
      </c>
      <c r="D82" s="160">
        <v>13</v>
      </c>
      <c r="E82" s="160">
        <v>17</v>
      </c>
      <c r="F82" s="160">
        <v>11</v>
      </c>
      <c r="G82" s="160">
        <v>15</v>
      </c>
      <c r="H82" s="160">
        <v>27</v>
      </c>
      <c r="I82" s="160">
        <v>20</v>
      </c>
      <c r="J82" s="160">
        <v>13</v>
      </c>
      <c r="K82" s="227"/>
      <c r="L82" s="6" t="s">
        <v>15</v>
      </c>
      <c r="M82" s="122">
        <v>7</v>
      </c>
      <c r="N82" s="122">
        <v>11</v>
      </c>
      <c r="O82" s="122">
        <v>13</v>
      </c>
      <c r="P82" s="122">
        <v>20</v>
      </c>
      <c r="Q82" s="122">
        <v>22</v>
      </c>
      <c r="R82" s="122">
        <v>16</v>
      </c>
      <c r="S82" s="122">
        <v>22</v>
      </c>
      <c r="T82" s="125">
        <v>22</v>
      </c>
      <c r="U82" s="59">
        <f t="shared" si="10"/>
        <v>267</v>
      </c>
    </row>
    <row r="83" spans="1:40" ht="18.75" customHeight="1">
      <c r="A83" s="230"/>
      <c r="B83" s="6" t="s">
        <v>16</v>
      </c>
      <c r="C83" s="160">
        <v>4</v>
      </c>
      <c r="D83" s="160">
        <v>5</v>
      </c>
      <c r="E83" s="160">
        <v>7</v>
      </c>
      <c r="F83" s="160">
        <v>8</v>
      </c>
      <c r="G83" s="160">
        <v>12</v>
      </c>
      <c r="H83" s="160">
        <v>7</v>
      </c>
      <c r="I83" s="160">
        <v>5</v>
      </c>
      <c r="J83" s="160">
        <v>4</v>
      </c>
      <c r="K83" s="227"/>
      <c r="L83" s="6" t="s">
        <v>16</v>
      </c>
      <c r="M83" s="122">
        <v>2</v>
      </c>
      <c r="N83" s="122">
        <v>4</v>
      </c>
      <c r="O83" s="122">
        <v>6</v>
      </c>
      <c r="P83" s="122">
        <v>2</v>
      </c>
      <c r="Q83" s="122">
        <v>2</v>
      </c>
      <c r="R83" s="122">
        <v>1</v>
      </c>
      <c r="S83" s="122">
        <v>2</v>
      </c>
      <c r="T83" s="125">
        <v>3</v>
      </c>
      <c r="U83" s="59">
        <f t="shared" si="10"/>
        <v>74</v>
      </c>
    </row>
    <row r="84" spans="1:40" ht="18.75" customHeight="1">
      <c r="A84" s="230"/>
      <c r="B84" s="6" t="s">
        <v>17</v>
      </c>
      <c r="C84" s="160">
        <v>5</v>
      </c>
      <c r="D84" s="160">
        <v>4</v>
      </c>
      <c r="E84" s="160">
        <v>6</v>
      </c>
      <c r="F84" s="160">
        <v>7</v>
      </c>
      <c r="G84" s="160">
        <v>9</v>
      </c>
      <c r="H84" s="160">
        <v>8</v>
      </c>
      <c r="I84" s="160">
        <v>4</v>
      </c>
      <c r="J84" s="160">
        <v>3</v>
      </c>
      <c r="K84" s="227"/>
      <c r="L84" s="6" t="s">
        <v>17</v>
      </c>
      <c r="M84" s="122">
        <v>4</v>
      </c>
      <c r="N84" s="122">
        <v>4</v>
      </c>
      <c r="O84" s="122">
        <v>2</v>
      </c>
      <c r="P84" s="122">
        <v>4</v>
      </c>
      <c r="Q84" s="122">
        <v>6</v>
      </c>
      <c r="R84" s="122">
        <v>9</v>
      </c>
      <c r="S84" s="122">
        <v>6</v>
      </c>
      <c r="T84" s="125">
        <v>4</v>
      </c>
      <c r="U84" s="59">
        <f t="shared" si="10"/>
        <v>85</v>
      </c>
    </row>
    <row r="85" spans="1:40" ht="18.75" customHeight="1">
      <c r="A85" s="230"/>
      <c r="B85" s="47" t="s">
        <v>18</v>
      </c>
      <c r="C85" s="161">
        <v>16</v>
      </c>
      <c r="D85" s="161">
        <v>7</v>
      </c>
      <c r="E85" s="161">
        <v>8</v>
      </c>
      <c r="F85" s="161">
        <v>6</v>
      </c>
      <c r="G85" s="161">
        <v>8</v>
      </c>
      <c r="H85" s="161">
        <v>3</v>
      </c>
      <c r="I85" s="161">
        <v>3</v>
      </c>
      <c r="J85" s="161">
        <v>4</v>
      </c>
      <c r="K85" s="227"/>
      <c r="L85" s="47" t="s">
        <v>18</v>
      </c>
      <c r="M85" s="123">
        <v>2</v>
      </c>
      <c r="N85" s="123">
        <v>3</v>
      </c>
      <c r="O85" s="123">
        <v>3</v>
      </c>
      <c r="P85" s="123">
        <v>3</v>
      </c>
      <c r="Q85" s="123">
        <v>6</v>
      </c>
      <c r="R85" s="123">
        <v>10</v>
      </c>
      <c r="S85" s="123">
        <v>13</v>
      </c>
      <c r="T85" s="126">
        <v>6</v>
      </c>
      <c r="U85" s="59">
        <f t="shared" si="10"/>
        <v>101</v>
      </c>
    </row>
    <row r="86" spans="1:40" ht="18.75" customHeight="1">
      <c r="A86" s="195" t="s">
        <v>11</v>
      </c>
      <c r="B86" s="56" t="s">
        <v>13</v>
      </c>
      <c r="C86" s="127">
        <v>6</v>
      </c>
      <c r="D86" s="127">
        <v>17</v>
      </c>
      <c r="E86" s="127">
        <v>19</v>
      </c>
      <c r="F86" s="127">
        <v>20</v>
      </c>
      <c r="G86" s="127">
        <v>33</v>
      </c>
      <c r="H86" s="127">
        <v>35</v>
      </c>
      <c r="I86" s="127">
        <v>18</v>
      </c>
      <c r="J86" s="127">
        <v>14</v>
      </c>
      <c r="K86" s="196" t="s">
        <v>11</v>
      </c>
      <c r="L86" s="56" t="s">
        <v>13</v>
      </c>
      <c r="M86" s="127">
        <v>11</v>
      </c>
      <c r="N86" s="127">
        <v>6</v>
      </c>
      <c r="O86" s="127">
        <v>8</v>
      </c>
      <c r="P86" s="127">
        <v>15</v>
      </c>
      <c r="Q86" s="127">
        <v>8</v>
      </c>
      <c r="R86" s="127">
        <v>13</v>
      </c>
      <c r="S86" s="127">
        <v>14</v>
      </c>
      <c r="T86" s="130">
        <v>11</v>
      </c>
      <c r="U86" s="59">
        <f t="shared" si="10"/>
        <v>248</v>
      </c>
    </row>
    <row r="87" spans="1:40" ht="18.75" customHeight="1">
      <c r="A87" s="230"/>
      <c r="B87" s="4" t="s">
        <v>14</v>
      </c>
      <c r="C87" s="128">
        <v>8</v>
      </c>
      <c r="D87" s="128">
        <v>9</v>
      </c>
      <c r="E87" s="128">
        <v>2</v>
      </c>
      <c r="F87" s="128">
        <v>15</v>
      </c>
      <c r="G87" s="128">
        <v>15</v>
      </c>
      <c r="H87" s="128">
        <v>14</v>
      </c>
      <c r="I87" s="128">
        <v>24</v>
      </c>
      <c r="J87" s="128">
        <v>20</v>
      </c>
      <c r="K87" s="227"/>
      <c r="L87" s="4" t="s">
        <v>14</v>
      </c>
      <c r="M87" s="128">
        <v>7</v>
      </c>
      <c r="N87" s="128">
        <v>7</v>
      </c>
      <c r="O87" s="128">
        <v>3</v>
      </c>
      <c r="P87" s="128">
        <v>1</v>
      </c>
      <c r="Q87" s="128">
        <v>6</v>
      </c>
      <c r="R87" s="128">
        <v>7</v>
      </c>
      <c r="S87" s="128">
        <v>0</v>
      </c>
      <c r="T87" s="131">
        <v>6</v>
      </c>
      <c r="U87" s="59">
        <f t="shared" si="10"/>
        <v>144</v>
      </c>
    </row>
    <row r="88" spans="1:40" ht="18.75" customHeight="1">
      <c r="A88" s="230"/>
      <c r="B88" s="4" t="s">
        <v>15</v>
      </c>
      <c r="C88" s="128">
        <v>9</v>
      </c>
      <c r="D88" s="128">
        <v>8</v>
      </c>
      <c r="E88" s="128">
        <v>14</v>
      </c>
      <c r="F88" s="128">
        <v>16</v>
      </c>
      <c r="G88" s="128">
        <v>25</v>
      </c>
      <c r="H88" s="128">
        <v>21</v>
      </c>
      <c r="I88" s="128">
        <v>17</v>
      </c>
      <c r="J88" s="128">
        <v>12</v>
      </c>
      <c r="K88" s="227"/>
      <c r="L88" s="4" t="s">
        <v>15</v>
      </c>
      <c r="M88" s="128">
        <v>15</v>
      </c>
      <c r="N88" s="128">
        <v>12</v>
      </c>
      <c r="O88" s="128">
        <v>13</v>
      </c>
      <c r="P88" s="128">
        <v>11</v>
      </c>
      <c r="Q88" s="128">
        <v>15</v>
      </c>
      <c r="R88" s="128">
        <v>12</v>
      </c>
      <c r="S88" s="128">
        <v>11</v>
      </c>
      <c r="T88" s="131">
        <v>2</v>
      </c>
      <c r="U88" s="59">
        <f t="shared" si="10"/>
        <v>213</v>
      </c>
    </row>
    <row r="89" spans="1:40" ht="18.75" customHeight="1">
      <c r="A89" s="230"/>
      <c r="B89" s="4" t="s">
        <v>16</v>
      </c>
      <c r="C89" s="128">
        <v>0</v>
      </c>
      <c r="D89" s="128">
        <v>2</v>
      </c>
      <c r="E89" s="128">
        <v>3</v>
      </c>
      <c r="F89" s="128">
        <v>9</v>
      </c>
      <c r="G89" s="128">
        <v>3</v>
      </c>
      <c r="H89" s="128">
        <v>12</v>
      </c>
      <c r="I89" s="128">
        <v>7</v>
      </c>
      <c r="J89" s="128">
        <v>4</v>
      </c>
      <c r="K89" s="227"/>
      <c r="L89" s="4" t="s">
        <v>16</v>
      </c>
      <c r="M89" s="128">
        <v>0</v>
      </c>
      <c r="N89" s="128">
        <v>2</v>
      </c>
      <c r="O89" s="128">
        <v>2</v>
      </c>
      <c r="P89" s="128">
        <v>0</v>
      </c>
      <c r="Q89" s="128">
        <v>0</v>
      </c>
      <c r="R89" s="128">
        <v>0</v>
      </c>
      <c r="S89" s="128">
        <v>0</v>
      </c>
      <c r="T89" s="131">
        <v>1</v>
      </c>
      <c r="U89" s="59">
        <f t="shared" si="10"/>
        <v>45</v>
      </c>
    </row>
    <row r="90" spans="1:40" ht="15.75" customHeight="1">
      <c r="A90" s="230"/>
      <c r="B90" s="4" t="s">
        <v>17</v>
      </c>
      <c r="C90" s="128">
        <v>1</v>
      </c>
      <c r="D90" s="128">
        <v>5</v>
      </c>
      <c r="E90" s="128">
        <v>5</v>
      </c>
      <c r="F90" s="128">
        <v>7</v>
      </c>
      <c r="G90" s="128">
        <v>5</v>
      </c>
      <c r="H90" s="128">
        <v>10</v>
      </c>
      <c r="I90" s="128">
        <v>7</v>
      </c>
      <c r="J90" s="128">
        <v>4</v>
      </c>
      <c r="K90" s="227"/>
      <c r="L90" s="4" t="s">
        <v>17</v>
      </c>
      <c r="M90" s="128">
        <v>4</v>
      </c>
      <c r="N90" s="128">
        <v>3</v>
      </c>
      <c r="O90" s="128">
        <v>3</v>
      </c>
      <c r="P90" s="128">
        <v>6</v>
      </c>
      <c r="Q90" s="128">
        <v>5</v>
      </c>
      <c r="R90" s="128">
        <v>4</v>
      </c>
      <c r="S90" s="128">
        <v>1</v>
      </c>
      <c r="T90" s="131">
        <v>6</v>
      </c>
      <c r="U90" s="59">
        <f t="shared" si="10"/>
        <v>76</v>
      </c>
    </row>
    <row r="91" spans="1:40" ht="15.75" customHeight="1">
      <c r="A91" s="231"/>
      <c r="B91" s="61" t="s">
        <v>18</v>
      </c>
      <c r="C91" s="129">
        <v>3</v>
      </c>
      <c r="D91" s="129">
        <v>3</v>
      </c>
      <c r="E91" s="129">
        <v>3</v>
      </c>
      <c r="F91" s="129">
        <v>3</v>
      </c>
      <c r="G91" s="129">
        <v>5</v>
      </c>
      <c r="H91" s="129">
        <v>9</v>
      </c>
      <c r="I91" s="129">
        <v>7</v>
      </c>
      <c r="J91" s="129">
        <v>6</v>
      </c>
      <c r="K91" s="232"/>
      <c r="L91" s="61" t="s">
        <v>18</v>
      </c>
      <c r="M91" s="129">
        <v>6</v>
      </c>
      <c r="N91" s="129">
        <v>4</v>
      </c>
      <c r="O91" s="129">
        <v>1</v>
      </c>
      <c r="P91" s="129">
        <v>5</v>
      </c>
      <c r="Q91" s="129">
        <v>3</v>
      </c>
      <c r="R91" s="129">
        <v>5</v>
      </c>
      <c r="S91" s="129">
        <v>2</v>
      </c>
      <c r="T91" s="132">
        <v>2</v>
      </c>
      <c r="U91" s="59">
        <f t="shared" si="10"/>
        <v>67</v>
      </c>
    </row>
    <row r="93" spans="1:40" ht="15.75" customHeight="1">
      <c r="A93" s="1"/>
      <c r="B93" s="1"/>
      <c r="C93" s="183" t="s">
        <v>0</v>
      </c>
      <c r="D93" s="225"/>
      <c r="E93" s="225"/>
      <c r="F93" s="225"/>
      <c r="G93" s="226"/>
      <c r="H93" s="2"/>
      <c r="I93" s="1"/>
    </row>
    <row r="94" spans="1:40" ht="15.75" customHeight="1">
      <c r="A94" s="1"/>
      <c r="B94" s="183" t="s">
        <v>1</v>
      </c>
      <c r="C94" s="225"/>
      <c r="D94" s="226"/>
      <c r="E94" s="1"/>
      <c r="F94" s="184" t="s">
        <v>109</v>
      </c>
      <c r="G94" s="225"/>
      <c r="H94" s="226"/>
      <c r="I94" s="1"/>
      <c r="K94" s="1"/>
      <c r="L94" s="183" t="s">
        <v>26</v>
      </c>
      <c r="M94" s="225"/>
      <c r="N94" s="226"/>
      <c r="O94" s="1"/>
      <c r="P94" s="184" t="s">
        <v>109</v>
      </c>
      <c r="Q94" s="225"/>
      <c r="R94" s="226"/>
      <c r="S94" s="1"/>
    </row>
    <row r="95" spans="1:40" ht="15.75" customHeight="1">
      <c r="A95" s="54" t="s">
        <v>35</v>
      </c>
      <c r="B95" s="54" t="s">
        <v>4</v>
      </c>
      <c r="C95" s="54" t="s">
        <v>12</v>
      </c>
      <c r="D95" s="54" t="s">
        <v>19</v>
      </c>
      <c r="E95" s="54" t="s">
        <v>20</v>
      </c>
      <c r="F95" s="54" t="s">
        <v>21</v>
      </c>
      <c r="G95" s="54" t="s">
        <v>22</v>
      </c>
      <c r="H95" s="54" t="s">
        <v>23</v>
      </c>
      <c r="I95" s="54" t="s">
        <v>24</v>
      </c>
      <c r="J95" s="54" t="s">
        <v>25</v>
      </c>
      <c r="K95" s="54" t="s">
        <v>35</v>
      </c>
      <c r="L95" s="54" t="s">
        <v>4</v>
      </c>
      <c r="M95" s="54" t="s">
        <v>27</v>
      </c>
      <c r="N95" s="54" t="s">
        <v>28</v>
      </c>
      <c r="O95" s="54" t="s">
        <v>29</v>
      </c>
      <c r="P95" s="54" t="s">
        <v>30</v>
      </c>
      <c r="Q95" s="54" t="s">
        <v>31</v>
      </c>
      <c r="R95" s="54" t="s">
        <v>32</v>
      </c>
      <c r="S95" s="54" t="s">
        <v>33</v>
      </c>
      <c r="T95" s="54" t="s">
        <v>34</v>
      </c>
      <c r="U95" s="54" t="s">
        <v>55</v>
      </c>
    </row>
    <row r="96" spans="1:40" ht="15.75" customHeight="1">
      <c r="A96" s="195" t="s">
        <v>5</v>
      </c>
      <c r="B96" s="56" t="s">
        <v>13</v>
      </c>
      <c r="C96" s="57"/>
      <c r="D96" s="57"/>
      <c r="E96" s="56">
        <v>16</v>
      </c>
      <c r="F96" s="56">
        <v>18</v>
      </c>
      <c r="G96" s="56">
        <v>15</v>
      </c>
      <c r="H96" s="56">
        <v>24</v>
      </c>
      <c r="I96" s="56">
        <v>19</v>
      </c>
      <c r="J96" s="56">
        <v>14</v>
      </c>
      <c r="K96" s="196" t="s">
        <v>5</v>
      </c>
      <c r="L96" s="56" t="s">
        <v>13</v>
      </c>
      <c r="M96" s="56">
        <v>15</v>
      </c>
      <c r="N96" s="56">
        <v>14</v>
      </c>
      <c r="O96" s="56">
        <v>14</v>
      </c>
      <c r="P96" s="56">
        <v>10</v>
      </c>
      <c r="Q96" s="56">
        <v>8</v>
      </c>
      <c r="R96" s="57"/>
      <c r="S96" s="57"/>
      <c r="T96" s="58"/>
      <c r="U96" s="59">
        <f>SUM(M96:T96,C96:J96)</f>
        <v>167</v>
      </c>
      <c r="W96" s="197" t="s">
        <v>2</v>
      </c>
      <c r="X96" s="198"/>
      <c r="AG96" s="190" t="s">
        <v>58</v>
      </c>
      <c r="AH96" s="191"/>
      <c r="AI96" s="191"/>
      <c r="AJ96" s="191"/>
      <c r="AK96" s="191"/>
      <c r="AL96" s="191"/>
      <c r="AM96" s="191"/>
      <c r="AN96" s="192"/>
    </row>
    <row r="97" spans="1:40" ht="15.75" customHeight="1">
      <c r="A97" s="230"/>
      <c r="B97" s="4" t="s">
        <v>14</v>
      </c>
      <c r="C97" s="5"/>
      <c r="D97" s="5"/>
      <c r="E97" s="4">
        <v>3</v>
      </c>
      <c r="F97" s="4">
        <v>6</v>
      </c>
      <c r="G97" s="4">
        <v>4</v>
      </c>
      <c r="H97" s="4">
        <v>4</v>
      </c>
      <c r="I97" s="4">
        <v>9</v>
      </c>
      <c r="J97" s="4">
        <v>7</v>
      </c>
      <c r="K97" s="227"/>
      <c r="L97" s="4" t="s">
        <v>14</v>
      </c>
      <c r="M97" s="4">
        <v>4</v>
      </c>
      <c r="N97" s="4">
        <v>4</v>
      </c>
      <c r="O97" s="4">
        <v>7</v>
      </c>
      <c r="P97" s="4">
        <v>4</v>
      </c>
      <c r="Q97" s="4">
        <v>1</v>
      </c>
      <c r="R97" s="5"/>
      <c r="S97" s="5"/>
      <c r="T97" s="49"/>
      <c r="U97" s="59">
        <f t="shared" ref="U97:U137" si="18">SUM(M97:T97,C97:J97)</f>
        <v>53</v>
      </c>
      <c r="W97" s="55" t="s">
        <v>5</v>
      </c>
      <c r="X97" s="48">
        <f>SUM(U96:U101)</f>
        <v>615</v>
      </c>
      <c r="AG97" s="98" t="s">
        <v>4</v>
      </c>
      <c r="AH97" s="98" t="s">
        <v>5</v>
      </c>
      <c r="AI97" s="98" t="s">
        <v>6</v>
      </c>
      <c r="AJ97" s="98" t="s">
        <v>7</v>
      </c>
      <c r="AK97" s="98" t="s">
        <v>8</v>
      </c>
      <c r="AL97" s="98" t="s">
        <v>9</v>
      </c>
      <c r="AM97" s="98" t="s">
        <v>10</v>
      </c>
      <c r="AN97" s="98" t="s">
        <v>11</v>
      </c>
    </row>
    <row r="98" spans="1:40" ht="15.75" customHeight="1">
      <c r="A98" s="230"/>
      <c r="B98" s="4" t="s">
        <v>15</v>
      </c>
      <c r="C98" s="5"/>
      <c r="D98" s="5"/>
      <c r="E98" s="4">
        <v>18</v>
      </c>
      <c r="F98" s="4">
        <v>19</v>
      </c>
      <c r="G98" s="4">
        <v>19</v>
      </c>
      <c r="H98" s="4">
        <v>27</v>
      </c>
      <c r="I98" s="4">
        <v>18</v>
      </c>
      <c r="J98" s="4">
        <v>18</v>
      </c>
      <c r="K98" s="227"/>
      <c r="L98" s="4" t="s">
        <v>15</v>
      </c>
      <c r="M98" s="4">
        <v>19</v>
      </c>
      <c r="N98" s="4">
        <v>17</v>
      </c>
      <c r="O98" s="4">
        <v>14</v>
      </c>
      <c r="P98" s="4">
        <v>9</v>
      </c>
      <c r="Q98" s="4">
        <v>13</v>
      </c>
      <c r="R98" s="5"/>
      <c r="S98" s="5"/>
      <c r="T98" s="49"/>
      <c r="U98" s="59">
        <f t="shared" si="18"/>
        <v>191</v>
      </c>
      <c r="W98" s="55" t="s">
        <v>6</v>
      </c>
      <c r="X98" s="48">
        <f>SUM(U102:U107)</f>
        <v>404</v>
      </c>
      <c r="AG98" s="79" t="s">
        <v>13</v>
      </c>
      <c r="AH98" s="79">
        <f t="shared" ref="AH98:AH103" si="19">U96</f>
        <v>167</v>
      </c>
      <c r="AI98" s="79">
        <f t="shared" ref="AI98:AI103" si="20">U102</f>
        <v>128</v>
      </c>
      <c r="AJ98" s="79">
        <f t="shared" ref="AJ98:AJ103" si="21">U108</f>
        <v>313</v>
      </c>
      <c r="AK98" s="79">
        <f t="shared" ref="AK98:AK103" si="22">U114</f>
        <v>250</v>
      </c>
      <c r="AL98" s="79">
        <f t="shared" ref="AL98:AL103" si="23">U120</f>
        <v>296</v>
      </c>
      <c r="AM98" s="79">
        <f t="shared" ref="AM98:AM103" si="24">U126</f>
        <v>226</v>
      </c>
      <c r="AN98" s="79">
        <f t="shared" ref="AN98:AN103" si="25">U132</f>
        <v>217</v>
      </c>
    </row>
    <row r="99" spans="1:40" ht="15.75" customHeight="1">
      <c r="A99" s="230"/>
      <c r="B99" s="4" t="s">
        <v>16</v>
      </c>
      <c r="C99" s="5"/>
      <c r="D99" s="5"/>
      <c r="E99" s="4">
        <v>7</v>
      </c>
      <c r="F99" s="4">
        <v>7</v>
      </c>
      <c r="G99" s="4">
        <v>3</v>
      </c>
      <c r="H99" s="4">
        <v>10</v>
      </c>
      <c r="I99" s="4">
        <v>10</v>
      </c>
      <c r="J99" s="4">
        <v>4</v>
      </c>
      <c r="K99" s="227"/>
      <c r="L99" s="4" t="s">
        <v>16</v>
      </c>
      <c r="M99" s="4">
        <v>7</v>
      </c>
      <c r="N99" s="4">
        <v>5</v>
      </c>
      <c r="O99" s="4">
        <v>4</v>
      </c>
      <c r="P99" s="4">
        <v>1</v>
      </c>
      <c r="Q99" s="4">
        <v>3</v>
      </c>
      <c r="R99" s="5"/>
      <c r="S99" s="5"/>
      <c r="T99" s="49"/>
      <c r="U99" s="59">
        <f t="shared" si="18"/>
        <v>61</v>
      </c>
      <c r="W99" s="55" t="s">
        <v>7</v>
      </c>
      <c r="X99" s="48">
        <f>SUM(U108:U113)</f>
        <v>1156</v>
      </c>
      <c r="AG99" s="97" t="s">
        <v>14</v>
      </c>
      <c r="AH99" s="97">
        <f t="shared" si="19"/>
        <v>53</v>
      </c>
      <c r="AI99" s="97">
        <f t="shared" si="20"/>
        <v>35</v>
      </c>
      <c r="AJ99" s="97">
        <f t="shared" si="21"/>
        <v>164</v>
      </c>
      <c r="AK99" s="97">
        <f t="shared" si="22"/>
        <v>110</v>
      </c>
      <c r="AL99" s="97">
        <f t="shared" si="23"/>
        <v>151</v>
      </c>
      <c r="AM99" s="97">
        <f t="shared" si="24"/>
        <v>109</v>
      </c>
      <c r="AN99" s="97">
        <f t="shared" si="25"/>
        <v>91</v>
      </c>
    </row>
    <row r="100" spans="1:40" ht="15.75" customHeight="1">
      <c r="A100" s="230"/>
      <c r="B100" s="4" t="s">
        <v>17</v>
      </c>
      <c r="C100" s="5"/>
      <c r="D100" s="5"/>
      <c r="E100" s="4">
        <v>9</v>
      </c>
      <c r="F100" s="4">
        <v>7</v>
      </c>
      <c r="G100" s="4">
        <v>8</v>
      </c>
      <c r="H100" s="4">
        <v>18</v>
      </c>
      <c r="I100" s="4">
        <v>10</v>
      </c>
      <c r="J100" s="4">
        <v>5</v>
      </c>
      <c r="K100" s="227"/>
      <c r="L100" s="4" t="s">
        <v>17</v>
      </c>
      <c r="M100" s="4">
        <v>4</v>
      </c>
      <c r="N100" s="4">
        <v>6</v>
      </c>
      <c r="O100" s="4">
        <v>4</v>
      </c>
      <c r="P100" s="4">
        <v>4</v>
      </c>
      <c r="Q100" s="4">
        <v>3</v>
      </c>
      <c r="R100" s="5"/>
      <c r="S100" s="5"/>
      <c r="T100" s="49"/>
      <c r="U100" s="59">
        <f t="shared" si="18"/>
        <v>78</v>
      </c>
      <c r="W100" s="55" t="s">
        <v>61</v>
      </c>
      <c r="X100" s="48">
        <f>SUM(U114:U119)</f>
        <v>879</v>
      </c>
      <c r="AG100" s="79" t="s">
        <v>15</v>
      </c>
      <c r="AH100" s="79">
        <f t="shared" si="19"/>
        <v>191</v>
      </c>
      <c r="AI100" s="79">
        <f t="shared" si="20"/>
        <v>107</v>
      </c>
      <c r="AJ100" s="79">
        <f t="shared" si="21"/>
        <v>348</v>
      </c>
      <c r="AK100" s="79">
        <f t="shared" si="22"/>
        <v>285</v>
      </c>
      <c r="AL100" s="79">
        <f t="shared" si="23"/>
        <v>289</v>
      </c>
      <c r="AM100" s="79">
        <f t="shared" si="24"/>
        <v>258</v>
      </c>
      <c r="AN100" s="79">
        <f t="shared" si="25"/>
        <v>168</v>
      </c>
    </row>
    <row r="101" spans="1:40" ht="15.75" customHeight="1">
      <c r="A101" s="230"/>
      <c r="B101" s="46" t="s">
        <v>18</v>
      </c>
      <c r="C101" s="64"/>
      <c r="D101" s="64"/>
      <c r="E101" s="46">
        <v>13</v>
      </c>
      <c r="F101" s="46">
        <v>6</v>
      </c>
      <c r="G101" s="46">
        <v>11</v>
      </c>
      <c r="H101" s="46">
        <v>5</v>
      </c>
      <c r="I101" s="46">
        <v>8</v>
      </c>
      <c r="J101" s="46">
        <v>1</v>
      </c>
      <c r="K101" s="227"/>
      <c r="L101" s="46" t="s">
        <v>18</v>
      </c>
      <c r="M101" s="46">
        <v>5</v>
      </c>
      <c r="N101" s="46">
        <v>4</v>
      </c>
      <c r="O101" s="46">
        <v>7</v>
      </c>
      <c r="P101" s="46">
        <v>3</v>
      </c>
      <c r="Q101" s="46">
        <v>2</v>
      </c>
      <c r="R101" s="64"/>
      <c r="S101" s="64"/>
      <c r="T101" s="65"/>
      <c r="U101" s="59">
        <f t="shared" si="18"/>
        <v>65</v>
      </c>
      <c r="W101" s="55" t="s">
        <v>9</v>
      </c>
      <c r="X101" s="48">
        <f>SUM(U120:U125)</f>
        <v>1018</v>
      </c>
      <c r="AG101" s="97" t="s">
        <v>16</v>
      </c>
      <c r="AH101" s="97">
        <f t="shared" si="19"/>
        <v>61</v>
      </c>
      <c r="AI101" s="97">
        <f t="shared" si="20"/>
        <v>50</v>
      </c>
      <c r="AJ101" s="97">
        <f t="shared" si="21"/>
        <v>98</v>
      </c>
      <c r="AK101" s="97">
        <f t="shared" si="22"/>
        <v>66</v>
      </c>
      <c r="AL101" s="97">
        <f t="shared" si="23"/>
        <v>84</v>
      </c>
      <c r="AM101" s="97">
        <f t="shared" si="24"/>
        <v>65</v>
      </c>
      <c r="AN101" s="97">
        <f t="shared" si="25"/>
        <v>56</v>
      </c>
    </row>
    <row r="102" spans="1:40" ht="15.75" customHeight="1">
      <c r="A102" s="193" t="s">
        <v>6</v>
      </c>
      <c r="B102" s="63" t="s">
        <v>13</v>
      </c>
      <c r="C102" s="57"/>
      <c r="D102" s="57"/>
      <c r="E102" s="57"/>
      <c r="F102" s="63">
        <v>15</v>
      </c>
      <c r="G102" s="63">
        <v>31</v>
      </c>
      <c r="H102" s="63">
        <v>22</v>
      </c>
      <c r="I102" s="63">
        <v>26</v>
      </c>
      <c r="J102" s="63"/>
      <c r="K102" s="194" t="s">
        <v>6</v>
      </c>
      <c r="L102" s="63" t="s">
        <v>13</v>
      </c>
      <c r="M102" s="63">
        <v>10</v>
      </c>
      <c r="N102" s="63">
        <v>12</v>
      </c>
      <c r="O102" s="63">
        <v>8</v>
      </c>
      <c r="P102" s="63">
        <v>4</v>
      </c>
      <c r="Q102" s="57"/>
      <c r="R102" s="57"/>
      <c r="S102" s="57"/>
      <c r="T102" s="58"/>
      <c r="U102" s="59">
        <f t="shared" si="18"/>
        <v>128</v>
      </c>
      <c r="W102" s="55" t="s">
        <v>10</v>
      </c>
      <c r="X102" s="48">
        <f>SUM(U126:U131)</f>
        <v>823</v>
      </c>
      <c r="AG102" s="79" t="s">
        <v>17</v>
      </c>
      <c r="AH102" s="79">
        <f t="shared" si="19"/>
        <v>78</v>
      </c>
      <c r="AI102" s="79">
        <f t="shared" si="20"/>
        <v>36</v>
      </c>
      <c r="AJ102" s="79">
        <f t="shared" si="21"/>
        <v>118</v>
      </c>
      <c r="AK102" s="79">
        <f t="shared" si="22"/>
        <v>73</v>
      </c>
      <c r="AL102" s="79">
        <f t="shared" si="23"/>
        <v>90</v>
      </c>
      <c r="AM102" s="79">
        <f t="shared" si="24"/>
        <v>80</v>
      </c>
      <c r="AN102" s="79">
        <f t="shared" si="25"/>
        <v>60</v>
      </c>
    </row>
    <row r="103" spans="1:40" ht="15.75" customHeight="1">
      <c r="A103" s="230"/>
      <c r="B103" s="6" t="s">
        <v>14</v>
      </c>
      <c r="C103" s="5"/>
      <c r="D103" s="5"/>
      <c r="E103" s="5"/>
      <c r="F103" s="6">
        <v>6</v>
      </c>
      <c r="G103" s="6">
        <v>6</v>
      </c>
      <c r="H103" s="6">
        <v>10</v>
      </c>
      <c r="I103" s="6">
        <v>5</v>
      </c>
      <c r="J103" s="6"/>
      <c r="K103" s="227"/>
      <c r="L103" s="6" t="s">
        <v>14</v>
      </c>
      <c r="M103" s="6">
        <v>2</v>
      </c>
      <c r="N103" s="6">
        <v>2</v>
      </c>
      <c r="O103" s="6">
        <v>3</v>
      </c>
      <c r="P103" s="6">
        <v>1</v>
      </c>
      <c r="Q103" s="5"/>
      <c r="R103" s="5"/>
      <c r="S103" s="5"/>
      <c r="T103" s="49"/>
      <c r="U103" s="59">
        <f t="shared" si="18"/>
        <v>35</v>
      </c>
      <c r="W103" s="81" t="s">
        <v>11</v>
      </c>
      <c r="X103" s="80">
        <f>SUM(U132:U137)</f>
        <v>683</v>
      </c>
      <c r="AG103" s="97" t="s">
        <v>18</v>
      </c>
      <c r="AH103" s="97">
        <f t="shared" si="19"/>
        <v>65</v>
      </c>
      <c r="AI103" s="97">
        <f t="shared" si="20"/>
        <v>48</v>
      </c>
      <c r="AJ103" s="97">
        <f t="shared" si="21"/>
        <v>115</v>
      </c>
      <c r="AK103" s="97">
        <f t="shared" si="22"/>
        <v>95</v>
      </c>
      <c r="AL103" s="97">
        <f t="shared" si="23"/>
        <v>108</v>
      </c>
      <c r="AM103" s="97">
        <f t="shared" si="24"/>
        <v>85</v>
      </c>
      <c r="AN103" s="97">
        <f t="shared" si="25"/>
        <v>91</v>
      </c>
    </row>
    <row r="104" spans="1:40" ht="15.75" customHeight="1">
      <c r="A104" s="230"/>
      <c r="B104" s="6" t="s">
        <v>15</v>
      </c>
      <c r="C104" s="5"/>
      <c r="D104" s="5"/>
      <c r="E104" s="5"/>
      <c r="F104" s="6">
        <v>13</v>
      </c>
      <c r="G104" s="6">
        <v>20</v>
      </c>
      <c r="H104" s="6">
        <v>23</v>
      </c>
      <c r="I104" s="6">
        <v>25</v>
      </c>
      <c r="J104" s="6"/>
      <c r="K104" s="227"/>
      <c r="L104" s="6" t="s">
        <v>15</v>
      </c>
      <c r="M104" s="6">
        <v>8</v>
      </c>
      <c r="N104" s="6">
        <v>5</v>
      </c>
      <c r="O104" s="6">
        <v>6</v>
      </c>
      <c r="P104" s="6">
        <v>7</v>
      </c>
      <c r="Q104" s="5"/>
      <c r="R104" s="5"/>
      <c r="S104" s="5"/>
      <c r="T104" s="49"/>
      <c r="U104" s="59">
        <f t="shared" si="18"/>
        <v>107</v>
      </c>
      <c r="W104" s="79" t="s">
        <v>63</v>
      </c>
      <c r="X104" s="82">
        <f>SUM(X97:X103)</f>
        <v>5578</v>
      </c>
    </row>
    <row r="105" spans="1:40" ht="15.75" customHeight="1">
      <c r="A105" s="230"/>
      <c r="B105" s="6" t="s">
        <v>16</v>
      </c>
      <c r="C105" s="5"/>
      <c r="D105" s="5"/>
      <c r="E105" s="5"/>
      <c r="F105" s="6">
        <v>10</v>
      </c>
      <c r="G105" s="6">
        <v>11</v>
      </c>
      <c r="H105" s="6">
        <v>6</v>
      </c>
      <c r="I105" s="6">
        <v>9</v>
      </c>
      <c r="J105" s="6"/>
      <c r="K105" s="227"/>
      <c r="L105" s="6" t="s">
        <v>16</v>
      </c>
      <c r="M105" s="6">
        <v>3</v>
      </c>
      <c r="N105" s="6">
        <v>3</v>
      </c>
      <c r="O105" s="6">
        <v>4</v>
      </c>
      <c r="P105" s="6">
        <v>4</v>
      </c>
      <c r="Q105" s="5"/>
      <c r="R105" s="5"/>
      <c r="S105" s="5"/>
      <c r="T105" s="49"/>
      <c r="U105" s="59">
        <f t="shared" si="18"/>
        <v>50</v>
      </c>
    </row>
    <row r="106" spans="1:40" ht="15.75" customHeight="1">
      <c r="A106" s="230"/>
      <c r="B106" s="6" t="s">
        <v>17</v>
      </c>
      <c r="C106" s="5"/>
      <c r="D106" s="5"/>
      <c r="E106" s="5"/>
      <c r="F106" s="6">
        <v>6</v>
      </c>
      <c r="G106" s="6">
        <v>6</v>
      </c>
      <c r="H106" s="6">
        <v>9</v>
      </c>
      <c r="I106" s="6">
        <v>8</v>
      </c>
      <c r="J106" s="6"/>
      <c r="K106" s="227"/>
      <c r="L106" s="6" t="s">
        <v>17</v>
      </c>
      <c r="M106" s="6">
        <v>2</v>
      </c>
      <c r="N106" s="6">
        <v>2</v>
      </c>
      <c r="O106" s="6">
        <v>1</v>
      </c>
      <c r="P106" s="6">
        <v>2</v>
      </c>
      <c r="Q106" s="5"/>
      <c r="R106" s="5"/>
      <c r="S106" s="5"/>
      <c r="T106" s="49"/>
      <c r="U106" s="59">
        <f t="shared" si="18"/>
        <v>36</v>
      </c>
    </row>
    <row r="107" spans="1:40" ht="15.75" customHeight="1">
      <c r="A107" s="230"/>
      <c r="B107" s="47" t="s">
        <v>18</v>
      </c>
      <c r="C107" s="64"/>
      <c r="D107" s="64"/>
      <c r="E107" s="64"/>
      <c r="F107" s="47">
        <v>4</v>
      </c>
      <c r="G107" s="47">
        <v>12</v>
      </c>
      <c r="H107" s="47">
        <v>11</v>
      </c>
      <c r="I107" s="47">
        <v>9</v>
      </c>
      <c r="J107" s="47"/>
      <c r="K107" s="227"/>
      <c r="L107" s="47" t="s">
        <v>18</v>
      </c>
      <c r="M107" s="47">
        <v>3</v>
      </c>
      <c r="N107" s="47">
        <v>3</v>
      </c>
      <c r="O107" s="47">
        <v>2</v>
      </c>
      <c r="P107" s="47">
        <v>4</v>
      </c>
      <c r="Q107" s="64"/>
      <c r="R107" s="64"/>
      <c r="S107" s="64"/>
      <c r="T107" s="65"/>
      <c r="U107" s="59">
        <f t="shared" si="18"/>
        <v>48</v>
      </c>
    </row>
    <row r="108" spans="1:40" ht="15.75" customHeight="1">
      <c r="A108" s="195" t="s">
        <v>7</v>
      </c>
      <c r="B108" s="56" t="s">
        <v>13</v>
      </c>
      <c r="C108" s="56">
        <v>10</v>
      </c>
      <c r="D108" s="56">
        <v>19</v>
      </c>
      <c r="E108" s="56">
        <v>16</v>
      </c>
      <c r="F108" s="56">
        <v>25</v>
      </c>
      <c r="G108" s="56">
        <v>28</v>
      </c>
      <c r="H108" s="56">
        <v>34</v>
      </c>
      <c r="I108" s="56">
        <v>21</v>
      </c>
      <c r="J108" s="56">
        <v>8</v>
      </c>
      <c r="K108" s="196" t="s">
        <v>7</v>
      </c>
      <c r="L108" s="56" t="s">
        <v>13</v>
      </c>
      <c r="M108" s="56">
        <v>12</v>
      </c>
      <c r="N108" s="56">
        <v>12</v>
      </c>
      <c r="O108" s="56">
        <v>13</v>
      </c>
      <c r="P108" s="56">
        <v>23</v>
      </c>
      <c r="Q108" s="56">
        <v>17</v>
      </c>
      <c r="R108" s="56">
        <v>22</v>
      </c>
      <c r="S108" s="56">
        <v>20</v>
      </c>
      <c r="T108" s="67">
        <v>33</v>
      </c>
      <c r="U108" s="59">
        <f t="shared" si="18"/>
        <v>313</v>
      </c>
    </row>
    <row r="109" spans="1:40" ht="15.75" customHeight="1">
      <c r="A109" s="230"/>
      <c r="B109" s="4" t="s">
        <v>14</v>
      </c>
      <c r="C109" s="4">
        <v>9</v>
      </c>
      <c r="D109" s="4">
        <v>9</v>
      </c>
      <c r="E109" s="4">
        <v>8</v>
      </c>
      <c r="F109" s="4">
        <v>13</v>
      </c>
      <c r="G109" s="4">
        <v>11</v>
      </c>
      <c r="H109" s="4">
        <v>19</v>
      </c>
      <c r="I109" s="4">
        <v>13</v>
      </c>
      <c r="J109" s="4">
        <v>9</v>
      </c>
      <c r="K109" s="227"/>
      <c r="L109" s="4" t="s">
        <v>14</v>
      </c>
      <c r="M109" s="4">
        <v>13</v>
      </c>
      <c r="N109" s="4">
        <v>4</v>
      </c>
      <c r="O109" s="4">
        <v>9</v>
      </c>
      <c r="P109" s="4">
        <v>8</v>
      </c>
      <c r="Q109" s="4">
        <v>8</v>
      </c>
      <c r="R109" s="4">
        <v>17</v>
      </c>
      <c r="S109" s="4">
        <v>8</v>
      </c>
      <c r="T109" s="50">
        <v>6</v>
      </c>
      <c r="U109" s="59">
        <f t="shared" si="18"/>
        <v>164</v>
      </c>
    </row>
    <row r="110" spans="1:40" ht="15.75" customHeight="1">
      <c r="A110" s="230"/>
      <c r="B110" s="4" t="s">
        <v>15</v>
      </c>
      <c r="C110" s="4">
        <v>18</v>
      </c>
      <c r="D110" s="4">
        <v>18</v>
      </c>
      <c r="E110" s="4">
        <v>24</v>
      </c>
      <c r="F110" s="4">
        <v>19</v>
      </c>
      <c r="G110" s="4">
        <v>25</v>
      </c>
      <c r="H110" s="4">
        <v>20</v>
      </c>
      <c r="I110" s="4">
        <v>18</v>
      </c>
      <c r="J110" s="4">
        <v>17</v>
      </c>
      <c r="K110" s="227"/>
      <c r="L110" s="4" t="s">
        <v>15</v>
      </c>
      <c r="M110" s="4">
        <v>15</v>
      </c>
      <c r="N110" s="4">
        <v>19</v>
      </c>
      <c r="O110" s="4">
        <v>13</v>
      </c>
      <c r="P110" s="4">
        <v>21</v>
      </c>
      <c r="Q110" s="4">
        <v>44</v>
      </c>
      <c r="R110" s="4">
        <v>33</v>
      </c>
      <c r="S110" s="4">
        <v>28</v>
      </c>
      <c r="T110" s="50">
        <v>16</v>
      </c>
      <c r="U110" s="59">
        <f t="shared" si="18"/>
        <v>348</v>
      </c>
    </row>
    <row r="111" spans="1:40" ht="15.75" customHeight="1">
      <c r="A111" s="230"/>
      <c r="B111" s="4" t="s">
        <v>16</v>
      </c>
      <c r="C111" s="4">
        <v>3</v>
      </c>
      <c r="D111" s="4">
        <v>4</v>
      </c>
      <c r="E111" s="4">
        <v>5</v>
      </c>
      <c r="F111" s="4">
        <v>13</v>
      </c>
      <c r="G111" s="4">
        <v>8</v>
      </c>
      <c r="H111" s="4">
        <v>12</v>
      </c>
      <c r="I111" s="4">
        <v>11</v>
      </c>
      <c r="J111" s="4">
        <v>5</v>
      </c>
      <c r="K111" s="227"/>
      <c r="L111" s="4" t="s">
        <v>16</v>
      </c>
      <c r="M111" s="4">
        <v>1</v>
      </c>
      <c r="N111" s="4">
        <v>4</v>
      </c>
      <c r="O111" s="4">
        <v>4</v>
      </c>
      <c r="P111" s="4">
        <v>3</v>
      </c>
      <c r="Q111" s="4">
        <v>6</v>
      </c>
      <c r="R111" s="4">
        <v>5</v>
      </c>
      <c r="S111" s="4">
        <v>8</v>
      </c>
      <c r="T111" s="50">
        <v>6</v>
      </c>
      <c r="U111" s="59">
        <f t="shared" si="18"/>
        <v>98</v>
      </c>
    </row>
    <row r="112" spans="1:40" ht="15.75" customHeight="1">
      <c r="A112" s="230"/>
      <c r="B112" s="4" t="s">
        <v>17</v>
      </c>
      <c r="C112" s="4">
        <v>5</v>
      </c>
      <c r="D112" s="4">
        <v>8</v>
      </c>
      <c r="E112" s="4">
        <v>3</v>
      </c>
      <c r="F112" s="4">
        <v>6</v>
      </c>
      <c r="G112" s="4">
        <v>7</v>
      </c>
      <c r="H112" s="4">
        <v>22</v>
      </c>
      <c r="I112" s="4">
        <v>10</v>
      </c>
      <c r="J112" s="4">
        <v>10</v>
      </c>
      <c r="K112" s="227"/>
      <c r="L112" s="4" t="s">
        <v>17</v>
      </c>
      <c r="M112" s="4">
        <v>4</v>
      </c>
      <c r="N112" s="4">
        <v>8</v>
      </c>
      <c r="O112" s="4">
        <v>3</v>
      </c>
      <c r="P112" s="4">
        <v>2</v>
      </c>
      <c r="Q112" s="4">
        <v>9</v>
      </c>
      <c r="R112" s="4">
        <v>12</v>
      </c>
      <c r="S112" s="4">
        <v>5</v>
      </c>
      <c r="T112" s="50">
        <v>4</v>
      </c>
      <c r="U112" s="59">
        <f t="shared" si="18"/>
        <v>118</v>
      </c>
    </row>
    <row r="113" spans="1:21" ht="15.75" customHeight="1">
      <c r="A113" s="230"/>
      <c r="B113" s="46" t="s">
        <v>18</v>
      </c>
      <c r="C113" s="46">
        <v>5</v>
      </c>
      <c r="D113" s="46">
        <v>8</v>
      </c>
      <c r="E113" s="46">
        <v>7</v>
      </c>
      <c r="F113" s="46">
        <v>2</v>
      </c>
      <c r="G113" s="46">
        <v>13</v>
      </c>
      <c r="H113" s="46">
        <v>16</v>
      </c>
      <c r="I113" s="46">
        <v>19</v>
      </c>
      <c r="J113" s="46">
        <v>3</v>
      </c>
      <c r="K113" s="227"/>
      <c r="L113" s="46" t="s">
        <v>18</v>
      </c>
      <c r="M113" s="46">
        <v>7</v>
      </c>
      <c r="N113" s="46">
        <v>4</v>
      </c>
      <c r="O113" s="46">
        <v>0</v>
      </c>
      <c r="P113" s="46">
        <v>2</v>
      </c>
      <c r="Q113" s="46">
        <v>11</v>
      </c>
      <c r="R113" s="46">
        <v>8</v>
      </c>
      <c r="S113" s="46">
        <v>5</v>
      </c>
      <c r="T113" s="69">
        <v>5</v>
      </c>
      <c r="U113" s="59">
        <f t="shared" si="18"/>
        <v>115</v>
      </c>
    </row>
    <row r="114" spans="1:21" ht="15.75" customHeight="1">
      <c r="A114" s="193" t="s">
        <v>8</v>
      </c>
      <c r="B114" s="63" t="s">
        <v>13</v>
      </c>
      <c r="C114" s="63">
        <v>14</v>
      </c>
      <c r="D114" s="63">
        <v>13</v>
      </c>
      <c r="E114" s="63">
        <v>15</v>
      </c>
      <c r="F114" s="63">
        <v>21</v>
      </c>
      <c r="G114" s="63">
        <v>28</v>
      </c>
      <c r="H114" s="63">
        <v>25</v>
      </c>
      <c r="I114" s="63">
        <v>13</v>
      </c>
      <c r="J114" s="63">
        <v>8</v>
      </c>
      <c r="K114" s="194" t="s">
        <v>8</v>
      </c>
      <c r="L114" s="63" t="s">
        <v>13</v>
      </c>
      <c r="M114" s="63">
        <v>12</v>
      </c>
      <c r="N114" s="63">
        <v>9</v>
      </c>
      <c r="O114" s="63">
        <v>12</v>
      </c>
      <c r="P114" s="63">
        <v>17</v>
      </c>
      <c r="Q114" s="63">
        <v>16</v>
      </c>
      <c r="R114" s="63">
        <v>22</v>
      </c>
      <c r="S114" s="63">
        <v>16</v>
      </c>
      <c r="T114" s="68">
        <v>9</v>
      </c>
      <c r="U114" s="59">
        <f t="shared" si="18"/>
        <v>250</v>
      </c>
    </row>
    <row r="115" spans="1:21" ht="15.75" customHeight="1">
      <c r="A115" s="230"/>
      <c r="B115" s="6" t="s">
        <v>14</v>
      </c>
      <c r="C115" s="6">
        <v>4</v>
      </c>
      <c r="D115" s="6">
        <v>5</v>
      </c>
      <c r="E115" s="6">
        <v>6</v>
      </c>
      <c r="F115" s="6">
        <v>9</v>
      </c>
      <c r="G115" s="6">
        <v>10</v>
      </c>
      <c r="H115" s="6">
        <v>13</v>
      </c>
      <c r="I115" s="6">
        <v>13</v>
      </c>
      <c r="J115" s="6">
        <v>7</v>
      </c>
      <c r="K115" s="227"/>
      <c r="L115" s="6" t="s">
        <v>14</v>
      </c>
      <c r="M115" s="6">
        <v>6</v>
      </c>
      <c r="N115" s="6">
        <v>9</v>
      </c>
      <c r="O115" s="6">
        <v>2</v>
      </c>
      <c r="P115" s="6">
        <v>6</v>
      </c>
      <c r="Q115" s="6">
        <v>9</v>
      </c>
      <c r="R115" s="6">
        <v>5</v>
      </c>
      <c r="S115" s="6">
        <v>6</v>
      </c>
      <c r="T115" s="51">
        <v>0</v>
      </c>
      <c r="U115" s="59">
        <f t="shared" si="18"/>
        <v>110</v>
      </c>
    </row>
    <row r="116" spans="1:21" ht="15.75" customHeight="1">
      <c r="A116" s="230"/>
      <c r="B116" s="6" t="s">
        <v>15</v>
      </c>
      <c r="C116" s="6">
        <v>15</v>
      </c>
      <c r="D116" s="6">
        <v>20</v>
      </c>
      <c r="E116" s="6">
        <v>14</v>
      </c>
      <c r="F116" s="6">
        <v>16</v>
      </c>
      <c r="G116" s="6">
        <v>20</v>
      </c>
      <c r="H116" s="6">
        <v>14</v>
      </c>
      <c r="I116" s="6">
        <v>15</v>
      </c>
      <c r="J116" s="6">
        <v>15</v>
      </c>
      <c r="K116" s="227"/>
      <c r="L116" s="6" t="s">
        <v>15</v>
      </c>
      <c r="M116" s="6">
        <v>13</v>
      </c>
      <c r="N116" s="6">
        <v>10</v>
      </c>
      <c r="O116" s="6">
        <v>18</v>
      </c>
      <c r="P116" s="6">
        <v>24</v>
      </c>
      <c r="Q116" s="6">
        <v>28</v>
      </c>
      <c r="R116" s="6">
        <v>26</v>
      </c>
      <c r="S116" s="6">
        <v>20</v>
      </c>
      <c r="T116" s="51">
        <v>17</v>
      </c>
      <c r="U116" s="59">
        <f t="shared" si="18"/>
        <v>285</v>
      </c>
    </row>
    <row r="117" spans="1:21" ht="15.75" customHeight="1">
      <c r="A117" s="230"/>
      <c r="B117" s="6" t="s">
        <v>16</v>
      </c>
      <c r="C117" s="6">
        <v>2</v>
      </c>
      <c r="D117" s="6">
        <v>5</v>
      </c>
      <c r="E117" s="6">
        <v>4</v>
      </c>
      <c r="F117" s="6">
        <v>5</v>
      </c>
      <c r="G117" s="6">
        <v>13</v>
      </c>
      <c r="H117" s="6">
        <v>4</v>
      </c>
      <c r="I117" s="6">
        <v>8</v>
      </c>
      <c r="J117" s="6">
        <v>2</v>
      </c>
      <c r="K117" s="227"/>
      <c r="L117" s="6" t="s">
        <v>16</v>
      </c>
      <c r="M117" s="6">
        <v>1</v>
      </c>
      <c r="N117" s="6">
        <v>3</v>
      </c>
      <c r="O117" s="6">
        <v>3</v>
      </c>
      <c r="P117" s="6">
        <v>0</v>
      </c>
      <c r="Q117" s="6">
        <v>4</v>
      </c>
      <c r="R117" s="6">
        <v>5</v>
      </c>
      <c r="S117" s="6">
        <v>3</v>
      </c>
      <c r="T117" s="51">
        <v>4</v>
      </c>
      <c r="U117" s="59">
        <f t="shared" si="18"/>
        <v>66</v>
      </c>
    </row>
    <row r="118" spans="1:21" ht="15.75" customHeight="1">
      <c r="A118" s="230"/>
      <c r="B118" s="6" t="s">
        <v>17</v>
      </c>
      <c r="C118" s="6">
        <v>5</v>
      </c>
      <c r="D118" s="6">
        <v>4</v>
      </c>
      <c r="E118" s="6">
        <v>7</v>
      </c>
      <c r="F118" s="6">
        <v>6</v>
      </c>
      <c r="G118" s="6">
        <v>3</v>
      </c>
      <c r="H118" s="6">
        <v>6</v>
      </c>
      <c r="I118" s="6">
        <v>5</v>
      </c>
      <c r="J118" s="6">
        <v>4</v>
      </c>
      <c r="K118" s="227"/>
      <c r="L118" s="6" t="s">
        <v>17</v>
      </c>
      <c r="M118" s="6">
        <v>5</v>
      </c>
      <c r="N118" s="6">
        <v>4</v>
      </c>
      <c r="O118" s="6">
        <v>4</v>
      </c>
      <c r="P118" s="6">
        <v>6</v>
      </c>
      <c r="Q118" s="6">
        <v>4</v>
      </c>
      <c r="R118" s="6">
        <v>3</v>
      </c>
      <c r="S118" s="6">
        <v>4</v>
      </c>
      <c r="T118" s="51">
        <v>3</v>
      </c>
      <c r="U118" s="59">
        <f t="shared" si="18"/>
        <v>73</v>
      </c>
    </row>
    <row r="119" spans="1:21" ht="15.75" customHeight="1">
      <c r="A119" s="230"/>
      <c r="B119" s="47" t="s">
        <v>18</v>
      </c>
      <c r="C119" s="47">
        <v>13</v>
      </c>
      <c r="D119" s="47">
        <v>8</v>
      </c>
      <c r="E119" s="47">
        <v>7</v>
      </c>
      <c r="F119" s="47">
        <v>3</v>
      </c>
      <c r="G119" s="47">
        <v>8</v>
      </c>
      <c r="H119" s="47">
        <v>8</v>
      </c>
      <c r="I119" s="47">
        <v>5</v>
      </c>
      <c r="J119" s="47">
        <v>3</v>
      </c>
      <c r="K119" s="227"/>
      <c r="L119" s="47" t="s">
        <v>18</v>
      </c>
      <c r="M119" s="47">
        <v>2</v>
      </c>
      <c r="N119" s="47">
        <v>4</v>
      </c>
      <c r="O119" s="47">
        <v>5</v>
      </c>
      <c r="P119" s="47">
        <v>3</v>
      </c>
      <c r="Q119" s="47">
        <v>5</v>
      </c>
      <c r="R119" s="47">
        <v>11</v>
      </c>
      <c r="S119" s="47">
        <v>6</v>
      </c>
      <c r="T119" s="70">
        <v>4</v>
      </c>
      <c r="U119" s="59">
        <f t="shared" si="18"/>
        <v>95</v>
      </c>
    </row>
    <row r="120" spans="1:21" ht="15.75" customHeight="1">
      <c r="A120" s="195" t="s">
        <v>9</v>
      </c>
      <c r="B120" s="56" t="s">
        <v>13</v>
      </c>
      <c r="C120" s="56">
        <v>21</v>
      </c>
      <c r="D120" s="56">
        <v>15</v>
      </c>
      <c r="E120" s="56">
        <v>31</v>
      </c>
      <c r="F120" s="56">
        <v>21</v>
      </c>
      <c r="G120" s="56">
        <v>38</v>
      </c>
      <c r="H120" s="56">
        <v>27</v>
      </c>
      <c r="I120" s="56">
        <v>28</v>
      </c>
      <c r="J120" s="56">
        <v>19</v>
      </c>
      <c r="K120" s="196" t="s">
        <v>9</v>
      </c>
      <c r="L120" s="56" t="s">
        <v>13</v>
      </c>
      <c r="M120" s="56">
        <v>10</v>
      </c>
      <c r="N120" s="56">
        <v>5</v>
      </c>
      <c r="O120" s="56">
        <v>13</v>
      </c>
      <c r="P120" s="56">
        <v>20</v>
      </c>
      <c r="Q120" s="56">
        <v>15</v>
      </c>
      <c r="R120" s="56">
        <v>18</v>
      </c>
      <c r="S120" s="56">
        <v>8</v>
      </c>
      <c r="T120" s="67">
        <v>7</v>
      </c>
      <c r="U120" s="59">
        <f t="shared" si="18"/>
        <v>296</v>
      </c>
    </row>
    <row r="121" spans="1:21" ht="15.75" customHeight="1">
      <c r="A121" s="230"/>
      <c r="B121" s="4" t="s">
        <v>14</v>
      </c>
      <c r="C121" s="4">
        <v>10</v>
      </c>
      <c r="D121" s="4">
        <v>4</v>
      </c>
      <c r="E121" s="4">
        <v>12</v>
      </c>
      <c r="F121" s="4">
        <v>15</v>
      </c>
      <c r="G121" s="4">
        <v>17</v>
      </c>
      <c r="H121" s="4">
        <v>21</v>
      </c>
      <c r="I121" s="4">
        <v>14</v>
      </c>
      <c r="J121" s="4">
        <v>19</v>
      </c>
      <c r="K121" s="227"/>
      <c r="L121" s="4" t="s">
        <v>14</v>
      </c>
      <c r="M121" s="4">
        <v>6</v>
      </c>
      <c r="N121" s="4">
        <v>6</v>
      </c>
      <c r="O121" s="4">
        <v>7</v>
      </c>
      <c r="P121" s="4">
        <v>8</v>
      </c>
      <c r="Q121" s="4">
        <v>6</v>
      </c>
      <c r="R121" s="4">
        <v>2</v>
      </c>
      <c r="S121" s="4">
        <v>2</v>
      </c>
      <c r="T121" s="50">
        <v>2</v>
      </c>
      <c r="U121" s="59">
        <f t="shared" si="18"/>
        <v>151</v>
      </c>
    </row>
    <row r="122" spans="1:21" ht="15.75" customHeight="1">
      <c r="A122" s="230"/>
      <c r="B122" s="4" t="s">
        <v>15</v>
      </c>
      <c r="C122" s="4">
        <v>29</v>
      </c>
      <c r="D122" s="4">
        <v>17</v>
      </c>
      <c r="E122" s="4">
        <v>13</v>
      </c>
      <c r="F122" s="4">
        <v>17</v>
      </c>
      <c r="G122" s="4">
        <v>27</v>
      </c>
      <c r="H122" s="4">
        <v>19</v>
      </c>
      <c r="I122" s="4">
        <v>22</v>
      </c>
      <c r="J122" s="4">
        <v>11</v>
      </c>
      <c r="K122" s="227"/>
      <c r="L122" s="4" t="s">
        <v>15</v>
      </c>
      <c r="M122" s="4">
        <v>13</v>
      </c>
      <c r="N122" s="4">
        <v>12</v>
      </c>
      <c r="O122" s="4">
        <v>17</v>
      </c>
      <c r="P122" s="4">
        <v>21</v>
      </c>
      <c r="Q122" s="4">
        <v>32</v>
      </c>
      <c r="R122" s="4">
        <v>10</v>
      </c>
      <c r="S122" s="4">
        <v>16</v>
      </c>
      <c r="T122" s="50">
        <v>13</v>
      </c>
      <c r="U122" s="59">
        <f t="shared" si="18"/>
        <v>289</v>
      </c>
    </row>
    <row r="123" spans="1:21" ht="15.75" customHeight="1">
      <c r="A123" s="230"/>
      <c r="B123" s="4" t="s">
        <v>16</v>
      </c>
      <c r="C123" s="4">
        <v>3</v>
      </c>
      <c r="D123" s="4">
        <v>6</v>
      </c>
      <c r="E123" s="4">
        <v>4</v>
      </c>
      <c r="F123" s="4">
        <v>8</v>
      </c>
      <c r="G123" s="4">
        <v>3</v>
      </c>
      <c r="H123" s="4">
        <v>19</v>
      </c>
      <c r="I123" s="4">
        <v>3</v>
      </c>
      <c r="J123" s="4">
        <v>2</v>
      </c>
      <c r="K123" s="227"/>
      <c r="L123" s="4" t="s">
        <v>16</v>
      </c>
      <c r="M123" s="4">
        <v>5</v>
      </c>
      <c r="N123" s="4">
        <v>3</v>
      </c>
      <c r="O123" s="4">
        <v>5</v>
      </c>
      <c r="P123" s="4">
        <v>3</v>
      </c>
      <c r="Q123" s="4">
        <v>6</v>
      </c>
      <c r="R123" s="4">
        <v>3</v>
      </c>
      <c r="S123" s="4">
        <v>7</v>
      </c>
      <c r="T123" s="50">
        <v>4</v>
      </c>
      <c r="U123" s="59">
        <f t="shared" si="18"/>
        <v>84</v>
      </c>
    </row>
    <row r="124" spans="1:21" ht="15.75" customHeight="1">
      <c r="A124" s="230"/>
      <c r="B124" s="4" t="s">
        <v>17</v>
      </c>
      <c r="C124" s="4">
        <v>6</v>
      </c>
      <c r="D124" s="4">
        <v>6</v>
      </c>
      <c r="E124" s="4">
        <v>6</v>
      </c>
      <c r="F124" s="4">
        <v>12</v>
      </c>
      <c r="G124" s="4">
        <v>7</v>
      </c>
      <c r="H124" s="4">
        <v>14</v>
      </c>
      <c r="I124" s="4">
        <v>8</v>
      </c>
      <c r="J124" s="4">
        <v>3</v>
      </c>
      <c r="K124" s="227"/>
      <c r="L124" s="4" t="s">
        <v>17</v>
      </c>
      <c r="M124" s="4">
        <v>2</v>
      </c>
      <c r="N124" s="4">
        <v>2</v>
      </c>
      <c r="O124" s="4">
        <v>4</v>
      </c>
      <c r="P124" s="4">
        <v>4</v>
      </c>
      <c r="Q124" s="4">
        <v>7</v>
      </c>
      <c r="R124" s="4">
        <v>4</v>
      </c>
      <c r="S124" s="4">
        <v>1</v>
      </c>
      <c r="T124" s="50">
        <v>4</v>
      </c>
      <c r="U124" s="59">
        <f t="shared" si="18"/>
        <v>90</v>
      </c>
    </row>
    <row r="125" spans="1:21" ht="15.75" customHeight="1">
      <c r="A125" s="230"/>
      <c r="B125" s="46" t="s">
        <v>18</v>
      </c>
      <c r="C125" s="46">
        <v>16</v>
      </c>
      <c r="D125" s="46">
        <v>3</v>
      </c>
      <c r="E125" s="46">
        <v>4</v>
      </c>
      <c r="F125" s="46">
        <v>2</v>
      </c>
      <c r="G125" s="46">
        <v>7</v>
      </c>
      <c r="H125" s="46">
        <v>11</v>
      </c>
      <c r="I125" s="46">
        <v>13</v>
      </c>
      <c r="J125" s="46">
        <v>8</v>
      </c>
      <c r="K125" s="227"/>
      <c r="L125" s="46" t="s">
        <v>18</v>
      </c>
      <c r="M125" s="46">
        <v>3</v>
      </c>
      <c r="N125" s="46">
        <v>6</v>
      </c>
      <c r="O125" s="46">
        <v>8</v>
      </c>
      <c r="P125" s="46">
        <v>8</v>
      </c>
      <c r="Q125" s="46">
        <v>7</v>
      </c>
      <c r="R125" s="46">
        <v>4</v>
      </c>
      <c r="S125" s="46">
        <v>3</v>
      </c>
      <c r="T125" s="69">
        <v>5</v>
      </c>
      <c r="U125" s="59">
        <f t="shared" si="18"/>
        <v>108</v>
      </c>
    </row>
    <row r="126" spans="1:21" ht="15.75" customHeight="1">
      <c r="A126" s="193" t="s">
        <v>10</v>
      </c>
      <c r="B126" s="63" t="s">
        <v>13</v>
      </c>
      <c r="C126" s="99">
        <v>15</v>
      </c>
      <c r="D126" s="99">
        <v>17</v>
      </c>
      <c r="E126" s="99">
        <v>15</v>
      </c>
      <c r="F126" s="99">
        <v>15</v>
      </c>
      <c r="G126" s="99">
        <v>25</v>
      </c>
      <c r="H126" s="99">
        <v>14</v>
      </c>
      <c r="I126" s="99">
        <v>21</v>
      </c>
      <c r="J126" s="99">
        <v>16</v>
      </c>
      <c r="K126" s="194" t="s">
        <v>10</v>
      </c>
      <c r="L126" s="63" t="s">
        <v>13</v>
      </c>
      <c r="M126" s="99">
        <v>8</v>
      </c>
      <c r="N126" s="99">
        <v>8</v>
      </c>
      <c r="O126" s="99">
        <v>8</v>
      </c>
      <c r="P126" s="99">
        <v>17</v>
      </c>
      <c r="Q126" s="99">
        <v>14</v>
      </c>
      <c r="R126" s="99">
        <v>15</v>
      </c>
      <c r="S126" s="99">
        <v>9</v>
      </c>
      <c r="T126" s="99">
        <v>9</v>
      </c>
      <c r="U126" s="59">
        <f t="shared" si="18"/>
        <v>226</v>
      </c>
    </row>
    <row r="127" spans="1:21" ht="15.75" customHeight="1">
      <c r="A127" s="230"/>
      <c r="B127" s="6" t="s">
        <v>14</v>
      </c>
      <c r="C127" s="100">
        <v>8</v>
      </c>
      <c r="D127" s="100">
        <v>7</v>
      </c>
      <c r="E127" s="100">
        <v>5</v>
      </c>
      <c r="F127" s="100">
        <v>5</v>
      </c>
      <c r="G127" s="100">
        <v>9</v>
      </c>
      <c r="H127" s="100">
        <v>16</v>
      </c>
      <c r="I127" s="100">
        <v>14</v>
      </c>
      <c r="J127" s="100">
        <v>4</v>
      </c>
      <c r="K127" s="227"/>
      <c r="L127" s="6" t="s">
        <v>14</v>
      </c>
      <c r="M127" s="100">
        <v>8</v>
      </c>
      <c r="N127" s="100">
        <v>6</v>
      </c>
      <c r="O127" s="100">
        <v>12</v>
      </c>
      <c r="P127" s="100">
        <v>3</v>
      </c>
      <c r="Q127" s="100">
        <v>3</v>
      </c>
      <c r="R127" s="100">
        <v>2</v>
      </c>
      <c r="S127" s="100">
        <v>3</v>
      </c>
      <c r="T127" s="100">
        <v>4</v>
      </c>
      <c r="U127" s="59">
        <f t="shared" si="18"/>
        <v>109</v>
      </c>
    </row>
    <row r="128" spans="1:21" ht="15.75" customHeight="1">
      <c r="A128" s="230"/>
      <c r="B128" s="6" t="s">
        <v>15</v>
      </c>
      <c r="C128" s="100">
        <v>16</v>
      </c>
      <c r="D128" s="100">
        <v>14</v>
      </c>
      <c r="E128" s="100">
        <v>16</v>
      </c>
      <c r="F128" s="100">
        <v>16</v>
      </c>
      <c r="G128" s="100">
        <v>23</v>
      </c>
      <c r="H128" s="100">
        <v>22</v>
      </c>
      <c r="I128" s="100">
        <v>16</v>
      </c>
      <c r="J128" s="100">
        <v>15</v>
      </c>
      <c r="K128" s="227"/>
      <c r="L128" s="6" t="s">
        <v>15</v>
      </c>
      <c r="M128" s="100">
        <v>18</v>
      </c>
      <c r="N128" s="100">
        <v>13</v>
      </c>
      <c r="O128" s="100">
        <v>11</v>
      </c>
      <c r="P128" s="100">
        <v>25</v>
      </c>
      <c r="Q128" s="100">
        <v>12</v>
      </c>
      <c r="R128" s="100">
        <v>19</v>
      </c>
      <c r="S128" s="100">
        <v>12</v>
      </c>
      <c r="T128" s="100">
        <v>10</v>
      </c>
      <c r="U128" s="59">
        <f t="shared" si="18"/>
        <v>258</v>
      </c>
    </row>
    <row r="129" spans="1:40" ht="15.75" customHeight="1">
      <c r="A129" s="230"/>
      <c r="B129" s="6" t="s">
        <v>16</v>
      </c>
      <c r="C129" s="100">
        <v>3</v>
      </c>
      <c r="D129" s="100">
        <v>5</v>
      </c>
      <c r="E129" s="100">
        <v>6</v>
      </c>
      <c r="F129" s="100">
        <v>6</v>
      </c>
      <c r="G129" s="100">
        <v>3</v>
      </c>
      <c r="H129" s="100">
        <v>9</v>
      </c>
      <c r="I129" s="100">
        <v>1</v>
      </c>
      <c r="J129" s="100">
        <v>2</v>
      </c>
      <c r="K129" s="227"/>
      <c r="L129" s="6" t="s">
        <v>16</v>
      </c>
      <c r="M129" s="100">
        <v>6</v>
      </c>
      <c r="N129" s="100">
        <v>3</v>
      </c>
      <c r="O129" s="100">
        <v>2</v>
      </c>
      <c r="P129" s="100">
        <v>6</v>
      </c>
      <c r="Q129" s="100">
        <v>4</v>
      </c>
      <c r="R129" s="100">
        <v>3</v>
      </c>
      <c r="S129" s="100">
        <v>4</v>
      </c>
      <c r="T129" s="100">
        <v>2</v>
      </c>
      <c r="U129" s="59">
        <f t="shared" si="18"/>
        <v>65</v>
      </c>
    </row>
    <row r="130" spans="1:40" ht="15.75" customHeight="1">
      <c r="A130" s="230"/>
      <c r="B130" s="6" t="s">
        <v>17</v>
      </c>
      <c r="C130" s="100">
        <v>4</v>
      </c>
      <c r="D130" s="100">
        <v>6</v>
      </c>
      <c r="E130" s="100">
        <v>7</v>
      </c>
      <c r="F130" s="100">
        <v>7</v>
      </c>
      <c r="G130" s="100">
        <v>9</v>
      </c>
      <c r="H130" s="100">
        <v>11</v>
      </c>
      <c r="I130" s="100">
        <v>4</v>
      </c>
      <c r="J130" s="100">
        <v>0</v>
      </c>
      <c r="K130" s="227"/>
      <c r="L130" s="6" t="s">
        <v>17</v>
      </c>
      <c r="M130" s="100">
        <v>4</v>
      </c>
      <c r="N130" s="100">
        <v>4</v>
      </c>
      <c r="O130" s="100">
        <v>4</v>
      </c>
      <c r="P130" s="100">
        <v>6</v>
      </c>
      <c r="Q130" s="100">
        <v>3</v>
      </c>
      <c r="R130" s="100">
        <v>6</v>
      </c>
      <c r="S130" s="100">
        <v>4</v>
      </c>
      <c r="T130" s="100">
        <v>1</v>
      </c>
      <c r="U130" s="59">
        <f t="shared" si="18"/>
        <v>80</v>
      </c>
    </row>
    <row r="131" spans="1:40" ht="15.75" customHeight="1">
      <c r="A131" s="230"/>
      <c r="B131" s="47" t="s">
        <v>18</v>
      </c>
      <c r="C131" s="101">
        <v>15</v>
      </c>
      <c r="D131" s="101">
        <v>8</v>
      </c>
      <c r="E131" s="101">
        <v>4</v>
      </c>
      <c r="F131" s="101">
        <v>4</v>
      </c>
      <c r="G131" s="101">
        <v>5</v>
      </c>
      <c r="H131" s="101">
        <v>2</v>
      </c>
      <c r="I131" s="101">
        <v>4</v>
      </c>
      <c r="J131" s="101">
        <v>1</v>
      </c>
      <c r="K131" s="227"/>
      <c r="L131" s="47" t="s">
        <v>18</v>
      </c>
      <c r="M131" s="101">
        <v>4</v>
      </c>
      <c r="N131" s="101">
        <v>3</v>
      </c>
      <c r="O131" s="101">
        <v>3</v>
      </c>
      <c r="P131" s="101">
        <v>10</v>
      </c>
      <c r="Q131" s="101">
        <v>5</v>
      </c>
      <c r="R131" s="101">
        <v>10</v>
      </c>
      <c r="S131" s="101">
        <v>3</v>
      </c>
      <c r="T131" s="101">
        <v>4</v>
      </c>
      <c r="U131" s="59">
        <f t="shared" si="18"/>
        <v>85</v>
      </c>
    </row>
    <row r="132" spans="1:40" ht="15.75" customHeight="1">
      <c r="A132" s="195" t="s">
        <v>11</v>
      </c>
      <c r="B132" s="56" t="s">
        <v>13</v>
      </c>
      <c r="C132" s="73">
        <v>6</v>
      </c>
      <c r="D132" s="73">
        <v>13</v>
      </c>
      <c r="E132" s="73">
        <v>14</v>
      </c>
      <c r="F132" s="73">
        <v>16</v>
      </c>
      <c r="G132" s="73">
        <v>26</v>
      </c>
      <c r="H132" s="73">
        <v>38</v>
      </c>
      <c r="I132" s="73">
        <v>32</v>
      </c>
      <c r="J132" s="73">
        <v>22</v>
      </c>
      <c r="K132" s="196" t="s">
        <v>11</v>
      </c>
      <c r="L132" s="56" t="s">
        <v>13</v>
      </c>
      <c r="M132" s="73">
        <v>13</v>
      </c>
      <c r="N132" s="73">
        <v>16</v>
      </c>
      <c r="O132" s="73">
        <v>12</v>
      </c>
      <c r="P132" s="73">
        <v>9</v>
      </c>
      <c r="Q132" s="73"/>
      <c r="R132" s="73"/>
      <c r="S132" s="73"/>
      <c r="T132" s="73"/>
      <c r="U132" s="59">
        <f t="shared" si="18"/>
        <v>217</v>
      </c>
    </row>
    <row r="133" spans="1:40" ht="15.75" customHeight="1">
      <c r="A133" s="230"/>
      <c r="B133" s="4" t="s">
        <v>14</v>
      </c>
      <c r="C133" s="9">
        <v>4</v>
      </c>
      <c r="D133" s="9">
        <v>3</v>
      </c>
      <c r="E133" s="9">
        <v>11</v>
      </c>
      <c r="F133" s="9">
        <v>8</v>
      </c>
      <c r="G133" s="9">
        <v>14</v>
      </c>
      <c r="H133" s="9">
        <v>15</v>
      </c>
      <c r="I133" s="9">
        <v>9</v>
      </c>
      <c r="J133" s="9">
        <v>8</v>
      </c>
      <c r="K133" s="227"/>
      <c r="L133" s="4" t="s">
        <v>14</v>
      </c>
      <c r="M133" s="9">
        <v>7</v>
      </c>
      <c r="N133" s="9">
        <v>5</v>
      </c>
      <c r="O133" s="9">
        <v>1</v>
      </c>
      <c r="P133" s="9">
        <v>6</v>
      </c>
      <c r="Q133" s="9"/>
      <c r="R133" s="9"/>
      <c r="S133" s="9"/>
      <c r="T133" s="9"/>
      <c r="U133" s="59">
        <f t="shared" si="18"/>
        <v>91</v>
      </c>
    </row>
    <row r="134" spans="1:40" ht="15.75" customHeight="1">
      <c r="A134" s="230"/>
      <c r="B134" s="4" t="s">
        <v>15</v>
      </c>
      <c r="C134" s="9">
        <v>9</v>
      </c>
      <c r="D134" s="9">
        <v>10</v>
      </c>
      <c r="E134" s="9">
        <v>11</v>
      </c>
      <c r="F134" s="9">
        <v>10</v>
      </c>
      <c r="G134" s="9">
        <v>16</v>
      </c>
      <c r="H134" s="9">
        <v>22</v>
      </c>
      <c r="I134" s="9">
        <v>15</v>
      </c>
      <c r="J134" s="9">
        <v>16</v>
      </c>
      <c r="K134" s="227"/>
      <c r="L134" s="4" t="s">
        <v>15</v>
      </c>
      <c r="M134" s="9">
        <v>17</v>
      </c>
      <c r="N134" s="9">
        <v>15</v>
      </c>
      <c r="O134" s="9">
        <v>10</v>
      </c>
      <c r="P134" s="9">
        <v>17</v>
      </c>
      <c r="Q134" s="9"/>
      <c r="R134" s="9"/>
      <c r="S134" s="9"/>
      <c r="T134" s="9"/>
      <c r="U134" s="59">
        <f t="shared" si="18"/>
        <v>168</v>
      </c>
    </row>
    <row r="135" spans="1:40" ht="15.75" customHeight="1">
      <c r="A135" s="230"/>
      <c r="B135" s="4" t="s">
        <v>16</v>
      </c>
      <c r="C135" s="9">
        <v>0</v>
      </c>
      <c r="D135" s="9">
        <v>3</v>
      </c>
      <c r="E135" s="9">
        <v>4</v>
      </c>
      <c r="F135" s="9">
        <v>14</v>
      </c>
      <c r="G135" s="9">
        <v>4</v>
      </c>
      <c r="H135" s="9">
        <v>11</v>
      </c>
      <c r="I135" s="9">
        <v>4</v>
      </c>
      <c r="J135" s="9">
        <v>6</v>
      </c>
      <c r="K135" s="227"/>
      <c r="L135" s="4" t="s">
        <v>16</v>
      </c>
      <c r="M135" s="9">
        <v>4</v>
      </c>
      <c r="N135" s="9">
        <v>3</v>
      </c>
      <c r="O135" s="9">
        <v>2</v>
      </c>
      <c r="P135" s="9">
        <v>1</v>
      </c>
      <c r="Q135" s="9"/>
      <c r="R135" s="9"/>
      <c r="S135" s="9"/>
      <c r="T135" s="9"/>
      <c r="U135" s="59">
        <f t="shared" si="18"/>
        <v>56</v>
      </c>
    </row>
    <row r="136" spans="1:40" ht="15.75" customHeight="1">
      <c r="A136" s="230"/>
      <c r="B136" s="4" t="s">
        <v>17</v>
      </c>
      <c r="C136" s="9">
        <v>1</v>
      </c>
      <c r="D136" s="9">
        <v>9</v>
      </c>
      <c r="E136" s="9">
        <v>1</v>
      </c>
      <c r="F136" s="9">
        <v>6</v>
      </c>
      <c r="G136" s="9">
        <v>6</v>
      </c>
      <c r="H136" s="9">
        <v>9</v>
      </c>
      <c r="I136" s="9">
        <v>6</v>
      </c>
      <c r="J136" s="9">
        <v>6</v>
      </c>
      <c r="K136" s="227"/>
      <c r="L136" s="4" t="s">
        <v>17</v>
      </c>
      <c r="M136" s="9">
        <v>5</v>
      </c>
      <c r="N136" s="9">
        <v>4</v>
      </c>
      <c r="O136" s="9">
        <v>3</v>
      </c>
      <c r="P136" s="9">
        <v>4</v>
      </c>
      <c r="Q136" s="9"/>
      <c r="R136" s="9"/>
      <c r="S136" s="9"/>
      <c r="T136" s="9"/>
      <c r="U136" s="59">
        <f t="shared" si="18"/>
        <v>60</v>
      </c>
    </row>
    <row r="137" spans="1:40" ht="15.75" customHeight="1">
      <c r="A137" s="231"/>
      <c r="B137" s="61" t="s">
        <v>18</v>
      </c>
      <c r="C137" s="75">
        <v>4</v>
      </c>
      <c r="D137" s="75">
        <v>15</v>
      </c>
      <c r="E137" s="75">
        <v>4</v>
      </c>
      <c r="F137" s="75">
        <v>10</v>
      </c>
      <c r="G137" s="75">
        <v>10</v>
      </c>
      <c r="H137" s="75">
        <v>13</v>
      </c>
      <c r="I137" s="75">
        <v>10</v>
      </c>
      <c r="J137" s="75">
        <v>5</v>
      </c>
      <c r="K137" s="232"/>
      <c r="L137" s="61" t="s">
        <v>18</v>
      </c>
      <c r="M137" s="9">
        <v>8</v>
      </c>
      <c r="N137" s="9">
        <v>6</v>
      </c>
      <c r="O137" s="9">
        <v>4</v>
      </c>
      <c r="P137" s="9">
        <v>2</v>
      </c>
      <c r="Q137" s="9"/>
      <c r="R137" s="9"/>
      <c r="S137" s="9"/>
      <c r="T137" s="9"/>
      <c r="U137" s="59">
        <f t="shared" si="18"/>
        <v>91</v>
      </c>
    </row>
    <row r="139" spans="1:40" ht="15.75" customHeight="1">
      <c r="A139" s="1"/>
      <c r="B139" s="1"/>
      <c r="C139" s="183" t="s">
        <v>0</v>
      </c>
      <c r="D139" s="225"/>
      <c r="E139" s="225"/>
      <c r="F139" s="225"/>
      <c r="G139" s="226"/>
      <c r="H139" s="2"/>
      <c r="I139" s="1"/>
    </row>
    <row r="140" spans="1:40" ht="15.75" customHeight="1">
      <c r="A140" s="1"/>
      <c r="B140" s="183" t="s">
        <v>1</v>
      </c>
      <c r="C140" s="225"/>
      <c r="D140" s="226"/>
      <c r="E140" s="1"/>
      <c r="F140" s="184" t="s">
        <v>110</v>
      </c>
      <c r="G140" s="225"/>
      <c r="H140" s="226"/>
      <c r="I140" s="1"/>
      <c r="K140" s="1"/>
      <c r="L140" s="183" t="s">
        <v>26</v>
      </c>
      <c r="M140" s="225"/>
      <c r="N140" s="226"/>
      <c r="O140" s="1"/>
      <c r="P140" s="184" t="s">
        <v>110</v>
      </c>
      <c r="Q140" s="225"/>
      <c r="R140" s="226"/>
      <c r="S140" s="1"/>
    </row>
    <row r="141" spans="1:40" ht="15.75" customHeight="1">
      <c r="A141" s="54" t="s">
        <v>35</v>
      </c>
      <c r="B141" s="54" t="s">
        <v>4</v>
      </c>
      <c r="C141" s="54" t="s">
        <v>12</v>
      </c>
      <c r="D141" s="54" t="s">
        <v>19</v>
      </c>
      <c r="E141" s="54" t="s">
        <v>20</v>
      </c>
      <c r="F141" s="54" t="s">
        <v>21</v>
      </c>
      <c r="G141" s="54" t="s">
        <v>22</v>
      </c>
      <c r="H141" s="54" t="s">
        <v>23</v>
      </c>
      <c r="I141" s="54" t="s">
        <v>24</v>
      </c>
      <c r="J141" s="54" t="s">
        <v>25</v>
      </c>
      <c r="K141" s="54" t="s">
        <v>35</v>
      </c>
      <c r="L141" s="54" t="s">
        <v>4</v>
      </c>
      <c r="M141" s="54" t="s">
        <v>27</v>
      </c>
      <c r="N141" s="54" t="s">
        <v>28</v>
      </c>
      <c r="O141" s="54" t="s">
        <v>29</v>
      </c>
      <c r="P141" s="54" t="s">
        <v>30</v>
      </c>
      <c r="Q141" s="54" t="s">
        <v>31</v>
      </c>
      <c r="R141" s="54" t="s">
        <v>32</v>
      </c>
      <c r="S141" s="54" t="s">
        <v>33</v>
      </c>
      <c r="T141" s="54" t="s">
        <v>34</v>
      </c>
      <c r="U141" s="54" t="s">
        <v>55</v>
      </c>
    </row>
    <row r="142" spans="1:40" ht="15.75" customHeight="1">
      <c r="A142" s="195" t="s">
        <v>5</v>
      </c>
      <c r="B142" s="56" t="s">
        <v>13</v>
      </c>
      <c r="C142" s="57"/>
      <c r="D142" s="57"/>
      <c r="E142" s="56">
        <v>9</v>
      </c>
      <c r="F142" s="56">
        <v>16</v>
      </c>
      <c r="G142" s="56">
        <v>17</v>
      </c>
      <c r="H142" s="56">
        <v>36</v>
      </c>
      <c r="I142" s="56">
        <v>27</v>
      </c>
      <c r="J142" s="56" t="s">
        <v>78</v>
      </c>
      <c r="K142" s="196" t="s">
        <v>5</v>
      </c>
      <c r="L142" s="56" t="s">
        <v>13</v>
      </c>
      <c r="M142" s="56">
        <v>11</v>
      </c>
      <c r="N142" s="56">
        <v>11</v>
      </c>
      <c r="O142" s="56">
        <v>10</v>
      </c>
      <c r="P142" s="56">
        <v>11</v>
      </c>
      <c r="Q142" s="56">
        <v>7</v>
      </c>
      <c r="R142" s="57"/>
      <c r="S142" s="57"/>
      <c r="T142" s="58"/>
      <c r="U142" s="59">
        <f>SUM(M142:T142,C142:J142)</f>
        <v>155</v>
      </c>
      <c r="W142" s="197" t="s">
        <v>2</v>
      </c>
      <c r="X142" s="198"/>
      <c r="AG142" s="190" t="s">
        <v>58</v>
      </c>
      <c r="AH142" s="191"/>
      <c r="AI142" s="191"/>
      <c r="AJ142" s="191"/>
      <c r="AK142" s="191"/>
      <c r="AL142" s="191"/>
      <c r="AM142" s="191"/>
      <c r="AN142" s="192"/>
    </row>
    <row r="143" spans="1:40" ht="15.75" customHeight="1">
      <c r="A143" s="230"/>
      <c r="B143" s="4" t="s">
        <v>14</v>
      </c>
      <c r="C143" s="5"/>
      <c r="D143" s="5"/>
      <c r="E143" s="4">
        <v>5</v>
      </c>
      <c r="F143" s="4">
        <v>4</v>
      </c>
      <c r="G143" s="4">
        <v>5</v>
      </c>
      <c r="H143" s="4">
        <v>10</v>
      </c>
      <c r="I143" s="4">
        <v>6</v>
      </c>
      <c r="J143" s="56" t="s">
        <v>78</v>
      </c>
      <c r="K143" s="227"/>
      <c r="L143" s="4" t="s">
        <v>14</v>
      </c>
      <c r="M143" s="4">
        <v>5</v>
      </c>
      <c r="N143" s="4">
        <v>5</v>
      </c>
      <c r="O143" s="4">
        <v>5</v>
      </c>
      <c r="P143" s="4">
        <v>4</v>
      </c>
      <c r="Q143" s="4">
        <v>3</v>
      </c>
      <c r="R143" s="5"/>
      <c r="S143" s="5"/>
      <c r="T143" s="49"/>
      <c r="U143" s="59">
        <f t="shared" ref="U143:U183" si="26">SUM(M143:T143,C143:J143)</f>
        <v>52</v>
      </c>
      <c r="W143" s="55" t="s">
        <v>5</v>
      </c>
      <c r="X143" s="48">
        <f>SUM(U142:U147)</f>
        <v>528</v>
      </c>
      <c r="AG143" s="98" t="s">
        <v>4</v>
      </c>
      <c r="AH143" s="98" t="s">
        <v>5</v>
      </c>
      <c r="AI143" s="98" t="s">
        <v>6</v>
      </c>
      <c r="AJ143" s="98" t="s">
        <v>7</v>
      </c>
      <c r="AK143" s="98" t="s">
        <v>8</v>
      </c>
      <c r="AL143" s="98" t="s">
        <v>9</v>
      </c>
      <c r="AM143" s="98" t="s">
        <v>10</v>
      </c>
      <c r="AN143" s="98" t="s">
        <v>11</v>
      </c>
    </row>
    <row r="144" spans="1:40" ht="15.75" customHeight="1">
      <c r="A144" s="230"/>
      <c r="B144" s="4" t="s">
        <v>15</v>
      </c>
      <c r="C144" s="5"/>
      <c r="D144" s="5"/>
      <c r="E144" s="4">
        <v>13</v>
      </c>
      <c r="F144" s="4">
        <v>13</v>
      </c>
      <c r="G144" s="4">
        <v>18</v>
      </c>
      <c r="H144" s="4">
        <v>34</v>
      </c>
      <c r="I144" s="4">
        <v>15</v>
      </c>
      <c r="J144" s="56" t="s">
        <v>78</v>
      </c>
      <c r="K144" s="227"/>
      <c r="L144" s="4" t="s">
        <v>15</v>
      </c>
      <c r="M144" s="4">
        <v>22</v>
      </c>
      <c r="N144" s="4">
        <v>25</v>
      </c>
      <c r="O144" s="4">
        <v>9</v>
      </c>
      <c r="P144" s="4">
        <v>11</v>
      </c>
      <c r="Q144" s="4">
        <v>14</v>
      </c>
      <c r="R144" s="5"/>
      <c r="S144" s="5"/>
      <c r="T144" s="49"/>
      <c r="U144" s="59">
        <f t="shared" si="26"/>
        <v>174</v>
      </c>
      <c r="W144" s="55" t="s">
        <v>6</v>
      </c>
      <c r="X144" s="48">
        <f>SUM(U148:U153)</f>
        <v>507</v>
      </c>
      <c r="AG144" s="79" t="s">
        <v>13</v>
      </c>
      <c r="AH144" s="79">
        <f t="shared" ref="AH144:AH149" si="27">U142</f>
        <v>155</v>
      </c>
      <c r="AI144" s="79">
        <f t="shared" ref="AI144:AI149" si="28">U148</f>
        <v>161</v>
      </c>
      <c r="AJ144" s="79">
        <f t="shared" ref="AJ144:AJ149" si="29">U154</f>
        <v>372</v>
      </c>
      <c r="AK144" s="79">
        <f t="shared" ref="AK144:AK149" si="30">U160</f>
        <v>308</v>
      </c>
      <c r="AL144" s="79">
        <f>U166</f>
        <v>0</v>
      </c>
      <c r="AM144" s="79">
        <f t="shared" ref="AM144:AM149" si="31">U172</f>
        <v>188</v>
      </c>
      <c r="AN144" s="79">
        <f t="shared" ref="AN144:AN149" si="32">U178</f>
        <v>221</v>
      </c>
    </row>
    <row r="145" spans="1:40" ht="15.75" customHeight="1">
      <c r="A145" s="230"/>
      <c r="B145" s="4" t="s">
        <v>16</v>
      </c>
      <c r="C145" s="5"/>
      <c r="D145" s="5"/>
      <c r="E145" s="4">
        <v>4</v>
      </c>
      <c r="F145" s="4">
        <v>1</v>
      </c>
      <c r="G145" s="4">
        <v>11</v>
      </c>
      <c r="H145" s="4">
        <v>10</v>
      </c>
      <c r="I145" s="4">
        <v>11</v>
      </c>
      <c r="J145" s="56" t="s">
        <v>78</v>
      </c>
      <c r="K145" s="227"/>
      <c r="L145" s="4" t="s">
        <v>16</v>
      </c>
      <c r="M145" s="4">
        <v>3</v>
      </c>
      <c r="N145" s="4">
        <v>1</v>
      </c>
      <c r="O145" s="4">
        <v>0</v>
      </c>
      <c r="P145" s="4">
        <v>4</v>
      </c>
      <c r="Q145" s="4">
        <v>1</v>
      </c>
      <c r="R145" s="5"/>
      <c r="S145" s="5"/>
      <c r="T145" s="49"/>
      <c r="U145" s="59">
        <f t="shared" si="26"/>
        <v>46</v>
      </c>
      <c r="W145" s="55" t="s">
        <v>7</v>
      </c>
      <c r="X145" s="48">
        <f>SUM(U154:U159)</f>
        <v>1286</v>
      </c>
      <c r="AG145" s="97" t="s">
        <v>14</v>
      </c>
      <c r="AH145" s="97">
        <f t="shared" si="27"/>
        <v>52</v>
      </c>
      <c r="AI145" s="97">
        <f t="shared" si="28"/>
        <v>53</v>
      </c>
      <c r="AJ145" s="97">
        <f t="shared" si="29"/>
        <v>161</v>
      </c>
      <c r="AK145" s="97">
        <f t="shared" si="30"/>
        <v>120</v>
      </c>
      <c r="AL145" s="97">
        <f t="shared" ref="AL144:AL149" si="33">U167</f>
        <v>81</v>
      </c>
      <c r="AM145" s="97">
        <f t="shared" si="31"/>
        <v>81</v>
      </c>
      <c r="AN145" s="97">
        <f t="shared" si="32"/>
        <v>121</v>
      </c>
    </row>
    <row r="146" spans="1:40" ht="15.75" customHeight="1">
      <c r="A146" s="230"/>
      <c r="B146" s="4" t="s">
        <v>17</v>
      </c>
      <c r="C146" s="5"/>
      <c r="D146" s="5"/>
      <c r="E146" s="4">
        <v>6</v>
      </c>
      <c r="F146" s="4">
        <v>3</v>
      </c>
      <c r="G146" s="4">
        <v>9</v>
      </c>
      <c r="H146" s="4">
        <v>8</v>
      </c>
      <c r="I146" s="4">
        <v>1</v>
      </c>
      <c r="J146" s="56" t="s">
        <v>78</v>
      </c>
      <c r="K146" s="227"/>
      <c r="L146" s="4" t="s">
        <v>17</v>
      </c>
      <c r="M146" s="4">
        <v>7</v>
      </c>
      <c r="N146" s="4">
        <v>3</v>
      </c>
      <c r="O146" s="4">
        <v>2</v>
      </c>
      <c r="P146" s="4">
        <v>0</v>
      </c>
      <c r="Q146" s="4">
        <v>7</v>
      </c>
      <c r="R146" s="5"/>
      <c r="S146" s="5"/>
      <c r="T146" s="49"/>
      <c r="U146" s="59">
        <f t="shared" si="26"/>
        <v>46</v>
      </c>
      <c r="W146" s="55" t="s">
        <v>61</v>
      </c>
      <c r="X146" s="48">
        <f>SUM(U160:U165)</f>
        <v>1019</v>
      </c>
      <c r="AG146" s="79" t="s">
        <v>15</v>
      </c>
      <c r="AH146" s="79">
        <f t="shared" si="27"/>
        <v>174</v>
      </c>
      <c r="AI146" s="79">
        <f t="shared" si="28"/>
        <v>145</v>
      </c>
      <c r="AJ146" s="79">
        <f t="shared" si="29"/>
        <v>371</v>
      </c>
      <c r="AK146" s="79">
        <f t="shared" si="30"/>
        <v>310</v>
      </c>
      <c r="AL146" s="79">
        <f t="shared" si="33"/>
        <v>153</v>
      </c>
      <c r="AM146" s="79">
        <f t="shared" si="31"/>
        <v>134</v>
      </c>
      <c r="AN146" s="79">
        <f t="shared" si="32"/>
        <v>212</v>
      </c>
    </row>
    <row r="147" spans="1:40" ht="15.75" customHeight="1">
      <c r="A147" s="230"/>
      <c r="B147" s="46" t="s">
        <v>18</v>
      </c>
      <c r="C147" s="64"/>
      <c r="D147" s="64"/>
      <c r="E147" s="46">
        <v>15</v>
      </c>
      <c r="F147" s="46">
        <v>2</v>
      </c>
      <c r="G147" s="46">
        <v>6</v>
      </c>
      <c r="H147" s="46">
        <v>6</v>
      </c>
      <c r="I147" s="46">
        <v>6</v>
      </c>
      <c r="J147" s="56" t="s">
        <v>78</v>
      </c>
      <c r="K147" s="227"/>
      <c r="L147" s="46" t="s">
        <v>18</v>
      </c>
      <c r="M147" s="46">
        <v>9</v>
      </c>
      <c r="N147" s="46">
        <v>4</v>
      </c>
      <c r="O147" s="46">
        <v>3</v>
      </c>
      <c r="P147" s="46">
        <v>3</v>
      </c>
      <c r="Q147" s="46">
        <v>1</v>
      </c>
      <c r="R147" s="64"/>
      <c r="S147" s="64"/>
      <c r="T147" s="65"/>
      <c r="U147" s="59">
        <f t="shared" si="26"/>
        <v>55</v>
      </c>
      <c r="W147" s="55" t="s">
        <v>9</v>
      </c>
      <c r="X147" s="48">
        <f>SUM(U166:U171)</f>
        <v>392</v>
      </c>
      <c r="AG147" s="97" t="s">
        <v>16</v>
      </c>
      <c r="AH147" s="97">
        <f t="shared" si="27"/>
        <v>46</v>
      </c>
      <c r="AI147" s="97">
        <f t="shared" si="28"/>
        <v>43</v>
      </c>
      <c r="AJ147" s="97">
        <f t="shared" si="29"/>
        <v>106</v>
      </c>
      <c r="AK147" s="97">
        <f t="shared" si="30"/>
        <v>90</v>
      </c>
      <c r="AL147" s="97">
        <f t="shared" si="33"/>
        <v>54</v>
      </c>
      <c r="AM147" s="97">
        <f t="shared" si="31"/>
        <v>70</v>
      </c>
      <c r="AN147" s="97">
        <f t="shared" si="32"/>
        <v>67</v>
      </c>
    </row>
    <row r="148" spans="1:40" ht="15.75" customHeight="1">
      <c r="A148" s="193" t="s">
        <v>6</v>
      </c>
      <c r="B148" s="63" t="s">
        <v>13</v>
      </c>
      <c r="C148" s="57"/>
      <c r="D148" s="57"/>
      <c r="E148" s="57"/>
      <c r="F148" s="63">
        <v>23</v>
      </c>
      <c r="G148" s="63">
        <v>27</v>
      </c>
      <c r="H148" s="63">
        <v>19</v>
      </c>
      <c r="I148" s="63">
        <v>22</v>
      </c>
      <c r="J148" s="63">
        <v>15</v>
      </c>
      <c r="K148" s="194" t="s">
        <v>6</v>
      </c>
      <c r="L148" s="63" t="s">
        <v>13</v>
      </c>
      <c r="M148" s="63">
        <v>15</v>
      </c>
      <c r="N148" s="63">
        <v>19</v>
      </c>
      <c r="O148" s="63">
        <v>15</v>
      </c>
      <c r="P148" s="63">
        <v>6</v>
      </c>
      <c r="Q148" s="57"/>
      <c r="R148" s="57"/>
      <c r="S148" s="57"/>
      <c r="T148" s="58"/>
      <c r="U148" s="59">
        <f t="shared" si="26"/>
        <v>161</v>
      </c>
      <c r="W148" s="55" t="s">
        <v>10</v>
      </c>
      <c r="X148" s="48">
        <f>SUM(U172:U177)</f>
        <v>621</v>
      </c>
      <c r="AG148" s="79" t="s">
        <v>17</v>
      </c>
      <c r="AH148" s="79">
        <f t="shared" si="27"/>
        <v>46</v>
      </c>
      <c r="AI148" s="79">
        <f t="shared" si="28"/>
        <v>54</v>
      </c>
      <c r="AJ148" s="79">
        <f t="shared" si="29"/>
        <v>125</v>
      </c>
      <c r="AK148" s="79">
        <f t="shared" si="30"/>
        <v>83</v>
      </c>
      <c r="AL148" s="79">
        <f t="shared" si="33"/>
        <v>48</v>
      </c>
      <c r="AM148" s="79">
        <f t="shared" si="31"/>
        <v>84</v>
      </c>
      <c r="AN148" s="79">
        <f t="shared" si="32"/>
        <v>66</v>
      </c>
    </row>
    <row r="149" spans="1:40" ht="15.75" customHeight="1">
      <c r="A149" s="230"/>
      <c r="B149" s="6" t="s">
        <v>14</v>
      </c>
      <c r="C149" s="5"/>
      <c r="D149" s="5"/>
      <c r="E149" s="5"/>
      <c r="F149" s="6">
        <v>14</v>
      </c>
      <c r="G149" s="6">
        <v>9</v>
      </c>
      <c r="H149" s="6">
        <v>5</v>
      </c>
      <c r="I149" s="6">
        <v>8</v>
      </c>
      <c r="J149" s="6">
        <v>2</v>
      </c>
      <c r="K149" s="227"/>
      <c r="L149" s="6" t="s">
        <v>14</v>
      </c>
      <c r="M149" s="6">
        <v>2</v>
      </c>
      <c r="N149" s="6">
        <v>7</v>
      </c>
      <c r="O149" s="6">
        <v>6</v>
      </c>
      <c r="P149" s="6">
        <v>0</v>
      </c>
      <c r="Q149" s="5"/>
      <c r="R149" s="5"/>
      <c r="S149" s="5"/>
      <c r="T149" s="49"/>
      <c r="U149" s="59">
        <f t="shared" si="26"/>
        <v>53</v>
      </c>
      <c r="W149" s="81" t="s">
        <v>11</v>
      </c>
      <c r="X149" s="80">
        <f>SUM(U178:U183)</f>
        <v>748</v>
      </c>
      <c r="AG149" s="97" t="s">
        <v>18</v>
      </c>
      <c r="AH149" s="97">
        <f t="shared" si="27"/>
        <v>55</v>
      </c>
      <c r="AI149" s="97">
        <f t="shared" si="28"/>
        <v>51</v>
      </c>
      <c r="AJ149" s="97">
        <f t="shared" si="29"/>
        <v>151</v>
      </c>
      <c r="AK149" s="97">
        <f t="shared" si="30"/>
        <v>108</v>
      </c>
      <c r="AL149" s="97">
        <f t="shared" si="33"/>
        <v>56</v>
      </c>
      <c r="AM149" s="97">
        <f t="shared" si="31"/>
        <v>64</v>
      </c>
      <c r="AN149" s="97">
        <f t="shared" si="32"/>
        <v>61</v>
      </c>
    </row>
    <row r="150" spans="1:40" ht="15.75" customHeight="1">
      <c r="A150" s="230"/>
      <c r="B150" s="6" t="s">
        <v>15</v>
      </c>
      <c r="C150" s="5"/>
      <c r="D150" s="5"/>
      <c r="E150" s="5"/>
      <c r="F150" s="6">
        <v>18</v>
      </c>
      <c r="G150" s="6">
        <v>22</v>
      </c>
      <c r="H150" s="6">
        <v>18</v>
      </c>
      <c r="I150" s="6">
        <v>15</v>
      </c>
      <c r="J150" s="6">
        <v>14</v>
      </c>
      <c r="K150" s="227"/>
      <c r="L150" s="6" t="s">
        <v>15</v>
      </c>
      <c r="M150" s="6">
        <v>20</v>
      </c>
      <c r="N150" s="6">
        <v>13</v>
      </c>
      <c r="O150" s="6">
        <v>10</v>
      </c>
      <c r="P150" s="6">
        <v>15</v>
      </c>
      <c r="Q150" s="5"/>
      <c r="R150" s="5"/>
      <c r="S150" s="5"/>
      <c r="T150" s="49"/>
      <c r="U150" s="59">
        <f t="shared" si="26"/>
        <v>145</v>
      </c>
      <c r="W150" s="79" t="s">
        <v>63</v>
      </c>
      <c r="X150" s="82">
        <f>SUM(X143:X149)</f>
        <v>5101</v>
      </c>
    </row>
    <row r="151" spans="1:40" ht="15.75" customHeight="1">
      <c r="A151" s="230"/>
      <c r="B151" s="6" t="s">
        <v>16</v>
      </c>
      <c r="C151" s="5"/>
      <c r="D151" s="5"/>
      <c r="E151" s="5"/>
      <c r="F151" s="6">
        <v>6</v>
      </c>
      <c r="G151" s="6">
        <v>6</v>
      </c>
      <c r="H151" s="6">
        <v>3</v>
      </c>
      <c r="I151" s="6">
        <v>4</v>
      </c>
      <c r="J151" s="6">
        <v>5</v>
      </c>
      <c r="K151" s="227"/>
      <c r="L151" s="6" t="s">
        <v>16</v>
      </c>
      <c r="M151" s="6">
        <v>5</v>
      </c>
      <c r="N151" s="6">
        <v>2</v>
      </c>
      <c r="O151" s="6">
        <v>7</v>
      </c>
      <c r="P151" s="6">
        <v>5</v>
      </c>
      <c r="Q151" s="5"/>
      <c r="R151" s="5"/>
      <c r="S151" s="5"/>
      <c r="T151" s="49"/>
      <c r="U151" s="59">
        <f t="shared" si="26"/>
        <v>43</v>
      </c>
    </row>
    <row r="152" spans="1:40" ht="15.75" customHeight="1">
      <c r="A152" s="230"/>
      <c r="B152" s="6" t="s">
        <v>17</v>
      </c>
      <c r="C152" s="5"/>
      <c r="D152" s="5"/>
      <c r="E152" s="5"/>
      <c r="F152" s="6">
        <v>6</v>
      </c>
      <c r="G152" s="6">
        <v>7</v>
      </c>
      <c r="H152" s="6">
        <v>5</v>
      </c>
      <c r="I152" s="6">
        <v>7</v>
      </c>
      <c r="J152" s="6">
        <v>5</v>
      </c>
      <c r="K152" s="227"/>
      <c r="L152" s="6" t="s">
        <v>17</v>
      </c>
      <c r="M152" s="6">
        <v>10</v>
      </c>
      <c r="N152" s="6">
        <v>3</v>
      </c>
      <c r="O152" s="6">
        <v>7</v>
      </c>
      <c r="P152" s="6">
        <v>4</v>
      </c>
      <c r="Q152" s="5"/>
      <c r="R152" s="5"/>
      <c r="S152" s="5"/>
      <c r="T152" s="49"/>
      <c r="U152" s="59">
        <f t="shared" si="26"/>
        <v>54</v>
      </c>
    </row>
    <row r="153" spans="1:40" ht="15.75" customHeight="1">
      <c r="A153" s="230"/>
      <c r="B153" s="47" t="s">
        <v>18</v>
      </c>
      <c r="C153" s="64"/>
      <c r="D153" s="64"/>
      <c r="E153" s="64"/>
      <c r="F153" s="47">
        <v>5</v>
      </c>
      <c r="G153" s="47">
        <v>14</v>
      </c>
      <c r="H153" s="47">
        <v>6</v>
      </c>
      <c r="I153" s="47">
        <v>5</v>
      </c>
      <c r="J153" s="47">
        <v>4</v>
      </c>
      <c r="K153" s="227"/>
      <c r="L153" s="47" t="s">
        <v>18</v>
      </c>
      <c r="M153" s="47">
        <v>6</v>
      </c>
      <c r="N153" s="47">
        <v>3</v>
      </c>
      <c r="O153" s="47">
        <v>7</v>
      </c>
      <c r="P153" s="47">
        <v>1</v>
      </c>
      <c r="Q153" s="64"/>
      <c r="R153" s="64"/>
      <c r="S153" s="64"/>
      <c r="T153" s="65"/>
      <c r="U153" s="59">
        <f t="shared" si="26"/>
        <v>51</v>
      </c>
    </row>
    <row r="154" spans="1:40" ht="15.75" customHeight="1">
      <c r="A154" s="195" t="s">
        <v>7</v>
      </c>
      <c r="B154" s="56" t="s">
        <v>13</v>
      </c>
      <c r="C154" s="56">
        <v>23</v>
      </c>
      <c r="D154" s="56">
        <v>15</v>
      </c>
      <c r="E154" s="56">
        <v>11</v>
      </c>
      <c r="F154" s="56">
        <v>22</v>
      </c>
      <c r="G154" s="56">
        <v>27</v>
      </c>
      <c r="H154" s="56">
        <v>32</v>
      </c>
      <c r="I154" s="56">
        <v>31</v>
      </c>
      <c r="J154" s="56">
        <v>15</v>
      </c>
      <c r="K154" s="196" t="s">
        <v>7</v>
      </c>
      <c r="L154" s="56" t="s">
        <v>13</v>
      </c>
      <c r="M154" s="56">
        <v>15</v>
      </c>
      <c r="N154" s="56">
        <v>20</v>
      </c>
      <c r="O154" s="56">
        <v>25</v>
      </c>
      <c r="P154" s="56">
        <v>24</v>
      </c>
      <c r="Q154" s="56">
        <v>33</v>
      </c>
      <c r="R154" s="56">
        <v>41</v>
      </c>
      <c r="S154" s="56">
        <v>22</v>
      </c>
      <c r="T154" s="67">
        <v>16</v>
      </c>
      <c r="U154" s="59">
        <f t="shared" si="26"/>
        <v>372</v>
      </c>
    </row>
    <row r="155" spans="1:40" ht="15.75" customHeight="1">
      <c r="A155" s="230"/>
      <c r="B155" s="4" t="s">
        <v>14</v>
      </c>
      <c r="C155" s="4">
        <v>9</v>
      </c>
      <c r="D155" s="4">
        <v>12</v>
      </c>
      <c r="E155" s="4">
        <v>14</v>
      </c>
      <c r="F155" s="4">
        <v>6</v>
      </c>
      <c r="G155" s="4">
        <v>14</v>
      </c>
      <c r="H155" s="4">
        <v>9</v>
      </c>
      <c r="I155" s="4">
        <v>10</v>
      </c>
      <c r="J155" s="4">
        <v>11</v>
      </c>
      <c r="K155" s="227"/>
      <c r="L155" s="4" t="s">
        <v>14</v>
      </c>
      <c r="M155" s="4">
        <v>12</v>
      </c>
      <c r="N155" s="4">
        <v>14</v>
      </c>
      <c r="O155" s="4">
        <v>10</v>
      </c>
      <c r="P155" s="4">
        <v>11</v>
      </c>
      <c r="Q155" s="4">
        <v>11</v>
      </c>
      <c r="R155" s="4">
        <v>9</v>
      </c>
      <c r="S155" s="4">
        <v>7</v>
      </c>
      <c r="T155" s="50">
        <v>2</v>
      </c>
      <c r="U155" s="59">
        <f t="shared" si="26"/>
        <v>161</v>
      </c>
    </row>
    <row r="156" spans="1:40" ht="15.75" customHeight="1">
      <c r="A156" s="230"/>
      <c r="B156" s="4" t="s">
        <v>15</v>
      </c>
      <c r="C156" s="4">
        <v>27</v>
      </c>
      <c r="D156" s="4">
        <v>18</v>
      </c>
      <c r="E156" s="4">
        <v>24</v>
      </c>
      <c r="F156" s="4">
        <v>19</v>
      </c>
      <c r="G156" s="4">
        <v>26</v>
      </c>
      <c r="H156" s="4">
        <v>16</v>
      </c>
      <c r="I156" s="4">
        <v>21</v>
      </c>
      <c r="J156" s="4">
        <v>27</v>
      </c>
      <c r="K156" s="227"/>
      <c r="L156" s="4" t="s">
        <v>15</v>
      </c>
      <c r="M156" s="4">
        <v>15</v>
      </c>
      <c r="N156" s="4">
        <v>12</v>
      </c>
      <c r="O156" s="4">
        <v>20</v>
      </c>
      <c r="P156" s="4">
        <v>24</v>
      </c>
      <c r="Q156" s="4">
        <v>41</v>
      </c>
      <c r="R156" s="4">
        <v>37</v>
      </c>
      <c r="S156" s="4">
        <v>27</v>
      </c>
      <c r="T156" s="50">
        <v>17</v>
      </c>
      <c r="U156" s="59">
        <f t="shared" si="26"/>
        <v>371</v>
      </c>
    </row>
    <row r="157" spans="1:40" ht="15.75" customHeight="1">
      <c r="A157" s="230"/>
      <c r="B157" s="4" t="s">
        <v>16</v>
      </c>
      <c r="C157" s="4">
        <v>2</v>
      </c>
      <c r="D157" s="4">
        <v>4</v>
      </c>
      <c r="E157" s="4">
        <v>3</v>
      </c>
      <c r="F157" s="4">
        <v>11</v>
      </c>
      <c r="G157" s="4">
        <v>3</v>
      </c>
      <c r="H157" s="4">
        <v>11</v>
      </c>
      <c r="I157" s="4">
        <v>12</v>
      </c>
      <c r="J157" s="4">
        <v>4</v>
      </c>
      <c r="K157" s="227"/>
      <c r="L157" s="4" t="s">
        <v>16</v>
      </c>
      <c r="M157" s="4">
        <v>7</v>
      </c>
      <c r="N157" s="4">
        <v>8</v>
      </c>
      <c r="O157" s="4">
        <v>5</v>
      </c>
      <c r="P157" s="4">
        <v>7</v>
      </c>
      <c r="Q157" s="4">
        <v>12</v>
      </c>
      <c r="R157" s="4">
        <v>6</v>
      </c>
      <c r="S157" s="4">
        <v>6</v>
      </c>
      <c r="T157" s="50">
        <v>5</v>
      </c>
      <c r="U157" s="59">
        <f t="shared" si="26"/>
        <v>106</v>
      </c>
    </row>
    <row r="158" spans="1:40" ht="15.75" customHeight="1">
      <c r="A158" s="230"/>
      <c r="B158" s="4" t="s">
        <v>17</v>
      </c>
      <c r="C158" s="4">
        <v>6</v>
      </c>
      <c r="D158" s="4">
        <v>7</v>
      </c>
      <c r="E158" s="4">
        <v>4</v>
      </c>
      <c r="F158" s="4">
        <v>8</v>
      </c>
      <c r="G158" s="4">
        <v>9</v>
      </c>
      <c r="H158" s="4">
        <v>19</v>
      </c>
      <c r="I158" s="4">
        <v>7</v>
      </c>
      <c r="J158" s="4">
        <v>5</v>
      </c>
      <c r="K158" s="227"/>
      <c r="L158" s="4" t="s">
        <v>17</v>
      </c>
      <c r="M158" s="4">
        <v>5</v>
      </c>
      <c r="N158" s="4">
        <v>7</v>
      </c>
      <c r="O158" s="4">
        <v>5</v>
      </c>
      <c r="P158" s="4">
        <v>7</v>
      </c>
      <c r="Q158" s="4">
        <v>11</v>
      </c>
      <c r="R158" s="4">
        <v>8</v>
      </c>
      <c r="S158" s="4">
        <v>11</v>
      </c>
      <c r="T158" s="50">
        <v>6</v>
      </c>
      <c r="U158" s="59">
        <f t="shared" si="26"/>
        <v>125</v>
      </c>
    </row>
    <row r="159" spans="1:40" ht="15.75" customHeight="1">
      <c r="A159" s="230"/>
      <c r="B159" s="46" t="s">
        <v>18</v>
      </c>
      <c r="C159" s="46">
        <v>19</v>
      </c>
      <c r="D159" s="46">
        <v>6</v>
      </c>
      <c r="E159" s="46">
        <v>9</v>
      </c>
      <c r="F159" s="46">
        <v>5</v>
      </c>
      <c r="G159" s="46">
        <v>15</v>
      </c>
      <c r="H159" s="46">
        <v>15</v>
      </c>
      <c r="I159" s="46">
        <v>13</v>
      </c>
      <c r="J159" s="46">
        <v>5</v>
      </c>
      <c r="K159" s="227"/>
      <c r="L159" s="46" t="s">
        <v>18</v>
      </c>
      <c r="M159" s="46">
        <v>3</v>
      </c>
      <c r="N159" s="46">
        <v>5</v>
      </c>
      <c r="O159" s="46">
        <v>4</v>
      </c>
      <c r="P159" s="46">
        <v>8</v>
      </c>
      <c r="Q159" s="46">
        <v>13</v>
      </c>
      <c r="R159" s="46">
        <v>14</v>
      </c>
      <c r="S159" s="46">
        <v>11</v>
      </c>
      <c r="T159" s="69">
        <v>6</v>
      </c>
      <c r="U159" s="59">
        <f t="shared" si="26"/>
        <v>151</v>
      </c>
    </row>
    <row r="160" spans="1:40" ht="15.75" customHeight="1">
      <c r="A160" s="193" t="s">
        <v>8</v>
      </c>
      <c r="B160" s="63" t="s">
        <v>13</v>
      </c>
      <c r="C160" s="63">
        <v>17</v>
      </c>
      <c r="D160" s="63">
        <v>15</v>
      </c>
      <c r="E160" s="63">
        <v>21</v>
      </c>
      <c r="F160" s="63">
        <v>22</v>
      </c>
      <c r="G160" s="63">
        <v>27</v>
      </c>
      <c r="H160" s="63">
        <v>30</v>
      </c>
      <c r="I160" s="63">
        <v>20</v>
      </c>
      <c r="J160" s="63">
        <v>15</v>
      </c>
      <c r="K160" s="194" t="s">
        <v>8</v>
      </c>
      <c r="L160" s="63" t="s">
        <v>13</v>
      </c>
      <c r="M160" s="63">
        <v>11</v>
      </c>
      <c r="N160" s="63">
        <v>17</v>
      </c>
      <c r="O160" s="63">
        <v>15</v>
      </c>
      <c r="P160" s="63">
        <v>22</v>
      </c>
      <c r="Q160" s="63">
        <v>26</v>
      </c>
      <c r="R160" s="63">
        <v>30</v>
      </c>
      <c r="S160" s="63">
        <v>17</v>
      </c>
      <c r="T160" s="68">
        <v>3</v>
      </c>
      <c r="U160" s="59">
        <f t="shared" si="26"/>
        <v>308</v>
      </c>
    </row>
    <row r="161" spans="1:21" ht="15.75" customHeight="1">
      <c r="A161" s="230"/>
      <c r="B161" s="6" t="s">
        <v>14</v>
      </c>
      <c r="C161" s="6">
        <v>4</v>
      </c>
      <c r="D161" s="6">
        <v>5</v>
      </c>
      <c r="E161" s="6">
        <v>9</v>
      </c>
      <c r="F161" s="6">
        <v>10</v>
      </c>
      <c r="G161" s="6">
        <v>12</v>
      </c>
      <c r="H161" s="6">
        <v>16</v>
      </c>
      <c r="I161" s="6">
        <v>7</v>
      </c>
      <c r="J161" s="6">
        <v>9</v>
      </c>
      <c r="K161" s="227"/>
      <c r="L161" s="6" t="s">
        <v>14</v>
      </c>
      <c r="M161" s="6">
        <v>8</v>
      </c>
      <c r="N161" s="6">
        <v>11</v>
      </c>
      <c r="O161" s="6">
        <v>8</v>
      </c>
      <c r="P161" s="6">
        <v>6</v>
      </c>
      <c r="Q161" s="6">
        <v>5</v>
      </c>
      <c r="R161" s="6">
        <v>5</v>
      </c>
      <c r="S161" s="6">
        <v>3</v>
      </c>
      <c r="T161" s="51">
        <v>2</v>
      </c>
      <c r="U161" s="59">
        <f t="shared" si="26"/>
        <v>120</v>
      </c>
    </row>
    <row r="162" spans="1:21" ht="15.75" customHeight="1">
      <c r="A162" s="230"/>
      <c r="B162" s="6" t="s">
        <v>15</v>
      </c>
      <c r="C162" s="6">
        <v>18</v>
      </c>
      <c r="D162" s="6">
        <v>21</v>
      </c>
      <c r="E162" s="6">
        <v>20</v>
      </c>
      <c r="F162" s="6">
        <v>19</v>
      </c>
      <c r="G162" s="6">
        <v>20</v>
      </c>
      <c r="H162" s="6">
        <v>19</v>
      </c>
      <c r="I162" s="6">
        <v>15</v>
      </c>
      <c r="J162" s="6">
        <v>16</v>
      </c>
      <c r="K162" s="227"/>
      <c r="L162" s="6" t="s">
        <v>15</v>
      </c>
      <c r="M162" s="6">
        <v>15</v>
      </c>
      <c r="N162" s="6">
        <v>10</v>
      </c>
      <c r="O162" s="6">
        <v>16</v>
      </c>
      <c r="P162" s="6">
        <v>21</v>
      </c>
      <c r="Q162" s="6">
        <v>27</v>
      </c>
      <c r="R162" s="6">
        <v>31</v>
      </c>
      <c r="S162" s="6">
        <v>26</v>
      </c>
      <c r="T162" s="51">
        <v>16</v>
      </c>
      <c r="U162" s="59">
        <f t="shared" si="26"/>
        <v>310</v>
      </c>
    </row>
    <row r="163" spans="1:21" ht="15.75" customHeight="1">
      <c r="A163" s="230"/>
      <c r="B163" s="6" t="s">
        <v>16</v>
      </c>
      <c r="C163" s="6">
        <v>4</v>
      </c>
      <c r="D163" s="6">
        <v>6</v>
      </c>
      <c r="E163" s="6">
        <v>8</v>
      </c>
      <c r="F163" s="6">
        <v>4</v>
      </c>
      <c r="G163" s="6">
        <v>19</v>
      </c>
      <c r="H163" s="6">
        <v>9</v>
      </c>
      <c r="I163" s="6">
        <v>3</v>
      </c>
      <c r="J163" s="6">
        <v>6</v>
      </c>
      <c r="K163" s="227"/>
      <c r="L163" s="6" t="s">
        <v>16</v>
      </c>
      <c r="M163" s="6">
        <v>4</v>
      </c>
      <c r="N163" s="6">
        <v>5</v>
      </c>
      <c r="O163" s="6">
        <v>0</v>
      </c>
      <c r="P163" s="6">
        <v>8</v>
      </c>
      <c r="Q163" s="6">
        <v>2</v>
      </c>
      <c r="R163" s="6">
        <v>8</v>
      </c>
      <c r="S163" s="6">
        <v>3</v>
      </c>
      <c r="T163" s="51">
        <v>1</v>
      </c>
      <c r="U163" s="59">
        <f t="shared" si="26"/>
        <v>90</v>
      </c>
    </row>
    <row r="164" spans="1:21" ht="15.75" customHeight="1">
      <c r="A164" s="230"/>
      <c r="B164" s="6" t="s">
        <v>17</v>
      </c>
      <c r="C164" s="6">
        <v>7</v>
      </c>
      <c r="D164" s="6">
        <v>8</v>
      </c>
      <c r="E164" s="6">
        <v>6</v>
      </c>
      <c r="F164" s="6">
        <v>7</v>
      </c>
      <c r="G164" s="6">
        <v>5</v>
      </c>
      <c r="H164" s="6">
        <v>10</v>
      </c>
      <c r="I164" s="6">
        <v>8</v>
      </c>
      <c r="J164" s="6">
        <v>4</v>
      </c>
      <c r="K164" s="227"/>
      <c r="L164" s="6" t="s">
        <v>17</v>
      </c>
      <c r="M164" s="6">
        <v>2</v>
      </c>
      <c r="N164" s="6">
        <v>4</v>
      </c>
      <c r="O164" s="6">
        <v>3</v>
      </c>
      <c r="P164" s="6">
        <v>5</v>
      </c>
      <c r="Q164" s="6">
        <v>4</v>
      </c>
      <c r="R164" s="6">
        <v>2</v>
      </c>
      <c r="S164" s="6">
        <v>6</v>
      </c>
      <c r="T164" s="51">
        <v>2</v>
      </c>
      <c r="U164" s="59">
        <f t="shared" si="26"/>
        <v>83</v>
      </c>
    </row>
    <row r="165" spans="1:21" ht="15.75" customHeight="1">
      <c r="A165" s="230"/>
      <c r="B165" s="47" t="s">
        <v>18</v>
      </c>
      <c r="C165" s="47">
        <v>15</v>
      </c>
      <c r="D165" s="47">
        <v>11</v>
      </c>
      <c r="E165" s="47">
        <v>9</v>
      </c>
      <c r="F165" s="47">
        <v>5</v>
      </c>
      <c r="G165" s="47">
        <v>8</v>
      </c>
      <c r="H165" s="47">
        <v>6</v>
      </c>
      <c r="I165" s="47">
        <v>7</v>
      </c>
      <c r="J165" s="47">
        <v>5</v>
      </c>
      <c r="K165" s="227"/>
      <c r="L165" s="47" t="s">
        <v>18</v>
      </c>
      <c r="M165" s="47">
        <v>6</v>
      </c>
      <c r="N165" s="47">
        <v>4</v>
      </c>
      <c r="O165" s="47">
        <v>3</v>
      </c>
      <c r="P165" s="47">
        <v>10</v>
      </c>
      <c r="Q165" s="47">
        <v>6</v>
      </c>
      <c r="R165" s="47">
        <v>7</v>
      </c>
      <c r="S165" s="47">
        <v>3</v>
      </c>
      <c r="T165" s="70">
        <v>3</v>
      </c>
      <c r="U165" s="59">
        <f t="shared" si="26"/>
        <v>108</v>
      </c>
    </row>
    <row r="166" spans="1:21" ht="15.75" customHeight="1">
      <c r="A166" s="196" t="s">
        <v>9</v>
      </c>
      <c r="B166" s="56" t="s">
        <v>13</v>
      </c>
      <c r="C166" s="4">
        <v>24</v>
      </c>
      <c r="D166" s="4">
        <v>10</v>
      </c>
      <c r="E166" s="4">
        <v>17</v>
      </c>
      <c r="F166" s="4">
        <v>15</v>
      </c>
      <c r="G166" s="4">
        <v>30</v>
      </c>
      <c r="H166" s="4">
        <v>15</v>
      </c>
      <c r="I166" s="4">
        <v>19</v>
      </c>
      <c r="J166" s="4">
        <v>15</v>
      </c>
      <c r="K166" s="196" t="s">
        <v>9</v>
      </c>
      <c r="L166" s="56" t="s">
        <v>13</v>
      </c>
      <c r="M166" s="4"/>
      <c r="N166" s="4"/>
      <c r="O166" s="4"/>
      <c r="P166" s="4"/>
      <c r="Q166" s="4"/>
      <c r="R166" s="4"/>
      <c r="S166" s="4"/>
      <c r="T166" s="4"/>
      <c r="U166" s="59">
        <f>SUM(M212:T212,C212:J212)</f>
        <v>0</v>
      </c>
    </row>
    <row r="167" spans="1:21" ht="15.75" customHeight="1">
      <c r="A167" s="227"/>
      <c r="B167" s="4" t="s">
        <v>14</v>
      </c>
      <c r="C167" s="4">
        <v>9</v>
      </c>
      <c r="D167" s="4">
        <v>4</v>
      </c>
      <c r="E167" s="4">
        <v>9</v>
      </c>
      <c r="F167" s="4">
        <v>13</v>
      </c>
      <c r="G167" s="4">
        <v>16</v>
      </c>
      <c r="H167" s="4">
        <v>10</v>
      </c>
      <c r="I167" s="4">
        <v>9</v>
      </c>
      <c r="J167" s="4">
        <v>11</v>
      </c>
      <c r="K167" s="227"/>
      <c r="L167" s="4" t="s">
        <v>14</v>
      </c>
      <c r="M167" s="4"/>
      <c r="N167" s="4"/>
      <c r="O167" s="4"/>
      <c r="P167" s="4"/>
      <c r="Q167" s="4"/>
      <c r="R167" s="4"/>
      <c r="S167" s="4"/>
      <c r="T167" s="4"/>
      <c r="U167" s="59">
        <f t="shared" si="26"/>
        <v>81</v>
      </c>
    </row>
    <row r="168" spans="1:21" ht="15.75" customHeight="1">
      <c r="A168" s="227"/>
      <c r="B168" s="4" t="s">
        <v>15</v>
      </c>
      <c r="C168" s="4">
        <v>29</v>
      </c>
      <c r="D168" s="4">
        <v>17</v>
      </c>
      <c r="E168" s="4">
        <v>14</v>
      </c>
      <c r="F168" s="4">
        <v>15</v>
      </c>
      <c r="G168" s="4">
        <v>26</v>
      </c>
      <c r="H168" s="4">
        <v>18</v>
      </c>
      <c r="I168" s="4">
        <v>23</v>
      </c>
      <c r="J168" s="4">
        <v>11</v>
      </c>
      <c r="K168" s="227"/>
      <c r="L168" s="4" t="s">
        <v>15</v>
      </c>
      <c r="M168" s="4"/>
      <c r="N168" s="4"/>
      <c r="O168" s="4"/>
      <c r="P168" s="4"/>
      <c r="Q168" s="4"/>
      <c r="R168" s="4"/>
      <c r="S168" s="4"/>
      <c r="T168" s="50"/>
      <c r="U168" s="59">
        <f t="shared" si="26"/>
        <v>153</v>
      </c>
    </row>
    <row r="169" spans="1:21" ht="15.75" customHeight="1">
      <c r="A169" s="227"/>
      <c r="B169" s="4" t="s">
        <v>16</v>
      </c>
      <c r="C169" s="4">
        <v>2</v>
      </c>
      <c r="D169" s="4">
        <v>2</v>
      </c>
      <c r="E169" s="4">
        <v>3</v>
      </c>
      <c r="F169" s="4">
        <v>14</v>
      </c>
      <c r="G169" s="4">
        <v>10</v>
      </c>
      <c r="H169" s="4">
        <v>10</v>
      </c>
      <c r="I169" s="4">
        <v>7</v>
      </c>
      <c r="J169" s="4">
        <v>6</v>
      </c>
      <c r="K169" s="227"/>
      <c r="L169" s="4" t="s">
        <v>16</v>
      </c>
      <c r="M169" s="4"/>
      <c r="N169" s="4"/>
      <c r="O169" s="4"/>
      <c r="P169" s="4"/>
      <c r="Q169" s="4"/>
      <c r="R169" s="4"/>
      <c r="S169" s="4"/>
      <c r="T169" s="50"/>
      <c r="U169" s="59">
        <f t="shared" si="26"/>
        <v>54</v>
      </c>
    </row>
    <row r="170" spans="1:21" ht="15.75" customHeight="1">
      <c r="A170" s="227"/>
      <c r="B170" s="4" t="s">
        <v>17</v>
      </c>
      <c r="C170" s="4">
        <v>13</v>
      </c>
      <c r="D170" s="4">
        <v>8</v>
      </c>
      <c r="E170" s="4">
        <v>2</v>
      </c>
      <c r="F170" s="4">
        <v>5</v>
      </c>
      <c r="G170" s="4">
        <v>7</v>
      </c>
      <c r="H170" s="4">
        <v>8</v>
      </c>
      <c r="I170" s="4">
        <v>2</v>
      </c>
      <c r="J170" s="4">
        <v>3</v>
      </c>
      <c r="K170" s="227"/>
      <c r="L170" s="4" t="s">
        <v>17</v>
      </c>
      <c r="M170" s="4"/>
      <c r="N170" s="4"/>
      <c r="O170" s="4"/>
      <c r="P170" s="4"/>
      <c r="Q170" s="4"/>
      <c r="R170" s="4"/>
      <c r="S170" s="4"/>
      <c r="T170" s="50"/>
      <c r="U170" s="59">
        <f t="shared" si="26"/>
        <v>48</v>
      </c>
    </row>
    <row r="171" spans="1:21" ht="15.75" customHeight="1">
      <c r="A171" s="227"/>
      <c r="B171" s="46" t="s">
        <v>18</v>
      </c>
      <c r="C171" s="46">
        <v>8</v>
      </c>
      <c r="D171" s="46">
        <v>8</v>
      </c>
      <c r="E171" s="46">
        <v>1</v>
      </c>
      <c r="F171" s="46">
        <v>7</v>
      </c>
      <c r="G171" s="46">
        <v>8</v>
      </c>
      <c r="H171" s="46">
        <v>8</v>
      </c>
      <c r="I171" s="46">
        <v>7</v>
      </c>
      <c r="J171" s="46">
        <v>9</v>
      </c>
      <c r="K171" s="227"/>
      <c r="L171" s="46" t="s">
        <v>18</v>
      </c>
      <c r="M171" s="46"/>
      <c r="N171" s="46"/>
      <c r="O171" s="46"/>
      <c r="P171" s="46"/>
      <c r="Q171" s="46"/>
      <c r="R171" s="46"/>
      <c r="S171" s="46"/>
      <c r="T171" s="69"/>
      <c r="U171" s="59">
        <f t="shared" si="26"/>
        <v>56</v>
      </c>
    </row>
    <row r="172" spans="1:21" ht="15.75" customHeight="1">
      <c r="A172" s="193" t="s">
        <v>10</v>
      </c>
      <c r="B172" s="63" t="s">
        <v>13</v>
      </c>
      <c r="C172" s="71">
        <v>20</v>
      </c>
      <c r="D172" s="71">
        <v>19</v>
      </c>
      <c r="E172" s="71">
        <v>17</v>
      </c>
      <c r="F172" s="71">
        <v>19</v>
      </c>
      <c r="G172" s="71">
        <v>30</v>
      </c>
      <c r="H172" s="71">
        <v>25</v>
      </c>
      <c r="I172" s="71">
        <v>29</v>
      </c>
      <c r="J172" s="71">
        <v>29</v>
      </c>
      <c r="K172" s="194" t="s">
        <v>10</v>
      </c>
      <c r="L172" s="63" t="s">
        <v>13</v>
      </c>
      <c r="M172" s="71"/>
      <c r="N172" s="71"/>
      <c r="O172" s="71"/>
      <c r="P172" s="71"/>
      <c r="Q172" s="71"/>
      <c r="R172" s="71"/>
      <c r="S172" s="71"/>
      <c r="T172" s="72"/>
      <c r="U172" s="59">
        <f t="shared" si="26"/>
        <v>188</v>
      </c>
    </row>
    <row r="173" spans="1:21" ht="15.75" customHeight="1">
      <c r="A173" s="230"/>
      <c r="B173" s="6" t="s">
        <v>14</v>
      </c>
      <c r="C173" s="8">
        <v>8</v>
      </c>
      <c r="D173" s="8">
        <v>7</v>
      </c>
      <c r="E173" s="8">
        <v>9</v>
      </c>
      <c r="F173" s="8">
        <v>8</v>
      </c>
      <c r="G173" s="8">
        <v>15</v>
      </c>
      <c r="H173" s="8">
        <v>12</v>
      </c>
      <c r="I173" s="8">
        <v>12</v>
      </c>
      <c r="J173" s="8">
        <v>10</v>
      </c>
      <c r="K173" s="227"/>
      <c r="L173" s="6" t="s">
        <v>14</v>
      </c>
      <c r="M173" s="8"/>
      <c r="N173" s="8"/>
      <c r="O173" s="8"/>
      <c r="P173" s="8"/>
      <c r="Q173" s="8"/>
      <c r="R173" s="8"/>
      <c r="S173" s="8"/>
      <c r="T173" s="52"/>
      <c r="U173" s="59">
        <f t="shared" si="26"/>
        <v>81</v>
      </c>
    </row>
    <row r="174" spans="1:21" ht="15.75" customHeight="1">
      <c r="A174" s="230"/>
      <c r="B174" s="6" t="s">
        <v>15</v>
      </c>
      <c r="C174" s="8">
        <v>18</v>
      </c>
      <c r="D174" s="8">
        <v>16</v>
      </c>
      <c r="E174" s="8">
        <v>17</v>
      </c>
      <c r="F174" s="8">
        <v>11</v>
      </c>
      <c r="G174" s="8">
        <v>21</v>
      </c>
      <c r="H174" s="8">
        <v>20</v>
      </c>
      <c r="I174" s="8">
        <v>19</v>
      </c>
      <c r="J174" s="8">
        <v>12</v>
      </c>
      <c r="K174" s="227"/>
      <c r="L174" s="6" t="s">
        <v>15</v>
      </c>
      <c r="M174" s="8"/>
      <c r="N174" s="8"/>
      <c r="O174" s="8"/>
      <c r="P174" s="8"/>
      <c r="Q174" s="8"/>
      <c r="R174" s="8"/>
      <c r="S174" s="8"/>
      <c r="T174" s="52"/>
      <c r="U174" s="59">
        <f t="shared" si="26"/>
        <v>134</v>
      </c>
    </row>
    <row r="175" spans="1:21" ht="15.75" customHeight="1">
      <c r="A175" s="230"/>
      <c r="B175" s="6" t="s">
        <v>16</v>
      </c>
      <c r="C175" s="8">
        <v>4</v>
      </c>
      <c r="D175" s="8">
        <v>5</v>
      </c>
      <c r="E175" s="8">
        <v>5</v>
      </c>
      <c r="F175" s="8">
        <v>12</v>
      </c>
      <c r="G175" s="8">
        <v>15</v>
      </c>
      <c r="H175" s="8">
        <v>12</v>
      </c>
      <c r="I175" s="8">
        <v>10</v>
      </c>
      <c r="J175" s="8">
        <v>7</v>
      </c>
      <c r="K175" s="227"/>
      <c r="L175" s="6" t="s">
        <v>16</v>
      </c>
      <c r="M175" s="8"/>
      <c r="N175" s="8"/>
      <c r="O175" s="8"/>
      <c r="P175" s="8"/>
      <c r="Q175" s="8"/>
      <c r="R175" s="8"/>
      <c r="S175" s="8"/>
      <c r="T175" s="52"/>
      <c r="U175" s="59">
        <f t="shared" si="26"/>
        <v>70</v>
      </c>
    </row>
    <row r="176" spans="1:21" ht="15.75" customHeight="1">
      <c r="A176" s="230"/>
      <c r="B176" s="6" t="s">
        <v>17</v>
      </c>
      <c r="C176" s="8">
        <v>9</v>
      </c>
      <c r="D176" s="8">
        <v>6</v>
      </c>
      <c r="E176" s="8">
        <v>7</v>
      </c>
      <c r="F176" s="8">
        <v>5</v>
      </c>
      <c r="G176" s="8">
        <v>21</v>
      </c>
      <c r="H176" s="8">
        <v>15</v>
      </c>
      <c r="I176" s="8">
        <v>12</v>
      </c>
      <c r="J176" s="8">
        <v>9</v>
      </c>
      <c r="K176" s="227"/>
      <c r="L176" s="6" t="s">
        <v>17</v>
      </c>
      <c r="M176" s="8"/>
      <c r="N176" s="8"/>
      <c r="O176" s="8"/>
      <c r="P176" s="8"/>
      <c r="Q176" s="8"/>
      <c r="R176" s="8"/>
      <c r="S176" s="8"/>
      <c r="T176" s="52"/>
      <c r="U176" s="59">
        <f t="shared" si="26"/>
        <v>84</v>
      </c>
    </row>
    <row r="177" spans="1:40" ht="15.75" customHeight="1">
      <c r="A177" s="230"/>
      <c r="B177" s="47" t="s">
        <v>18</v>
      </c>
      <c r="C177" s="77">
        <v>17</v>
      </c>
      <c r="D177" s="77">
        <v>10</v>
      </c>
      <c r="E177" s="77">
        <v>4</v>
      </c>
      <c r="F177" s="77">
        <v>6</v>
      </c>
      <c r="G177" s="77">
        <v>8</v>
      </c>
      <c r="H177" s="77">
        <v>7</v>
      </c>
      <c r="I177" s="77">
        <v>7</v>
      </c>
      <c r="J177" s="77">
        <v>5</v>
      </c>
      <c r="K177" s="227"/>
      <c r="L177" s="47" t="s">
        <v>18</v>
      </c>
      <c r="M177" s="77"/>
      <c r="N177" s="77"/>
      <c r="O177" s="77"/>
      <c r="P177" s="77"/>
      <c r="Q177" s="77"/>
      <c r="R177" s="77"/>
      <c r="S177" s="77"/>
      <c r="T177" s="78"/>
      <c r="U177" s="59">
        <f t="shared" si="26"/>
        <v>64</v>
      </c>
    </row>
    <row r="178" spans="1:40" ht="15.75" customHeight="1">
      <c r="A178" s="195" t="s">
        <v>11</v>
      </c>
      <c r="B178" s="56" t="s">
        <v>13</v>
      </c>
      <c r="C178" s="73">
        <v>6</v>
      </c>
      <c r="D178" s="73">
        <v>16</v>
      </c>
      <c r="E178" s="73">
        <v>25</v>
      </c>
      <c r="F178" s="73">
        <v>22</v>
      </c>
      <c r="G178" s="73">
        <v>30</v>
      </c>
      <c r="H178" s="73">
        <v>18</v>
      </c>
      <c r="I178" s="73">
        <v>14</v>
      </c>
      <c r="J178" s="73">
        <v>9</v>
      </c>
      <c r="K178" s="196" t="s">
        <v>11</v>
      </c>
      <c r="L178" s="56" t="s">
        <v>13</v>
      </c>
      <c r="M178" s="73">
        <v>11</v>
      </c>
      <c r="N178" s="73">
        <v>12</v>
      </c>
      <c r="O178" s="73">
        <v>15</v>
      </c>
      <c r="P178" s="73">
        <v>19</v>
      </c>
      <c r="Q178" s="73">
        <v>24</v>
      </c>
      <c r="R178" s="73"/>
      <c r="S178" s="73"/>
      <c r="T178" s="74"/>
      <c r="U178" s="59">
        <f t="shared" si="26"/>
        <v>221</v>
      </c>
    </row>
    <row r="179" spans="1:40" ht="15.75" customHeight="1">
      <c r="A179" s="230"/>
      <c r="B179" s="4" t="s">
        <v>14</v>
      </c>
      <c r="C179" s="9">
        <v>6</v>
      </c>
      <c r="D179" s="9">
        <v>5</v>
      </c>
      <c r="E179" s="9">
        <v>11</v>
      </c>
      <c r="F179" s="9">
        <v>9</v>
      </c>
      <c r="G179" s="9">
        <v>11</v>
      </c>
      <c r="H179" s="9">
        <v>14</v>
      </c>
      <c r="I179" s="9">
        <v>22</v>
      </c>
      <c r="J179" s="9">
        <v>10</v>
      </c>
      <c r="K179" s="227"/>
      <c r="L179" s="4" t="s">
        <v>14</v>
      </c>
      <c r="M179" s="9">
        <v>6</v>
      </c>
      <c r="N179" s="9">
        <v>9</v>
      </c>
      <c r="O179" s="9">
        <v>8</v>
      </c>
      <c r="P179" s="9">
        <v>7</v>
      </c>
      <c r="Q179" s="9">
        <v>3</v>
      </c>
      <c r="R179" s="9"/>
      <c r="S179" s="9"/>
      <c r="T179" s="53"/>
      <c r="U179" s="59">
        <f t="shared" si="26"/>
        <v>121</v>
      </c>
    </row>
    <row r="180" spans="1:40" ht="15.75" customHeight="1">
      <c r="A180" s="230"/>
      <c r="B180" s="4" t="s">
        <v>15</v>
      </c>
      <c r="C180" s="9">
        <v>9</v>
      </c>
      <c r="D180" s="9">
        <v>9</v>
      </c>
      <c r="E180" s="9">
        <v>13</v>
      </c>
      <c r="F180" s="9">
        <v>17</v>
      </c>
      <c r="G180" s="9">
        <v>23</v>
      </c>
      <c r="H180" s="9">
        <v>20</v>
      </c>
      <c r="I180" s="9">
        <v>27</v>
      </c>
      <c r="J180" s="9">
        <v>13</v>
      </c>
      <c r="K180" s="227"/>
      <c r="L180" s="4" t="s">
        <v>15</v>
      </c>
      <c r="M180" s="9">
        <v>12</v>
      </c>
      <c r="N180" s="9">
        <v>14</v>
      </c>
      <c r="O180" s="9">
        <v>17</v>
      </c>
      <c r="P180" s="9">
        <v>21</v>
      </c>
      <c r="Q180" s="9">
        <v>17</v>
      </c>
      <c r="R180" s="9"/>
      <c r="S180" s="9"/>
      <c r="T180" s="53"/>
      <c r="U180" s="59">
        <f t="shared" si="26"/>
        <v>212</v>
      </c>
    </row>
    <row r="181" spans="1:40" ht="15.75" customHeight="1">
      <c r="A181" s="230"/>
      <c r="B181" s="4" t="s">
        <v>16</v>
      </c>
      <c r="C181" s="9">
        <v>1</v>
      </c>
      <c r="D181" s="9">
        <v>2</v>
      </c>
      <c r="E181" s="9">
        <v>6</v>
      </c>
      <c r="F181" s="9">
        <v>9</v>
      </c>
      <c r="G181" s="9">
        <v>15</v>
      </c>
      <c r="H181" s="9">
        <v>15</v>
      </c>
      <c r="I181" s="9">
        <v>5</v>
      </c>
      <c r="J181" s="9">
        <v>1</v>
      </c>
      <c r="K181" s="227"/>
      <c r="L181" s="4" t="s">
        <v>16</v>
      </c>
      <c r="M181" s="9">
        <v>4</v>
      </c>
      <c r="N181" s="9">
        <v>3</v>
      </c>
      <c r="O181" s="9">
        <v>4</v>
      </c>
      <c r="P181" s="9">
        <v>2</v>
      </c>
      <c r="Q181" s="9">
        <v>0</v>
      </c>
      <c r="R181" s="9"/>
      <c r="S181" s="9"/>
      <c r="T181" s="53"/>
      <c r="U181" s="59">
        <f t="shared" si="26"/>
        <v>67</v>
      </c>
    </row>
    <row r="182" spans="1:40" ht="15.75" customHeight="1">
      <c r="A182" s="230"/>
      <c r="B182" s="4" t="s">
        <v>17</v>
      </c>
      <c r="C182" s="9">
        <v>2</v>
      </c>
      <c r="D182" s="9">
        <v>3</v>
      </c>
      <c r="E182" s="9">
        <v>6</v>
      </c>
      <c r="F182" s="9">
        <v>8</v>
      </c>
      <c r="G182" s="9">
        <v>6</v>
      </c>
      <c r="H182" s="9">
        <v>13</v>
      </c>
      <c r="I182" s="9">
        <v>9</v>
      </c>
      <c r="J182" s="9">
        <v>3</v>
      </c>
      <c r="K182" s="227"/>
      <c r="L182" s="4" t="s">
        <v>17</v>
      </c>
      <c r="M182" s="9">
        <v>3</v>
      </c>
      <c r="N182" s="9">
        <v>5</v>
      </c>
      <c r="O182" s="9">
        <v>2</v>
      </c>
      <c r="P182" s="9">
        <v>3</v>
      </c>
      <c r="Q182" s="9">
        <v>3</v>
      </c>
      <c r="R182" s="9"/>
      <c r="S182" s="9"/>
      <c r="T182" s="53"/>
      <c r="U182" s="59">
        <f t="shared" si="26"/>
        <v>66</v>
      </c>
    </row>
    <row r="183" spans="1:40" ht="15.75" customHeight="1">
      <c r="A183" s="231"/>
      <c r="B183" s="61" t="s">
        <v>18</v>
      </c>
      <c r="C183" s="75">
        <v>4</v>
      </c>
      <c r="D183" s="75">
        <v>6</v>
      </c>
      <c r="E183" s="75">
        <v>4</v>
      </c>
      <c r="F183" s="75">
        <v>2</v>
      </c>
      <c r="G183" s="75">
        <v>7</v>
      </c>
      <c r="H183" s="75">
        <v>9</v>
      </c>
      <c r="I183" s="75">
        <v>7</v>
      </c>
      <c r="J183" s="75">
        <v>2</v>
      </c>
      <c r="K183" s="232"/>
      <c r="L183" s="61" t="s">
        <v>18</v>
      </c>
      <c r="M183" s="75">
        <v>5</v>
      </c>
      <c r="N183" s="75">
        <v>1</v>
      </c>
      <c r="O183" s="75">
        <v>4</v>
      </c>
      <c r="P183" s="75">
        <v>6</v>
      </c>
      <c r="Q183" s="75">
        <v>4</v>
      </c>
      <c r="R183" s="75"/>
      <c r="S183" s="75"/>
      <c r="T183" s="76"/>
      <c r="U183" s="59">
        <f t="shared" si="26"/>
        <v>61</v>
      </c>
    </row>
    <row r="185" spans="1:40" ht="15.75" customHeight="1">
      <c r="A185" s="1"/>
      <c r="B185" s="1"/>
      <c r="C185" s="183" t="s">
        <v>0</v>
      </c>
      <c r="D185" s="225"/>
      <c r="E185" s="225"/>
      <c r="F185" s="225"/>
      <c r="G185" s="226"/>
      <c r="H185" s="2"/>
      <c r="I185" s="1"/>
    </row>
    <row r="186" spans="1:40" ht="15.75" customHeight="1">
      <c r="A186" s="1"/>
      <c r="B186" s="183" t="s">
        <v>1</v>
      </c>
      <c r="C186" s="225"/>
      <c r="D186" s="226"/>
      <c r="E186" s="1"/>
      <c r="F186" s="184" t="s">
        <v>111</v>
      </c>
      <c r="G186" s="225"/>
      <c r="H186" s="226"/>
      <c r="I186" s="1"/>
      <c r="K186" s="1"/>
      <c r="L186" s="183" t="s">
        <v>26</v>
      </c>
      <c r="M186" s="225"/>
      <c r="N186" s="226"/>
      <c r="O186" s="1"/>
      <c r="P186" s="184" t="s">
        <v>111</v>
      </c>
      <c r="Q186" s="225"/>
      <c r="R186" s="226"/>
      <c r="S186" s="1"/>
    </row>
    <row r="187" spans="1:40" ht="15.75" customHeight="1">
      <c r="A187" s="54" t="s">
        <v>35</v>
      </c>
      <c r="B187" s="54" t="s">
        <v>4</v>
      </c>
      <c r="C187" s="54" t="s">
        <v>12</v>
      </c>
      <c r="D187" s="54" t="s">
        <v>19</v>
      </c>
      <c r="E187" s="54" t="s">
        <v>20</v>
      </c>
      <c r="F187" s="54" t="s">
        <v>21</v>
      </c>
      <c r="G187" s="54" t="s">
        <v>22</v>
      </c>
      <c r="H187" s="54" t="s">
        <v>23</v>
      </c>
      <c r="I187" s="54" t="s">
        <v>24</v>
      </c>
      <c r="J187" s="54" t="s">
        <v>25</v>
      </c>
      <c r="K187" s="54" t="s">
        <v>35</v>
      </c>
      <c r="L187" s="54" t="s">
        <v>4</v>
      </c>
      <c r="M187" s="54" t="s">
        <v>27</v>
      </c>
      <c r="N187" s="54" t="s">
        <v>28</v>
      </c>
      <c r="O187" s="54" t="s">
        <v>29</v>
      </c>
      <c r="P187" s="54" t="s">
        <v>30</v>
      </c>
      <c r="Q187" s="54" t="s">
        <v>31</v>
      </c>
      <c r="R187" s="54" t="s">
        <v>32</v>
      </c>
      <c r="S187" s="54" t="s">
        <v>33</v>
      </c>
      <c r="T187" s="54" t="s">
        <v>34</v>
      </c>
      <c r="U187" s="54" t="s">
        <v>55</v>
      </c>
    </row>
    <row r="188" spans="1:40" ht="15.75" customHeight="1">
      <c r="A188" s="195" t="s">
        <v>5</v>
      </c>
      <c r="B188" s="56" t="s">
        <v>13</v>
      </c>
      <c r="C188" s="57"/>
      <c r="D188" s="57"/>
      <c r="E188" s="56">
        <v>6</v>
      </c>
      <c r="F188" s="56">
        <v>12</v>
      </c>
      <c r="G188" s="56">
        <v>29</v>
      </c>
      <c r="H188" s="56">
        <v>26</v>
      </c>
      <c r="I188" s="56">
        <v>20</v>
      </c>
      <c r="J188" s="56">
        <v>25</v>
      </c>
      <c r="K188" s="196" t="s">
        <v>5</v>
      </c>
      <c r="L188" s="56" t="s">
        <v>13</v>
      </c>
      <c r="M188" s="56">
        <v>9</v>
      </c>
      <c r="N188" s="56">
        <v>6</v>
      </c>
      <c r="O188" s="56">
        <v>8</v>
      </c>
      <c r="P188" s="56">
        <v>10</v>
      </c>
      <c r="Q188" s="56">
        <v>3</v>
      </c>
      <c r="R188" s="57"/>
      <c r="S188" s="57"/>
      <c r="T188" s="58"/>
      <c r="U188" s="59">
        <f>SUM(M188:T188,C188:J188)</f>
        <v>154</v>
      </c>
      <c r="W188" s="197" t="s">
        <v>2</v>
      </c>
      <c r="X188" s="198"/>
      <c r="AG188" s="190" t="s">
        <v>58</v>
      </c>
      <c r="AH188" s="191"/>
      <c r="AI188" s="191"/>
      <c r="AJ188" s="191"/>
      <c r="AK188" s="191"/>
      <c r="AL188" s="191"/>
      <c r="AM188" s="191"/>
      <c r="AN188" s="192"/>
    </row>
    <row r="189" spans="1:40" ht="15.75" customHeight="1">
      <c r="A189" s="230"/>
      <c r="B189" s="4" t="s">
        <v>14</v>
      </c>
      <c r="C189" s="5"/>
      <c r="D189" s="5"/>
      <c r="E189" s="4">
        <v>3</v>
      </c>
      <c r="F189" s="4">
        <v>7</v>
      </c>
      <c r="G189" s="4">
        <v>6</v>
      </c>
      <c r="H189" s="4">
        <v>8</v>
      </c>
      <c r="I189" s="4">
        <v>8</v>
      </c>
      <c r="J189" s="4">
        <v>8</v>
      </c>
      <c r="K189" s="227"/>
      <c r="L189" s="4" t="s">
        <v>14</v>
      </c>
      <c r="M189" s="4">
        <v>4</v>
      </c>
      <c r="N189" s="4">
        <v>4</v>
      </c>
      <c r="O189" s="4">
        <v>1</v>
      </c>
      <c r="P189" s="4">
        <v>2</v>
      </c>
      <c r="Q189" s="4">
        <v>3</v>
      </c>
      <c r="R189" s="5"/>
      <c r="S189" s="5"/>
      <c r="T189" s="49"/>
      <c r="U189" s="59">
        <f t="shared" ref="U189:U229" si="34">SUM(M189:T189,C189:J189)</f>
        <v>54</v>
      </c>
      <c r="W189" s="55" t="s">
        <v>5</v>
      </c>
      <c r="X189" s="48">
        <f>SUM(U188:U193)</f>
        <v>483</v>
      </c>
      <c r="AG189" s="98" t="s">
        <v>4</v>
      </c>
      <c r="AH189" s="98" t="s">
        <v>5</v>
      </c>
      <c r="AI189" s="98" t="s">
        <v>6</v>
      </c>
      <c r="AJ189" s="98" t="s">
        <v>7</v>
      </c>
      <c r="AK189" s="98" t="s">
        <v>8</v>
      </c>
      <c r="AL189" s="98" t="s">
        <v>9</v>
      </c>
      <c r="AM189" s="98" t="s">
        <v>10</v>
      </c>
      <c r="AN189" s="98" t="s">
        <v>11</v>
      </c>
    </row>
    <row r="190" spans="1:40" ht="15.75" customHeight="1">
      <c r="A190" s="230"/>
      <c r="B190" s="4" t="s">
        <v>15</v>
      </c>
      <c r="C190" s="5"/>
      <c r="D190" s="5"/>
      <c r="E190" s="4">
        <v>12</v>
      </c>
      <c r="F190" s="4">
        <v>18</v>
      </c>
      <c r="G190" s="4">
        <v>15</v>
      </c>
      <c r="H190" s="4">
        <v>5</v>
      </c>
      <c r="I190" s="4">
        <v>15</v>
      </c>
      <c r="J190" s="4">
        <v>22</v>
      </c>
      <c r="K190" s="227"/>
      <c r="L190" s="4" t="s">
        <v>15</v>
      </c>
      <c r="M190" s="4">
        <v>10</v>
      </c>
      <c r="N190" s="4">
        <v>9</v>
      </c>
      <c r="O190" s="4">
        <v>7</v>
      </c>
      <c r="P190" s="4">
        <v>11</v>
      </c>
      <c r="Q190" s="4">
        <v>9</v>
      </c>
      <c r="R190" s="5"/>
      <c r="S190" s="5"/>
      <c r="T190" s="49"/>
      <c r="U190" s="59">
        <f t="shared" si="34"/>
        <v>133</v>
      </c>
      <c r="W190" s="55" t="s">
        <v>6</v>
      </c>
      <c r="X190" s="48">
        <f>SUM(U194:U199)</f>
        <v>412</v>
      </c>
      <c r="AG190" s="79" t="s">
        <v>13</v>
      </c>
      <c r="AH190" s="79">
        <f t="shared" ref="AH190:AH195" si="35">U188</f>
        <v>154</v>
      </c>
      <c r="AI190" s="79">
        <f t="shared" ref="AI190:AI195" si="36">U194</f>
        <v>145</v>
      </c>
      <c r="AJ190" s="79">
        <f t="shared" ref="AJ190:AJ195" si="37">U200</f>
        <v>335</v>
      </c>
      <c r="AK190" s="79">
        <f t="shared" ref="AK190:AK195" si="38">U206</f>
        <v>272</v>
      </c>
      <c r="AL190" s="79">
        <f>U209</f>
        <v>83</v>
      </c>
      <c r="AM190" s="79">
        <f t="shared" ref="AM190:AM195" si="39">U218</f>
        <v>0</v>
      </c>
      <c r="AN190" s="79">
        <f t="shared" ref="AN190:AN195" si="40">U224</f>
        <v>0</v>
      </c>
    </row>
    <row r="191" spans="1:40" ht="15.75" customHeight="1">
      <c r="A191" s="230"/>
      <c r="B191" s="4" t="s">
        <v>16</v>
      </c>
      <c r="C191" s="5"/>
      <c r="D191" s="5"/>
      <c r="E191" s="4">
        <v>2</v>
      </c>
      <c r="F191" s="4">
        <v>2</v>
      </c>
      <c r="G191" s="4">
        <v>7</v>
      </c>
      <c r="H191" s="4">
        <v>2</v>
      </c>
      <c r="I191" s="4">
        <v>4</v>
      </c>
      <c r="J191" s="4">
        <v>7</v>
      </c>
      <c r="K191" s="227"/>
      <c r="L191" s="4" t="s">
        <v>16</v>
      </c>
      <c r="M191" s="4">
        <v>0</v>
      </c>
      <c r="N191" s="4">
        <v>4</v>
      </c>
      <c r="O191" s="4">
        <v>3</v>
      </c>
      <c r="P191" s="4">
        <v>1</v>
      </c>
      <c r="Q191" s="4">
        <v>3</v>
      </c>
      <c r="R191" s="5"/>
      <c r="S191" s="5"/>
      <c r="T191" s="49"/>
      <c r="U191" s="59">
        <f t="shared" si="34"/>
        <v>35</v>
      </c>
      <c r="W191" s="55" t="s">
        <v>7</v>
      </c>
      <c r="X191" s="48">
        <f>SUM(U200:U205)</f>
        <v>1195</v>
      </c>
      <c r="AG191" s="97" t="s">
        <v>14</v>
      </c>
      <c r="AH191" s="97">
        <f t="shared" si="35"/>
        <v>54</v>
      </c>
      <c r="AI191" s="97">
        <f t="shared" si="36"/>
        <v>57</v>
      </c>
      <c r="AJ191" s="97">
        <f t="shared" si="37"/>
        <v>156</v>
      </c>
      <c r="AK191" s="97">
        <f t="shared" si="38"/>
        <v>113</v>
      </c>
      <c r="AL191" s="97">
        <f t="shared" ref="AL190:AL195" si="41">U213</f>
        <v>0</v>
      </c>
      <c r="AM191" s="97">
        <f t="shared" si="39"/>
        <v>0</v>
      </c>
      <c r="AN191" s="97">
        <f t="shared" si="40"/>
        <v>0</v>
      </c>
    </row>
    <row r="192" spans="1:40" ht="15.75" customHeight="1">
      <c r="A192" s="230"/>
      <c r="B192" s="4" t="s">
        <v>17</v>
      </c>
      <c r="C192" s="5"/>
      <c r="D192" s="5"/>
      <c r="E192" s="4">
        <v>3</v>
      </c>
      <c r="F192" s="4">
        <v>5</v>
      </c>
      <c r="G192" s="4">
        <v>8</v>
      </c>
      <c r="H192" s="4">
        <v>11</v>
      </c>
      <c r="I192" s="4">
        <v>7</v>
      </c>
      <c r="J192" s="4">
        <v>7</v>
      </c>
      <c r="K192" s="227"/>
      <c r="L192" s="4" t="s">
        <v>17</v>
      </c>
      <c r="M192" s="4">
        <v>4</v>
      </c>
      <c r="N192" s="4">
        <v>1</v>
      </c>
      <c r="O192" s="4">
        <v>2</v>
      </c>
      <c r="P192" s="4">
        <v>3</v>
      </c>
      <c r="Q192" s="4">
        <v>2</v>
      </c>
      <c r="R192" s="5"/>
      <c r="S192" s="5"/>
      <c r="T192" s="49"/>
      <c r="U192" s="59">
        <f t="shared" si="34"/>
        <v>53</v>
      </c>
      <c r="W192" s="55" t="s">
        <v>61</v>
      </c>
      <c r="X192" s="48">
        <f>SUM(U206:U211)</f>
        <v>939</v>
      </c>
      <c r="AG192" s="79" t="s">
        <v>15</v>
      </c>
      <c r="AH192" s="79">
        <f t="shared" si="35"/>
        <v>133</v>
      </c>
      <c r="AI192" s="79">
        <f t="shared" si="36"/>
        <v>109</v>
      </c>
      <c r="AJ192" s="79">
        <f t="shared" si="37"/>
        <v>342</v>
      </c>
      <c r="AK192" s="79">
        <f t="shared" si="38"/>
        <v>289</v>
      </c>
      <c r="AL192" s="79">
        <f t="shared" si="41"/>
        <v>0</v>
      </c>
      <c r="AM192" s="79">
        <f t="shared" si="39"/>
        <v>0</v>
      </c>
      <c r="AN192" s="79">
        <f t="shared" si="40"/>
        <v>0</v>
      </c>
    </row>
    <row r="193" spans="1:40" ht="15.75" customHeight="1">
      <c r="A193" s="230"/>
      <c r="B193" s="46" t="s">
        <v>18</v>
      </c>
      <c r="C193" s="64"/>
      <c r="D193" s="64"/>
      <c r="E193" s="46">
        <v>10</v>
      </c>
      <c r="F193" s="46">
        <v>4</v>
      </c>
      <c r="G193" s="46">
        <v>4</v>
      </c>
      <c r="H193" s="46">
        <v>9</v>
      </c>
      <c r="I193" s="46">
        <v>3</v>
      </c>
      <c r="J193" s="46">
        <v>10</v>
      </c>
      <c r="K193" s="227"/>
      <c r="L193" s="46" t="s">
        <v>18</v>
      </c>
      <c r="M193" s="46">
        <v>3</v>
      </c>
      <c r="N193" s="46">
        <v>3</v>
      </c>
      <c r="O193" s="46">
        <v>4</v>
      </c>
      <c r="P193" s="46">
        <v>2</v>
      </c>
      <c r="Q193" s="46">
        <v>2</v>
      </c>
      <c r="R193" s="64"/>
      <c r="S193" s="64"/>
      <c r="T193" s="65"/>
      <c r="U193" s="59">
        <f t="shared" si="34"/>
        <v>54</v>
      </c>
      <c r="W193" s="55" t="s">
        <v>9</v>
      </c>
      <c r="X193" s="48" t="e">
        <f>SUM(U212:U217)</f>
        <v>#REF!</v>
      </c>
      <c r="AG193" s="97" t="s">
        <v>16</v>
      </c>
      <c r="AH193" s="97">
        <f t="shared" si="35"/>
        <v>35</v>
      </c>
      <c r="AI193" s="97">
        <f t="shared" si="36"/>
        <v>19</v>
      </c>
      <c r="AJ193" s="97">
        <f t="shared" si="37"/>
        <v>115</v>
      </c>
      <c r="AK193" s="97">
        <f t="shared" si="38"/>
        <v>83</v>
      </c>
      <c r="AL193" s="97">
        <f t="shared" si="41"/>
        <v>0</v>
      </c>
      <c r="AM193" s="97">
        <f t="shared" si="39"/>
        <v>0</v>
      </c>
      <c r="AN193" s="97">
        <f t="shared" si="40"/>
        <v>0</v>
      </c>
    </row>
    <row r="194" spans="1:40" ht="15.75" customHeight="1">
      <c r="A194" s="193" t="s">
        <v>6</v>
      </c>
      <c r="B194" s="63" t="s">
        <v>13</v>
      </c>
      <c r="C194" s="57"/>
      <c r="D194" s="57"/>
      <c r="E194" s="57"/>
      <c r="F194" s="63">
        <v>24</v>
      </c>
      <c r="G194" s="63">
        <v>28</v>
      </c>
      <c r="H194" s="63">
        <v>25</v>
      </c>
      <c r="I194" s="63">
        <v>22</v>
      </c>
      <c r="J194" s="63">
        <v>15</v>
      </c>
      <c r="K194" s="194" t="s">
        <v>6</v>
      </c>
      <c r="L194" s="63" t="s">
        <v>13</v>
      </c>
      <c r="M194" s="63">
        <v>6</v>
      </c>
      <c r="N194" s="63">
        <v>5</v>
      </c>
      <c r="O194" s="63">
        <v>8</v>
      </c>
      <c r="P194" s="63">
        <v>12</v>
      </c>
      <c r="Q194" s="57"/>
      <c r="R194" s="57"/>
      <c r="S194" s="57"/>
      <c r="T194" s="58"/>
      <c r="U194" s="59">
        <f t="shared" si="34"/>
        <v>145</v>
      </c>
      <c r="W194" s="55" t="s">
        <v>10</v>
      </c>
      <c r="X194" s="48">
        <f>SUM(U218:U223)</f>
        <v>0</v>
      </c>
      <c r="AG194" s="79" t="s">
        <v>17</v>
      </c>
      <c r="AH194" s="79">
        <f t="shared" si="35"/>
        <v>53</v>
      </c>
      <c r="AI194" s="79">
        <f t="shared" si="36"/>
        <v>39</v>
      </c>
      <c r="AJ194" s="79">
        <f t="shared" si="37"/>
        <v>111</v>
      </c>
      <c r="AK194" s="79">
        <f t="shared" si="38"/>
        <v>91</v>
      </c>
      <c r="AL194" s="79">
        <f t="shared" si="41"/>
        <v>0</v>
      </c>
      <c r="AM194" s="79">
        <f t="shared" si="39"/>
        <v>0</v>
      </c>
      <c r="AN194" s="79">
        <f t="shared" si="40"/>
        <v>0</v>
      </c>
    </row>
    <row r="195" spans="1:40" ht="15.75" customHeight="1">
      <c r="A195" s="230"/>
      <c r="B195" s="6" t="s">
        <v>14</v>
      </c>
      <c r="C195" s="5"/>
      <c r="D195" s="5"/>
      <c r="E195" s="5"/>
      <c r="F195" s="6">
        <v>9</v>
      </c>
      <c r="G195" s="6">
        <v>10</v>
      </c>
      <c r="H195" s="6">
        <v>10</v>
      </c>
      <c r="I195" s="6">
        <v>6</v>
      </c>
      <c r="J195" s="6">
        <v>9</v>
      </c>
      <c r="K195" s="227"/>
      <c r="L195" s="6" t="s">
        <v>14</v>
      </c>
      <c r="M195" s="6">
        <v>3</v>
      </c>
      <c r="N195" s="6">
        <v>5</v>
      </c>
      <c r="O195" s="6">
        <v>2</v>
      </c>
      <c r="P195" s="6">
        <v>3</v>
      </c>
      <c r="Q195" s="5"/>
      <c r="R195" s="5"/>
      <c r="S195" s="5"/>
      <c r="T195" s="49"/>
      <c r="U195" s="59">
        <f t="shared" si="34"/>
        <v>57</v>
      </c>
      <c r="W195" s="81" t="s">
        <v>11</v>
      </c>
      <c r="X195" s="80">
        <f>SUM(U224:U229)</f>
        <v>0</v>
      </c>
      <c r="AG195" s="97" t="s">
        <v>18</v>
      </c>
      <c r="AH195" s="97">
        <f t="shared" si="35"/>
        <v>54</v>
      </c>
      <c r="AI195" s="97">
        <f t="shared" si="36"/>
        <v>43</v>
      </c>
      <c r="AJ195" s="97">
        <f t="shared" si="37"/>
        <v>136</v>
      </c>
      <c r="AK195" s="97">
        <f t="shared" si="38"/>
        <v>91</v>
      </c>
      <c r="AL195" s="97">
        <f t="shared" si="41"/>
        <v>0</v>
      </c>
      <c r="AM195" s="97">
        <f t="shared" si="39"/>
        <v>0</v>
      </c>
      <c r="AN195" s="97">
        <f t="shared" si="40"/>
        <v>0</v>
      </c>
    </row>
    <row r="196" spans="1:40" ht="15.75" customHeight="1">
      <c r="A196" s="230"/>
      <c r="B196" s="6" t="s">
        <v>15</v>
      </c>
      <c r="C196" s="5"/>
      <c r="D196" s="5"/>
      <c r="E196" s="5"/>
      <c r="F196" s="6">
        <v>16</v>
      </c>
      <c r="G196" s="6">
        <v>16</v>
      </c>
      <c r="H196" s="6">
        <v>22</v>
      </c>
      <c r="I196" s="6">
        <v>19</v>
      </c>
      <c r="J196" s="6">
        <v>15</v>
      </c>
      <c r="K196" s="227"/>
      <c r="L196" s="6" t="s">
        <v>15</v>
      </c>
      <c r="M196" s="6">
        <v>6</v>
      </c>
      <c r="N196" s="6">
        <v>6</v>
      </c>
      <c r="O196" s="6">
        <v>5</v>
      </c>
      <c r="P196" s="6">
        <v>4</v>
      </c>
      <c r="Q196" s="5"/>
      <c r="R196" s="5"/>
      <c r="S196" s="5"/>
      <c r="T196" s="49"/>
      <c r="U196" s="59">
        <f t="shared" si="34"/>
        <v>109</v>
      </c>
      <c r="W196" s="79" t="s">
        <v>63</v>
      </c>
      <c r="X196" s="82" t="e">
        <f>SUM(X189:X195)</f>
        <v>#REF!</v>
      </c>
    </row>
    <row r="197" spans="1:40" ht="15.75" customHeight="1">
      <c r="A197" s="230"/>
      <c r="B197" s="6" t="s">
        <v>16</v>
      </c>
      <c r="C197" s="5"/>
      <c r="D197" s="5"/>
      <c r="E197" s="5"/>
      <c r="F197" s="6">
        <v>3</v>
      </c>
      <c r="G197" s="6">
        <v>2</v>
      </c>
      <c r="H197" s="6">
        <v>4</v>
      </c>
      <c r="I197" s="6">
        <v>2</v>
      </c>
      <c r="J197" s="6">
        <v>2</v>
      </c>
      <c r="K197" s="227"/>
      <c r="L197" s="6" t="s">
        <v>16</v>
      </c>
      <c r="M197" s="6">
        <v>1</v>
      </c>
      <c r="N197" s="6">
        <v>1</v>
      </c>
      <c r="O197" s="6">
        <v>2</v>
      </c>
      <c r="P197" s="6">
        <v>2</v>
      </c>
      <c r="Q197" s="5"/>
      <c r="R197" s="5"/>
      <c r="S197" s="5"/>
      <c r="T197" s="49"/>
      <c r="U197" s="59">
        <f t="shared" si="34"/>
        <v>19</v>
      </c>
    </row>
    <row r="198" spans="1:40" ht="15.75" customHeight="1">
      <c r="A198" s="230"/>
      <c r="B198" s="6" t="s">
        <v>17</v>
      </c>
      <c r="C198" s="5"/>
      <c r="D198" s="5"/>
      <c r="E198" s="5"/>
      <c r="F198" s="6">
        <v>6</v>
      </c>
      <c r="G198" s="6">
        <v>4</v>
      </c>
      <c r="H198" s="6">
        <v>7</v>
      </c>
      <c r="I198" s="6">
        <v>4</v>
      </c>
      <c r="J198" s="6">
        <v>4</v>
      </c>
      <c r="K198" s="227"/>
      <c r="L198" s="6" t="s">
        <v>17</v>
      </c>
      <c r="M198" s="6">
        <v>8</v>
      </c>
      <c r="N198" s="6">
        <v>3</v>
      </c>
      <c r="O198" s="6">
        <v>2</v>
      </c>
      <c r="P198" s="6">
        <v>1</v>
      </c>
      <c r="Q198" s="5"/>
      <c r="R198" s="5"/>
      <c r="S198" s="5"/>
      <c r="T198" s="49"/>
      <c r="U198" s="59">
        <f t="shared" si="34"/>
        <v>39</v>
      </c>
    </row>
    <row r="199" spans="1:40" ht="15.75" customHeight="1">
      <c r="A199" s="230"/>
      <c r="B199" s="47" t="s">
        <v>18</v>
      </c>
      <c r="C199" s="64"/>
      <c r="D199" s="64"/>
      <c r="E199" s="64"/>
      <c r="F199" s="47">
        <v>5</v>
      </c>
      <c r="G199" s="47">
        <v>8</v>
      </c>
      <c r="H199" s="47">
        <v>6</v>
      </c>
      <c r="I199" s="47">
        <v>5</v>
      </c>
      <c r="J199" s="47">
        <v>4</v>
      </c>
      <c r="K199" s="227"/>
      <c r="L199" s="47" t="s">
        <v>18</v>
      </c>
      <c r="M199" s="47">
        <v>5</v>
      </c>
      <c r="N199" s="47">
        <v>4</v>
      </c>
      <c r="O199" s="47">
        <v>4</v>
      </c>
      <c r="P199" s="47">
        <v>2</v>
      </c>
      <c r="Q199" s="64"/>
      <c r="R199" s="64"/>
      <c r="S199" s="64"/>
      <c r="T199" s="65"/>
      <c r="U199" s="59">
        <f t="shared" si="34"/>
        <v>43</v>
      </c>
    </row>
    <row r="200" spans="1:40" ht="15.75" customHeight="1">
      <c r="A200" s="195" t="s">
        <v>7</v>
      </c>
      <c r="B200" s="56" t="s">
        <v>13</v>
      </c>
      <c r="C200" s="56">
        <v>17</v>
      </c>
      <c r="D200" s="56">
        <v>15</v>
      </c>
      <c r="E200" s="56">
        <v>16</v>
      </c>
      <c r="F200" s="56">
        <v>17</v>
      </c>
      <c r="G200" s="56">
        <v>26</v>
      </c>
      <c r="H200" s="56">
        <v>41</v>
      </c>
      <c r="I200" s="56">
        <v>28</v>
      </c>
      <c r="J200" s="56">
        <v>13</v>
      </c>
      <c r="K200" s="196" t="s">
        <v>7</v>
      </c>
      <c r="L200" s="56" t="s">
        <v>13</v>
      </c>
      <c r="M200" s="56">
        <v>20</v>
      </c>
      <c r="N200" s="56">
        <v>12</v>
      </c>
      <c r="O200" s="56">
        <v>19</v>
      </c>
      <c r="P200" s="56">
        <v>29</v>
      </c>
      <c r="Q200" s="56">
        <v>18</v>
      </c>
      <c r="R200" s="56">
        <v>24</v>
      </c>
      <c r="S200" s="56">
        <v>23</v>
      </c>
      <c r="T200" s="67">
        <v>17</v>
      </c>
      <c r="U200" s="59">
        <f t="shared" si="34"/>
        <v>335</v>
      </c>
    </row>
    <row r="201" spans="1:40" ht="15.75" customHeight="1">
      <c r="A201" s="230"/>
      <c r="B201" s="4" t="s">
        <v>14</v>
      </c>
      <c r="C201" s="4">
        <v>8</v>
      </c>
      <c r="D201" s="4">
        <v>3</v>
      </c>
      <c r="E201" s="4">
        <v>11</v>
      </c>
      <c r="F201" s="4">
        <v>11</v>
      </c>
      <c r="G201" s="4">
        <v>11</v>
      </c>
      <c r="H201" s="4">
        <v>13</v>
      </c>
      <c r="I201" s="4">
        <v>16</v>
      </c>
      <c r="J201" s="4">
        <v>14</v>
      </c>
      <c r="K201" s="227"/>
      <c r="L201" s="4" t="s">
        <v>14</v>
      </c>
      <c r="M201" s="4">
        <v>12</v>
      </c>
      <c r="N201" s="4">
        <v>5</v>
      </c>
      <c r="O201" s="4">
        <v>8</v>
      </c>
      <c r="P201" s="4">
        <v>10</v>
      </c>
      <c r="Q201" s="4">
        <v>12</v>
      </c>
      <c r="R201" s="4">
        <v>8</v>
      </c>
      <c r="S201" s="4">
        <v>6</v>
      </c>
      <c r="T201" s="50">
        <v>8</v>
      </c>
      <c r="U201" s="59">
        <f t="shared" si="34"/>
        <v>156</v>
      </c>
    </row>
    <row r="202" spans="1:40" ht="15.75" customHeight="1">
      <c r="A202" s="230"/>
      <c r="B202" s="4" t="s">
        <v>15</v>
      </c>
      <c r="C202" s="4">
        <v>25</v>
      </c>
      <c r="D202" s="4">
        <v>21</v>
      </c>
      <c r="E202" s="4">
        <v>20</v>
      </c>
      <c r="F202" s="4">
        <v>21</v>
      </c>
      <c r="G202" s="4">
        <v>23</v>
      </c>
      <c r="H202" s="4">
        <v>24</v>
      </c>
      <c r="I202" s="4">
        <v>22</v>
      </c>
      <c r="J202" s="4">
        <v>17</v>
      </c>
      <c r="K202" s="227"/>
      <c r="L202" s="4" t="s">
        <v>15</v>
      </c>
      <c r="M202" s="4">
        <v>15</v>
      </c>
      <c r="N202" s="4">
        <v>12</v>
      </c>
      <c r="O202" s="4">
        <v>20</v>
      </c>
      <c r="P202" s="4">
        <v>23</v>
      </c>
      <c r="Q202" s="4">
        <v>26</v>
      </c>
      <c r="R202" s="4">
        <v>23</v>
      </c>
      <c r="S202" s="4">
        <v>23</v>
      </c>
      <c r="T202" s="50">
        <v>27</v>
      </c>
      <c r="U202" s="59">
        <f t="shared" si="34"/>
        <v>342</v>
      </c>
    </row>
    <row r="203" spans="1:40" ht="15.75" customHeight="1">
      <c r="A203" s="230"/>
      <c r="B203" s="4" t="s">
        <v>16</v>
      </c>
      <c r="C203" s="4">
        <v>2</v>
      </c>
      <c r="D203" s="4">
        <v>9</v>
      </c>
      <c r="E203" s="4">
        <v>6</v>
      </c>
      <c r="F203" s="4">
        <v>7</v>
      </c>
      <c r="G203" s="4">
        <v>5</v>
      </c>
      <c r="H203" s="4">
        <v>16</v>
      </c>
      <c r="I203" s="4">
        <v>6</v>
      </c>
      <c r="J203" s="4">
        <v>4</v>
      </c>
      <c r="K203" s="227"/>
      <c r="L203" s="4" t="s">
        <v>16</v>
      </c>
      <c r="M203" s="4">
        <v>8</v>
      </c>
      <c r="N203" s="4">
        <v>17</v>
      </c>
      <c r="O203" s="4">
        <v>5</v>
      </c>
      <c r="P203" s="4">
        <v>6</v>
      </c>
      <c r="Q203" s="4">
        <v>8</v>
      </c>
      <c r="R203" s="4">
        <v>7</v>
      </c>
      <c r="S203" s="4">
        <v>3</v>
      </c>
      <c r="T203" s="50">
        <v>6</v>
      </c>
      <c r="U203" s="59">
        <f t="shared" si="34"/>
        <v>115</v>
      </c>
    </row>
    <row r="204" spans="1:40" ht="15.75" customHeight="1">
      <c r="A204" s="230"/>
      <c r="B204" s="4" t="s">
        <v>17</v>
      </c>
      <c r="C204" s="4">
        <v>6</v>
      </c>
      <c r="D204" s="4">
        <v>5</v>
      </c>
      <c r="E204" s="4">
        <v>4</v>
      </c>
      <c r="F204" s="4">
        <v>8</v>
      </c>
      <c r="G204" s="4">
        <v>6</v>
      </c>
      <c r="H204" s="4">
        <v>16</v>
      </c>
      <c r="I204" s="4">
        <v>10</v>
      </c>
      <c r="J204" s="4">
        <v>4</v>
      </c>
      <c r="K204" s="227"/>
      <c r="L204" s="4" t="s">
        <v>17</v>
      </c>
      <c r="M204" s="4">
        <v>8</v>
      </c>
      <c r="N204" s="4">
        <v>5</v>
      </c>
      <c r="O204" s="4">
        <v>4</v>
      </c>
      <c r="P204" s="4">
        <v>3</v>
      </c>
      <c r="Q204" s="4">
        <v>8</v>
      </c>
      <c r="R204" s="4">
        <v>11</v>
      </c>
      <c r="S204" s="4">
        <v>3</v>
      </c>
      <c r="T204" s="50">
        <v>10</v>
      </c>
      <c r="U204" s="59">
        <f t="shared" si="34"/>
        <v>111</v>
      </c>
    </row>
    <row r="205" spans="1:40" ht="15.75" customHeight="1">
      <c r="A205" s="230"/>
      <c r="B205" s="46" t="s">
        <v>18</v>
      </c>
      <c r="C205" s="46">
        <v>19</v>
      </c>
      <c r="D205" s="46">
        <v>9</v>
      </c>
      <c r="E205" s="46">
        <v>6</v>
      </c>
      <c r="F205" s="46">
        <v>4</v>
      </c>
      <c r="G205" s="46">
        <v>14</v>
      </c>
      <c r="H205" s="46">
        <v>13</v>
      </c>
      <c r="I205" s="46">
        <v>20</v>
      </c>
      <c r="J205" s="46">
        <v>5</v>
      </c>
      <c r="K205" s="227"/>
      <c r="L205" s="46" t="s">
        <v>18</v>
      </c>
      <c r="M205" s="46">
        <v>4</v>
      </c>
      <c r="N205" s="46">
        <v>4</v>
      </c>
      <c r="O205" s="46">
        <v>5</v>
      </c>
      <c r="P205" s="46">
        <v>5</v>
      </c>
      <c r="Q205" s="46">
        <v>10</v>
      </c>
      <c r="R205" s="46">
        <v>10</v>
      </c>
      <c r="S205" s="46">
        <v>3</v>
      </c>
      <c r="T205" s="69">
        <v>5</v>
      </c>
      <c r="U205" s="59">
        <f t="shared" si="34"/>
        <v>136</v>
      </c>
    </row>
    <row r="206" spans="1:40" ht="15.75" customHeight="1">
      <c r="A206" s="193" t="s">
        <v>8</v>
      </c>
      <c r="B206" s="63" t="s">
        <v>13</v>
      </c>
      <c r="C206" s="63">
        <v>25</v>
      </c>
      <c r="D206" s="63">
        <v>19</v>
      </c>
      <c r="E206" s="63">
        <v>13</v>
      </c>
      <c r="F206" s="63">
        <v>23</v>
      </c>
      <c r="G206" s="63">
        <v>24</v>
      </c>
      <c r="H206" s="63">
        <v>23</v>
      </c>
      <c r="I206" s="63">
        <v>13</v>
      </c>
      <c r="J206" s="63">
        <v>10</v>
      </c>
      <c r="K206" s="194" t="s">
        <v>8</v>
      </c>
      <c r="L206" s="63" t="s">
        <v>13</v>
      </c>
      <c r="M206" s="63">
        <v>13</v>
      </c>
      <c r="N206" s="63">
        <v>8</v>
      </c>
      <c r="O206" s="63">
        <v>16</v>
      </c>
      <c r="P206" s="63">
        <v>23</v>
      </c>
      <c r="Q206" s="63">
        <v>17</v>
      </c>
      <c r="R206" s="63">
        <v>15</v>
      </c>
      <c r="S206" s="63">
        <v>21</v>
      </c>
      <c r="T206" s="68">
        <v>9</v>
      </c>
      <c r="U206" s="59">
        <f t="shared" si="34"/>
        <v>272</v>
      </c>
    </row>
    <row r="207" spans="1:40" ht="15.75" customHeight="1">
      <c r="A207" s="230"/>
      <c r="B207" s="6" t="s">
        <v>14</v>
      </c>
      <c r="C207" s="6">
        <v>7</v>
      </c>
      <c r="D207" s="6">
        <v>6</v>
      </c>
      <c r="E207" s="6">
        <v>4</v>
      </c>
      <c r="F207" s="6">
        <v>10</v>
      </c>
      <c r="G207" s="6">
        <v>24</v>
      </c>
      <c r="H207" s="6">
        <v>13</v>
      </c>
      <c r="I207" s="6">
        <v>3</v>
      </c>
      <c r="J207" s="6">
        <v>5</v>
      </c>
      <c r="K207" s="227"/>
      <c r="L207" s="6" t="s">
        <v>14</v>
      </c>
      <c r="M207" s="6">
        <v>9</v>
      </c>
      <c r="N207" s="6">
        <v>9</v>
      </c>
      <c r="O207" s="6">
        <v>10</v>
      </c>
      <c r="P207" s="6">
        <v>4</v>
      </c>
      <c r="Q207" s="6">
        <v>3</v>
      </c>
      <c r="R207" s="6">
        <v>2</v>
      </c>
      <c r="S207" s="6">
        <v>0</v>
      </c>
      <c r="T207" s="51">
        <v>4</v>
      </c>
      <c r="U207" s="59">
        <f t="shared" si="34"/>
        <v>113</v>
      </c>
    </row>
    <row r="208" spans="1:40" ht="15.75" customHeight="1">
      <c r="A208" s="230"/>
      <c r="B208" s="6" t="s">
        <v>15</v>
      </c>
      <c r="C208" s="6">
        <v>22</v>
      </c>
      <c r="D208" s="6">
        <v>20</v>
      </c>
      <c r="E208" s="6">
        <v>16</v>
      </c>
      <c r="F208" s="6">
        <v>21</v>
      </c>
      <c r="G208" s="6">
        <v>27</v>
      </c>
      <c r="H208" s="6">
        <v>16</v>
      </c>
      <c r="I208" s="6">
        <v>14</v>
      </c>
      <c r="J208" s="6">
        <v>8</v>
      </c>
      <c r="K208" s="227"/>
      <c r="L208" s="6" t="s">
        <v>15</v>
      </c>
      <c r="M208" s="6">
        <v>16</v>
      </c>
      <c r="N208" s="6">
        <v>13</v>
      </c>
      <c r="O208" s="6">
        <v>14</v>
      </c>
      <c r="P208" s="6">
        <v>20</v>
      </c>
      <c r="Q208" s="6">
        <v>16</v>
      </c>
      <c r="R208" s="6">
        <v>17</v>
      </c>
      <c r="S208" s="6">
        <v>30</v>
      </c>
      <c r="T208" s="51">
        <v>19</v>
      </c>
      <c r="U208" s="59">
        <f t="shared" si="34"/>
        <v>289</v>
      </c>
    </row>
    <row r="209" spans="1:21" ht="15.75" customHeight="1">
      <c r="A209" s="230"/>
      <c r="B209" s="6" t="s">
        <v>16</v>
      </c>
      <c r="C209" s="6">
        <v>5</v>
      </c>
      <c r="D209" s="6">
        <v>6</v>
      </c>
      <c r="E209" s="6">
        <v>4</v>
      </c>
      <c r="F209" s="6">
        <v>6</v>
      </c>
      <c r="G209" s="6">
        <v>15</v>
      </c>
      <c r="H209" s="6">
        <v>5</v>
      </c>
      <c r="I209" s="6">
        <v>5</v>
      </c>
      <c r="J209" s="6">
        <v>4</v>
      </c>
      <c r="K209" s="227"/>
      <c r="L209" s="6" t="s">
        <v>16</v>
      </c>
      <c r="M209" s="6">
        <v>1</v>
      </c>
      <c r="N209" s="6">
        <v>4</v>
      </c>
      <c r="O209" s="6">
        <v>0</v>
      </c>
      <c r="P209" s="6">
        <v>5</v>
      </c>
      <c r="Q209" s="6">
        <v>6</v>
      </c>
      <c r="R209" s="6">
        <v>4</v>
      </c>
      <c r="S209" s="6">
        <v>7</v>
      </c>
      <c r="T209" s="51">
        <v>6</v>
      </c>
      <c r="U209" s="59">
        <f t="shared" si="34"/>
        <v>83</v>
      </c>
    </row>
    <row r="210" spans="1:21" ht="15.75" customHeight="1">
      <c r="A210" s="230"/>
      <c r="B210" s="6" t="s">
        <v>17</v>
      </c>
      <c r="C210" s="6">
        <v>7</v>
      </c>
      <c r="D210" s="6">
        <v>5</v>
      </c>
      <c r="E210" s="6">
        <v>5</v>
      </c>
      <c r="F210" s="6">
        <v>5</v>
      </c>
      <c r="G210" s="6">
        <v>5</v>
      </c>
      <c r="H210" s="6">
        <v>6</v>
      </c>
      <c r="I210" s="6">
        <v>6</v>
      </c>
      <c r="J210" s="6">
        <v>9</v>
      </c>
      <c r="K210" s="227"/>
      <c r="L210" s="6" t="s">
        <v>17</v>
      </c>
      <c r="M210" s="6">
        <v>8</v>
      </c>
      <c r="N210" s="6">
        <v>4</v>
      </c>
      <c r="O210" s="6">
        <v>1</v>
      </c>
      <c r="P210" s="6">
        <v>7</v>
      </c>
      <c r="Q210" s="6">
        <v>4</v>
      </c>
      <c r="R210" s="6">
        <v>3</v>
      </c>
      <c r="S210" s="6">
        <v>13</v>
      </c>
      <c r="T210" s="51">
        <v>3</v>
      </c>
      <c r="U210" s="59">
        <f t="shared" si="34"/>
        <v>91</v>
      </c>
    </row>
    <row r="211" spans="1:21" ht="15.75" customHeight="1">
      <c r="A211" s="230"/>
      <c r="B211" s="47" t="s">
        <v>18</v>
      </c>
      <c r="C211" s="47">
        <v>15</v>
      </c>
      <c r="D211" s="47">
        <v>6</v>
      </c>
      <c r="E211" s="47">
        <v>8</v>
      </c>
      <c r="F211" s="47">
        <v>4</v>
      </c>
      <c r="G211" s="47">
        <v>6</v>
      </c>
      <c r="H211" s="47">
        <v>2</v>
      </c>
      <c r="I211" s="47">
        <v>5</v>
      </c>
      <c r="J211" s="47">
        <v>4</v>
      </c>
      <c r="K211" s="227"/>
      <c r="L211" s="47" t="s">
        <v>18</v>
      </c>
      <c r="M211" s="47">
        <v>1</v>
      </c>
      <c r="N211" s="47">
        <v>2</v>
      </c>
      <c r="O211" s="47">
        <v>1</v>
      </c>
      <c r="P211" s="47">
        <v>5</v>
      </c>
      <c r="Q211" s="47">
        <v>10</v>
      </c>
      <c r="R211" s="47">
        <v>7</v>
      </c>
      <c r="S211" s="47">
        <v>6</v>
      </c>
      <c r="T211" s="70">
        <v>9</v>
      </c>
      <c r="U211" s="59">
        <f t="shared" si="34"/>
        <v>91</v>
      </c>
    </row>
    <row r="212" spans="1:21" ht="15.75" customHeight="1">
      <c r="A212" s="195" t="s">
        <v>9</v>
      </c>
      <c r="B212" s="56" t="s">
        <v>13</v>
      </c>
      <c r="C212" s="157" t="s">
        <v>112</v>
      </c>
      <c r="D212" s="157" t="s">
        <v>113</v>
      </c>
      <c r="E212" s="157" t="s">
        <v>103</v>
      </c>
      <c r="F212" s="157" t="s">
        <v>114</v>
      </c>
      <c r="G212" s="157" t="s">
        <v>115</v>
      </c>
      <c r="H212" s="157" t="s">
        <v>103</v>
      </c>
      <c r="I212" s="157" t="s">
        <v>102</v>
      </c>
      <c r="J212" s="157" t="s">
        <v>104</v>
      </c>
      <c r="K212" s="196" t="s">
        <v>9</v>
      </c>
      <c r="L212" s="56" t="s">
        <v>13</v>
      </c>
      <c r="M212" s="157" t="s">
        <v>103</v>
      </c>
      <c r="N212" s="157" t="s">
        <v>114</v>
      </c>
      <c r="O212" s="157" t="s">
        <v>115</v>
      </c>
      <c r="P212" s="157" t="s">
        <v>103</v>
      </c>
      <c r="Q212" s="157" t="s">
        <v>102</v>
      </c>
      <c r="R212" s="157" t="s">
        <v>116</v>
      </c>
      <c r="S212" s="157" t="s">
        <v>104</v>
      </c>
      <c r="T212" s="158"/>
      <c r="U212" s="59" t="e">
        <f>SUM(#REF!,#REF!)</f>
        <v>#REF!</v>
      </c>
    </row>
    <row r="213" spans="1:21" ht="15.75" customHeight="1">
      <c r="A213" s="230"/>
      <c r="B213" s="4" t="s">
        <v>14</v>
      </c>
      <c r="C213" s="4"/>
      <c r="D213" s="4"/>
      <c r="E213" s="4"/>
      <c r="F213" s="4"/>
      <c r="G213" s="4"/>
      <c r="H213" s="4"/>
      <c r="I213" s="4"/>
      <c r="J213" s="4"/>
      <c r="K213" s="227"/>
      <c r="L213" s="4" t="s">
        <v>14</v>
      </c>
      <c r="M213" s="4"/>
      <c r="N213" s="4"/>
      <c r="O213" s="4"/>
      <c r="P213" s="4"/>
      <c r="Q213" s="4"/>
      <c r="R213" s="4"/>
      <c r="S213" s="4"/>
      <c r="T213" s="50"/>
      <c r="U213" s="59">
        <f t="shared" si="34"/>
        <v>0</v>
      </c>
    </row>
    <row r="214" spans="1:21" ht="15.75" customHeight="1">
      <c r="A214" s="230"/>
      <c r="B214" s="4" t="s">
        <v>15</v>
      </c>
      <c r="C214" s="4"/>
      <c r="D214" s="4"/>
      <c r="E214" s="4"/>
      <c r="F214" s="4"/>
      <c r="G214" s="4"/>
      <c r="H214" s="4"/>
      <c r="I214" s="4"/>
      <c r="J214" s="4"/>
      <c r="K214" s="227"/>
      <c r="L214" s="4" t="s">
        <v>15</v>
      </c>
      <c r="M214" s="4"/>
      <c r="N214" s="4"/>
      <c r="O214" s="4"/>
      <c r="P214" s="4"/>
      <c r="Q214" s="4"/>
      <c r="R214" s="4"/>
      <c r="S214" s="4"/>
      <c r="T214" s="50"/>
      <c r="U214" s="59">
        <f t="shared" si="34"/>
        <v>0</v>
      </c>
    </row>
    <row r="215" spans="1:21" ht="15.75" customHeight="1">
      <c r="A215" s="230"/>
      <c r="B215" s="4" t="s">
        <v>16</v>
      </c>
      <c r="C215" s="4"/>
      <c r="D215" s="4"/>
      <c r="E215" s="4"/>
      <c r="F215" s="4"/>
      <c r="G215" s="4"/>
      <c r="H215" s="4"/>
      <c r="I215" s="4"/>
      <c r="J215" s="4"/>
      <c r="K215" s="227"/>
      <c r="L215" s="4" t="s">
        <v>16</v>
      </c>
      <c r="M215" s="4"/>
      <c r="N215" s="4"/>
      <c r="O215" s="4"/>
      <c r="P215" s="4"/>
      <c r="Q215" s="4"/>
      <c r="R215" s="4"/>
      <c r="S215" s="4"/>
      <c r="T215" s="50"/>
      <c r="U215" s="59">
        <f t="shared" si="34"/>
        <v>0</v>
      </c>
    </row>
    <row r="216" spans="1:21" ht="15.75" customHeight="1">
      <c r="A216" s="230"/>
      <c r="B216" s="4" t="s">
        <v>17</v>
      </c>
      <c r="C216" s="4"/>
      <c r="D216" s="4"/>
      <c r="E216" s="4"/>
      <c r="F216" s="4"/>
      <c r="G216" s="4"/>
      <c r="H216" s="4"/>
      <c r="I216" s="4"/>
      <c r="J216" s="4"/>
      <c r="K216" s="227"/>
      <c r="L216" s="4" t="s">
        <v>17</v>
      </c>
      <c r="M216" s="4"/>
      <c r="N216" s="4"/>
      <c r="O216" s="4"/>
      <c r="P216" s="4"/>
      <c r="Q216" s="4"/>
      <c r="R216" s="4"/>
      <c r="S216" s="4"/>
      <c r="T216" s="50"/>
      <c r="U216" s="59">
        <f t="shared" si="34"/>
        <v>0</v>
      </c>
    </row>
    <row r="217" spans="1:21" ht="15.75" customHeight="1">
      <c r="A217" s="230"/>
      <c r="B217" s="46" t="s">
        <v>18</v>
      </c>
      <c r="C217" s="46"/>
      <c r="D217" s="46"/>
      <c r="E217" s="46"/>
      <c r="F217" s="46"/>
      <c r="G217" s="46"/>
      <c r="H217" s="46"/>
      <c r="I217" s="46"/>
      <c r="J217" s="46"/>
      <c r="K217" s="227"/>
      <c r="L217" s="46" t="s">
        <v>18</v>
      </c>
      <c r="M217" s="46"/>
      <c r="N217" s="46"/>
      <c r="O217" s="46"/>
      <c r="P217" s="46"/>
      <c r="Q217" s="46"/>
      <c r="R217" s="46"/>
      <c r="S217" s="46"/>
      <c r="T217" s="69"/>
      <c r="U217" s="59">
        <f t="shared" si="34"/>
        <v>0</v>
      </c>
    </row>
    <row r="218" spans="1:21" ht="15.75" customHeight="1">
      <c r="A218" s="193" t="s">
        <v>10</v>
      </c>
      <c r="B218" s="63" t="s">
        <v>13</v>
      </c>
      <c r="C218" s="71"/>
      <c r="D218" s="71"/>
      <c r="E218" s="71"/>
      <c r="F218" s="71"/>
      <c r="G218" s="71"/>
      <c r="H218" s="71"/>
      <c r="I218" s="71"/>
      <c r="J218" s="71"/>
      <c r="K218" s="194" t="s">
        <v>10</v>
      </c>
      <c r="L218" s="63" t="s">
        <v>13</v>
      </c>
      <c r="M218" s="71"/>
      <c r="N218" s="71"/>
      <c r="O218" s="71"/>
      <c r="P218" s="71"/>
      <c r="Q218" s="71"/>
      <c r="R218" s="71"/>
      <c r="S218" s="71"/>
      <c r="T218" s="72"/>
      <c r="U218" s="59">
        <f t="shared" si="34"/>
        <v>0</v>
      </c>
    </row>
    <row r="219" spans="1:21" ht="15.75" customHeight="1">
      <c r="A219" s="230"/>
      <c r="B219" s="6" t="s">
        <v>14</v>
      </c>
      <c r="C219" s="8"/>
      <c r="D219" s="8"/>
      <c r="E219" s="8"/>
      <c r="F219" s="8"/>
      <c r="G219" s="8"/>
      <c r="H219" s="8"/>
      <c r="I219" s="8"/>
      <c r="J219" s="8"/>
      <c r="K219" s="227"/>
      <c r="L219" s="6" t="s">
        <v>14</v>
      </c>
      <c r="M219" s="8"/>
      <c r="N219" s="8"/>
      <c r="O219" s="8"/>
      <c r="P219" s="8"/>
      <c r="Q219" s="8"/>
      <c r="R219" s="8"/>
      <c r="S219" s="8"/>
      <c r="T219" s="52"/>
      <c r="U219" s="59">
        <f t="shared" si="34"/>
        <v>0</v>
      </c>
    </row>
    <row r="220" spans="1:21" ht="15.75" customHeight="1">
      <c r="A220" s="230"/>
      <c r="B220" s="6" t="s">
        <v>15</v>
      </c>
      <c r="C220" s="8"/>
      <c r="D220" s="8"/>
      <c r="E220" s="8"/>
      <c r="F220" s="8"/>
      <c r="G220" s="8"/>
      <c r="H220" s="8"/>
      <c r="I220" s="8"/>
      <c r="J220" s="8"/>
      <c r="K220" s="227"/>
      <c r="L220" s="6" t="s">
        <v>15</v>
      </c>
      <c r="M220" s="8"/>
      <c r="N220" s="8"/>
      <c r="O220" s="8"/>
      <c r="P220" s="8"/>
      <c r="Q220" s="8"/>
      <c r="R220" s="8"/>
      <c r="S220" s="8"/>
      <c r="T220" s="52"/>
      <c r="U220" s="59">
        <f t="shared" si="34"/>
        <v>0</v>
      </c>
    </row>
    <row r="221" spans="1:21" ht="15.75" customHeight="1">
      <c r="A221" s="230"/>
      <c r="B221" s="6" t="s">
        <v>16</v>
      </c>
      <c r="C221" s="8"/>
      <c r="D221" s="8"/>
      <c r="E221" s="8"/>
      <c r="F221" s="8"/>
      <c r="G221" s="8"/>
      <c r="H221" s="8"/>
      <c r="I221" s="8"/>
      <c r="J221" s="8"/>
      <c r="K221" s="227"/>
      <c r="L221" s="6" t="s">
        <v>16</v>
      </c>
      <c r="M221" s="8"/>
      <c r="N221" s="8"/>
      <c r="O221" s="8"/>
      <c r="P221" s="8"/>
      <c r="Q221" s="8"/>
      <c r="R221" s="8"/>
      <c r="S221" s="8"/>
      <c r="T221" s="52"/>
      <c r="U221" s="59">
        <f t="shared" si="34"/>
        <v>0</v>
      </c>
    </row>
    <row r="222" spans="1:21" ht="15.75" customHeight="1">
      <c r="A222" s="230"/>
      <c r="B222" s="6" t="s">
        <v>17</v>
      </c>
      <c r="C222" s="8"/>
      <c r="D222" s="8"/>
      <c r="E222" s="8"/>
      <c r="F222" s="8"/>
      <c r="G222" s="8"/>
      <c r="H222" s="8"/>
      <c r="I222" s="8"/>
      <c r="J222" s="8"/>
      <c r="K222" s="227"/>
      <c r="L222" s="6" t="s">
        <v>17</v>
      </c>
      <c r="M222" s="8"/>
      <c r="N222" s="8"/>
      <c r="O222" s="8"/>
      <c r="P222" s="8"/>
      <c r="Q222" s="8"/>
      <c r="R222" s="8"/>
      <c r="S222" s="8"/>
      <c r="T222" s="52"/>
      <c r="U222" s="59">
        <f t="shared" si="34"/>
        <v>0</v>
      </c>
    </row>
    <row r="223" spans="1:21" ht="15.75" customHeight="1">
      <c r="A223" s="230"/>
      <c r="B223" s="47" t="s">
        <v>18</v>
      </c>
      <c r="C223" s="77"/>
      <c r="D223" s="77"/>
      <c r="E223" s="77"/>
      <c r="F223" s="77"/>
      <c r="G223" s="77"/>
      <c r="H223" s="77"/>
      <c r="I223" s="77"/>
      <c r="J223" s="77"/>
      <c r="K223" s="227"/>
      <c r="L223" s="47" t="s">
        <v>18</v>
      </c>
      <c r="M223" s="77"/>
      <c r="N223" s="77"/>
      <c r="O223" s="77"/>
      <c r="P223" s="77"/>
      <c r="Q223" s="77"/>
      <c r="R223" s="77"/>
      <c r="S223" s="77"/>
      <c r="T223" s="78"/>
      <c r="U223" s="59">
        <f t="shared" si="34"/>
        <v>0</v>
      </c>
    </row>
    <row r="224" spans="1:21" ht="15.75" customHeight="1">
      <c r="A224" s="195" t="s">
        <v>11</v>
      </c>
      <c r="B224" s="56" t="s">
        <v>13</v>
      </c>
      <c r="C224" s="73"/>
      <c r="D224" s="73"/>
      <c r="E224" s="73"/>
      <c r="F224" s="73"/>
      <c r="G224" s="73"/>
      <c r="H224" s="73"/>
      <c r="I224" s="73"/>
      <c r="J224" s="73"/>
      <c r="K224" s="196" t="s">
        <v>11</v>
      </c>
      <c r="L224" s="56" t="s">
        <v>13</v>
      </c>
      <c r="M224" s="73"/>
      <c r="N224" s="73"/>
      <c r="O224" s="73"/>
      <c r="P224" s="73"/>
      <c r="Q224" s="73"/>
      <c r="R224" s="73"/>
      <c r="S224" s="73"/>
      <c r="T224" s="74"/>
      <c r="U224" s="59">
        <f t="shared" si="34"/>
        <v>0</v>
      </c>
    </row>
    <row r="225" spans="1:21" ht="15.75" customHeight="1">
      <c r="A225" s="230"/>
      <c r="B225" s="4" t="s">
        <v>14</v>
      </c>
      <c r="C225" s="9"/>
      <c r="D225" s="9"/>
      <c r="E225" s="9"/>
      <c r="F225" s="9"/>
      <c r="G225" s="9"/>
      <c r="H225" s="9"/>
      <c r="I225" s="9"/>
      <c r="J225" s="9"/>
      <c r="K225" s="227"/>
      <c r="L225" s="4" t="s">
        <v>14</v>
      </c>
      <c r="M225" s="9"/>
      <c r="N225" s="9"/>
      <c r="O225" s="9"/>
      <c r="P225" s="9"/>
      <c r="Q225" s="9"/>
      <c r="R225" s="9"/>
      <c r="S225" s="9"/>
      <c r="T225" s="53"/>
      <c r="U225" s="59">
        <f t="shared" si="34"/>
        <v>0</v>
      </c>
    </row>
    <row r="226" spans="1:21" ht="15.75" customHeight="1">
      <c r="A226" s="230"/>
      <c r="B226" s="4" t="s">
        <v>15</v>
      </c>
      <c r="C226" s="9"/>
      <c r="D226" s="9"/>
      <c r="E226" s="9"/>
      <c r="F226" s="9"/>
      <c r="G226" s="9"/>
      <c r="H226" s="9"/>
      <c r="I226" s="9"/>
      <c r="J226" s="9"/>
      <c r="K226" s="227"/>
      <c r="L226" s="4" t="s">
        <v>15</v>
      </c>
      <c r="M226" s="9"/>
      <c r="N226" s="9"/>
      <c r="O226" s="9"/>
      <c r="P226" s="9"/>
      <c r="Q226" s="9"/>
      <c r="R226" s="9"/>
      <c r="S226" s="9"/>
      <c r="T226" s="53"/>
      <c r="U226" s="59">
        <f t="shared" si="34"/>
        <v>0</v>
      </c>
    </row>
    <row r="227" spans="1:21" ht="15.75" customHeight="1">
      <c r="A227" s="230"/>
      <c r="B227" s="4" t="s">
        <v>16</v>
      </c>
      <c r="C227" s="9"/>
      <c r="D227" s="9"/>
      <c r="E227" s="9"/>
      <c r="F227" s="9"/>
      <c r="G227" s="9"/>
      <c r="H227" s="9"/>
      <c r="I227" s="9"/>
      <c r="J227" s="9"/>
      <c r="K227" s="227"/>
      <c r="L227" s="4" t="s">
        <v>16</v>
      </c>
      <c r="M227" s="9"/>
      <c r="N227" s="9"/>
      <c r="O227" s="9"/>
      <c r="P227" s="9"/>
      <c r="Q227" s="9"/>
      <c r="R227" s="9"/>
      <c r="S227" s="9"/>
      <c r="T227" s="53"/>
      <c r="U227" s="59">
        <f t="shared" si="34"/>
        <v>0</v>
      </c>
    </row>
    <row r="228" spans="1:21" ht="15.75" customHeight="1">
      <c r="A228" s="230"/>
      <c r="B228" s="4" t="s">
        <v>17</v>
      </c>
      <c r="C228" s="9"/>
      <c r="D228" s="9"/>
      <c r="E228" s="9"/>
      <c r="F228" s="9"/>
      <c r="G228" s="9"/>
      <c r="H228" s="9"/>
      <c r="I228" s="9"/>
      <c r="J228" s="9"/>
      <c r="K228" s="227"/>
      <c r="L228" s="4" t="s">
        <v>17</v>
      </c>
      <c r="M228" s="9"/>
      <c r="N228" s="9"/>
      <c r="O228" s="9"/>
      <c r="P228" s="9"/>
      <c r="Q228" s="9"/>
      <c r="R228" s="9"/>
      <c r="S228" s="9"/>
      <c r="T228" s="53"/>
      <c r="U228" s="59">
        <f t="shared" si="34"/>
        <v>0</v>
      </c>
    </row>
    <row r="229" spans="1:21" ht="15.75" customHeight="1">
      <c r="A229" s="231"/>
      <c r="B229" s="61" t="s">
        <v>18</v>
      </c>
      <c r="C229" s="75"/>
      <c r="D229" s="75"/>
      <c r="E229" s="75"/>
      <c r="F229" s="75"/>
      <c r="G229" s="75"/>
      <c r="H229" s="75"/>
      <c r="I229" s="75"/>
      <c r="J229" s="75"/>
      <c r="K229" s="232"/>
      <c r="L229" s="61" t="s">
        <v>18</v>
      </c>
      <c r="M229" s="75"/>
      <c r="N229" s="75"/>
      <c r="O229" s="75"/>
      <c r="P229" s="75"/>
      <c r="Q229" s="75"/>
      <c r="R229" s="75"/>
      <c r="S229" s="75"/>
      <c r="T229" s="76"/>
      <c r="U229" s="59">
        <f t="shared" si="34"/>
        <v>0</v>
      </c>
    </row>
  </sheetData>
  <mergeCells count="111">
    <mergeCell ref="A218:A223"/>
    <mergeCell ref="K218:K223"/>
    <mergeCell ref="A224:A229"/>
    <mergeCell ref="K224:K229"/>
    <mergeCell ref="A200:A205"/>
    <mergeCell ref="K200:K205"/>
    <mergeCell ref="A206:A211"/>
    <mergeCell ref="K206:K211"/>
    <mergeCell ref="A212:A217"/>
    <mergeCell ref="K212:K217"/>
    <mergeCell ref="P186:R186"/>
    <mergeCell ref="A188:A193"/>
    <mergeCell ref="K188:K193"/>
    <mergeCell ref="W188:X188"/>
    <mergeCell ref="AG188:AN188"/>
    <mergeCell ref="A194:A199"/>
    <mergeCell ref="K194:K199"/>
    <mergeCell ref="A178:A183"/>
    <mergeCell ref="K178:K183"/>
    <mergeCell ref="C185:G185"/>
    <mergeCell ref="B186:D186"/>
    <mergeCell ref="F186:H186"/>
    <mergeCell ref="L186:N186"/>
    <mergeCell ref="A160:A165"/>
    <mergeCell ref="K160:K165"/>
    <mergeCell ref="A166:A171"/>
    <mergeCell ref="K166:K171"/>
    <mergeCell ref="A172:A177"/>
    <mergeCell ref="K172:K177"/>
    <mergeCell ref="W142:X142"/>
    <mergeCell ref="AG142:AN142"/>
    <mergeCell ref="A148:A153"/>
    <mergeCell ref="K148:K153"/>
    <mergeCell ref="A154:A159"/>
    <mergeCell ref="K154:K159"/>
    <mergeCell ref="C139:G139"/>
    <mergeCell ref="B140:D140"/>
    <mergeCell ref="F140:H140"/>
    <mergeCell ref="L140:N140"/>
    <mergeCell ref="P140:R140"/>
    <mergeCell ref="A142:A147"/>
    <mergeCell ref="K142:K147"/>
    <mergeCell ref="A120:A125"/>
    <mergeCell ref="K120:K125"/>
    <mergeCell ref="A126:A131"/>
    <mergeCell ref="K126:K131"/>
    <mergeCell ref="A132:A137"/>
    <mergeCell ref="K132:K137"/>
    <mergeCell ref="A102:A107"/>
    <mergeCell ref="K102:K107"/>
    <mergeCell ref="A108:A113"/>
    <mergeCell ref="K108:K113"/>
    <mergeCell ref="A114:A119"/>
    <mergeCell ref="K114:K119"/>
    <mergeCell ref="L94:N94"/>
    <mergeCell ref="P94:R94"/>
    <mergeCell ref="A96:A101"/>
    <mergeCell ref="K96:K101"/>
    <mergeCell ref="W96:X96"/>
    <mergeCell ref="AG96:AN96"/>
    <mergeCell ref="A80:A85"/>
    <mergeCell ref="K80:K85"/>
    <mergeCell ref="A86:A91"/>
    <mergeCell ref="K86:K91"/>
    <mergeCell ref="C93:G93"/>
    <mergeCell ref="B94:D94"/>
    <mergeCell ref="F94:H94"/>
    <mergeCell ref="A62:A67"/>
    <mergeCell ref="K62:K67"/>
    <mergeCell ref="A68:A73"/>
    <mergeCell ref="K68:K73"/>
    <mergeCell ref="A74:A79"/>
    <mergeCell ref="K74:K79"/>
    <mergeCell ref="P48:R48"/>
    <mergeCell ref="A50:A55"/>
    <mergeCell ref="K50:K55"/>
    <mergeCell ref="W50:X50"/>
    <mergeCell ref="AG50:AN50"/>
    <mergeCell ref="A56:A61"/>
    <mergeCell ref="K56:K61"/>
    <mergeCell ref="A40:A45"/>
    <mergeCell ref="K40:K45"/>
    <mergeCell ref="C47:G47"/>
    <mergeCell ref="B48:D48"/>
    <mergeCell ref="F48:H48"/>
    <mergeCell ref="L48:N48"/>
    <mergeCell ref="A22:A27"/>
    <mergeCell ref="K22:K27"/>
    <mergeCell ref="A28:A33"/>
    <mergeCell ref="K28:K33"/>
    <mergeCell ref="A34:A39"/>
    <mergeCell ref="K34:K39"/>
    <mergeCell ref="Z8:AA8"/>
    <mergeCell ref="A10:A15"/>
    <mergeCell ref="K10:K15"/>
    <mergeCell ref="Z10:AA10"/>
    <mergeCell ref="A16:A21"/>
    <mergeCell ref="K16:K21"/>
    <mergeCell ref="A4:A9"/>
    <mergeCell ref="W4:X4"/>
    <mergeCell ref="Z4:AA4"/>
    <mergeCell ref="AD4:AE4"/>
    <mergeCell ref="AG4:AN4"/>
    <mergeCell ref="AP4:AW4"/>
    <mergeCell ref="Z6:AA6"/>
    <mergeCell ref="C1:G1"/>
    <mergeCell ref="B2:D2"/>
    <mergeCell ref="F2:H2"/>
    <mergeCell ref="L2:N2"/>
    <mergeCell ref="P2:R2"/>
    <mergeCell ref="K4:K9"/>
  </mergeCells>
  <printOptions horizontalCentered="1" verticalCentered="1"/>
  <pageMargins left="0.25" right="0.25" top="0.25" bottom="0.25" header="0" footer="0"/>
  <pageSetup pageOrder="overThenDown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8BDCF-3888-46E2-B110-AA92194B3BF5}">
  <sheetPr>
    <outlinePr summaryBelow="0" summaryRight="0"/>
    <pageSetUpPr fitToPage="1"/>
  </sheetPr>
  <dimension ref="A1:AW229"/>
  <sheetViews>
    <sheetView topLeftCell="AI5" workbookViewId="0">
      <selection activeCell="T225" sqref="T225"/>
    </sheetView>
  </sheetViews>
  <sheetFormatPr defaultColWidth="12.5703125" defaultRowHeight="15.75" customHeight="1"/>
  <cols>
    <col min="1" max="1" width="13.140625" bestFit="1" customWidth="1"/>
    <col min="2" max="2" width="16.140625" bestFit="1" customWidth="1"/>
    <col min="3" max="10" width="10.42578125" customWidth="1"/>
    <col min="11" max="11" width="13.140625" bestFit="1" customWidth="1"/>
    <col min="12" max="12" width="16.140625" bestFit="1" customWidth="1"/>
    <col min="13" max="20" width="10.42578125" customWidth="1"/>
    <col min="21" max="22" width="9.140625"/>
    <col min="23" max="23" width="13" bestFit="1" customWidth="1"/>
    <col min="24" max="26" width="9.140625"/>
    <col min="27" max="27" width="14.140625" customWidth="1"/>
  </cols>
  <sheetData>
    <row r="1" spans="1:49" ht="18.75" customHeight="1">
      <c r="A1" s="1"/>
      <c r="B1" s="1"/>
      <c r="C1" s="183" t="s">
        <v>0</v>
      </c>
      <c r="D1" s="225"/>
      <c r="E1" s="225"/>
      <c r="F1" s="225"/>
      <c r="G1" s="226"/>
      <c r="H1" s="2"/>
      <c r="I1" s="1"/>
    </row>
    <row r="2" spans="1:49" ht="18.75" customHeight="1">
      <c r="A2" s="1"/>
      <c r="B2" s="183" t="s">
        <v>1</v>
      </c>
      <c r="C2" s="225"/>
      <c r="D2" s="226"/>
      <c r="E2" s="1"/>
      <c r="F2" s="184" t="s">
        <v>117</v>
      </c>
      <c r="G2" s="225"/>
      <c r="H2" s="226"/>
      <c r="I2" s="1"/>
      <c r="K2" s="1"/>
      <c r="L2" s="183" t="s">
        <v>26</v>
      </c>
      <c r="M2" s="225"/>
      <c r="N2" s="226"/>
      <c r="O2" s="1"/>
      <c r="P2" s="184" t="s">
        <v>2</v>
      </c>
      <c r="Q2" s="225"/>
      <c r="R2" s="226"/>
      <c r="S2" s="1"/>
    </row>
    <row r="3" spans="1:49" ht="18.75" customHeight="1">
      <c r="A3" s="54" t="s">
        <v>35</v>
      </c>
      <c r="B3" s="54" t="s">
        <v>4</v>
      </c>
      <c r="C3" s="54" t="s">
        <v>12</v>
      </c>
      <c r="D3" s="54" t="s">
        <v>19</v>
      </c>
      <c r="E3" s="54" t="s">
        <v>20</v>
      </c>
      <c r="F3" s="54" t="s">
        <v>21</v>
      </c>
      <c r="G3" s="54" t="s">
        <v>22</v>
      </c>
      <c r="H3" s="54" t="s">
        <v>23</v>
      </c>
      <c r="I3" s="54" t="s">
        <v>24</v>
      </c>
      <c r="J3" s="54" t="s">
        <v>25</v>
      </c>
      <c r="K3" s="54" t="s">
        <v>35</v>
      </c>
      <c r="L3" s="54" t="s">
        <v>4</v>
      </c>
      <c r="M3" s="54" t="s">
        <v>27</v>
      </c>
      <c r="N3" s="54" t="s">
        <v>28</v>
      </c>
      <c r="O3" s="54" t="s">
        <v>29</v>
      </c>
      <c r="P3" s="54" t="s">
        <v>30</v>
      </c>
      <c r="Q3" s="54" t="s">
        <v>31</v>
      </c>
      <c r="R3" s="54" t="s">
        <v>32</v>
      </c>
      <c r="S3" s="54" t="s">
        <v>33</v>
      </c>
      <c r="T3" s="54" t="s">
        <v>34</v>
      </c>
      <c r="U3" s="54" t="s">
        <v>55</v>
      </c>
    </row>
    <row r="4" spans="1:49" ht="18.75" customHeight="1">
      <c r="A4" s="195" t="s">
        <v>5</v>
      </c>
      <c r="B4" s="56" t="s">
        <v>13</v>
      </c>
      <c r="C4" s="57"/>
      <c r="D4" s="57"/>
      <c r="E4" s="56"/>
      <c r="F4" s="56"/>
      <c r="G4" s="56"/>
      <c r="H4" s="56"/>
      <c r="I4" s="56"/>
      <c r="J4" s="56"/>
      <c r="K4" s="196" t="s">
        <v>5</v>
      </c>
      <c r="L4" s="56" t="s">
        <v>13</v>
      </c>
      <c r="M4" s="56"/>
      <c r="N4" s="56"/>
      <c r="O4" s="56"/>
      <c r="P4" s="56"/>
      <c r="Q4" s="56"/>
      <c r="R4" s="57"/>
      <c r="S4" s="57"/>
      <c r="T4" s="58"/>
      <c r="U4" s="59">
        <f>SUM(M4:T4,C4:J4)</f>
        <v>0</v>
      </c>
      <c r="W4" s="197" t="s">
        <v>2</v>
      </c>
      <c r="X4" s="198"/>
      <c r="Z4" s="197" t="s">
        <v>56</v>
      </c>
      <c r="AA4" s="203"/>
      <c r="AB4" s="83">
        <f>SUM(X12,X58,X104,X150,X196)</f>
        <v>28907</v>
      </c>
      <c r="AD4" s="197" t="s">
        <v>57</v>
      </c>
      <c r="AE4" s="198"/>
      <c r="AG4" s="190" t="s">
        <v>58</v>
      </c>
      <c r="AH4" s="191"/>
      <c r="AI4" s="191"/>
      <c r="AJ4" s="191"/>
      <c r="AK4" s="191"/>
      <c r="AL4" s="191"/>
      <c r="AM4" s="191"/>
      <c r="AN4" s="192"/>
      <c r="AP4" s="190" t="s">
        <v>59</v>
      </c>
      <c r="AQ4" s="191"/>
      <c r="AR4" s="191"/>
      <c r="AS4" s="191"/>
      <c r="AT4" s="191"/>
      <c r="AU4" s="191"/>
      <c r="AV4" s="191"/>
      <c r="AW4" s="192"/>
    </row>
    <row r="5" spans="1:49" ht="18.75" customHeight="1">
      <c r="A5" s="230"/>
      <c r="B5" s="4" t="s">
        <v>14</v>
      </c>
      <c r="C5" s="5"/>
      <c r="D5" s="5"/>
      <c r="E5" s="4"/>
      <c r="F5" s="4"/>
      <c r="G5" s="4"/>
      <c r="H5" s="4"/>
      <c r="I5" s="4"/>
      <c r="J5" s="4"/>
      <c r="K5" s="227"/>
      <c r="L5" s="4" t="s">
        <v>14</v>
      </c>
      <c r="M5" s="4"/>
      <c r="N5" s="4"/>
      <c r="O5" s="4"/>
      <c r="P5" s="4"/>
      <c r="Q5" s="4"/>
      <c r="R5" s="5"/>
      <c r="S5" s="5"/>
      <c r="T5" s="49"/>
      <c r="U5" s="60">
        <f>SUM(C5:J5,M5:T5)</f>
        <v>0</v>
      </c>
      <c r="W5" s="55" t="s">
        <v>5</v>
      </c>
      <c r="X5" s="48">
        <f>SUM(U4:U9)</f>
        <v>0</v>
      </c>
      <c r="AD5" s="55" t="s">
        <v>5</v>
      </c>
      <c r="AE5" s="48">
        <f t="shared" ref="AE5:AE11" si="0">AVERAGE(X5,X51,X97,X143,X189)</f>
        <v>423</v>
      </c>
      <c r="AG5" s="98" t="s">
        <v>4</v>
      </c>
      <c r="AH5" s="98" t="s">
        <v>5</v>
      </c>
      <c r="AI5" s="98" t="s">
        <v>6</v>
      </c>
      <c r="AJ5" s="98" t="s">
        <v>7</v>
      </c>
      <c r="AK5" s="98" t="s">
        <v>8</v>
      </c>
      <c r="AL5" s="98" t="s">
        <v>9</v>
      </c>
      <c r="AM5" s="98" t="s">
        <v>10</v>
      </c>
      <c r="AN5" s="98" t="s">
        <v>11</v>
      </c>
      <c r="AP5" s="98" t="s">
        <v>4</v>
      </c>
      <c r="AQ5" s="98" t="s">
        <v>5</v>
      </c>
      <c r="AR5" s="98" t="s">
        <v>6</v>
      </c>
      <c r="AS5" s="98" t="s">
        <v>7</v>
      </c>
      <c r="AT5" s="98" t="s">
        <v>8</v>
      </c>
      <c r="AU5" s="98" t="s">
        <v>9</v>
      </c>
      <c r="AV5" s="98" t="s">
        <v>10</v>
      </c>
      <c r="AW5" s="98" t="s">
        <v>11</v>
      </c>
    </row>
    <row r="6" spans="1:49" ht="18.75" customHeight="1">
      <c r="A6" s="230"/>
      <c r="B6" s="4" t="s">
        <v>15</v>
      </c>
      <c r="C6" s="5"/>
      <c r="D6" s="5"/>
      <c r="E6" s="4"/>
      <c r="F6" s="4"/>
      <c r="G6" s="4"/>
      <c r="H6" s="4"/>
      <c r="I6" s="4"/>
      <c r="J6" s="4"/>
      <c r="K6" s="227"/>
      <c r="L6" s="4" t="s">
        <v>15</v>
      </c>
      <c r="M6" s="4"/>
      <c r="N6" s="4"/>
      <c r="O6" s="4"/>
      <c r="P6" s="4"/>
      <c r="Q6" s="4"/>
      <c r="R6" s="5"/>
      <c r="S6" s="5"/>
      <c r="T6" s="49"/>
      <c r="U6" s="60">
        <f t="shared" ref="U6:U45" si="1">SUM(C6:J6,M6:T6)</f>
        <v>0</v>
      </c>
      <c r="W6" s="55" t="s">
        <v>6</v>
      </c>
      <c r="X6" s="48">
        <f>SUM(U10:U15)</f>
        <v>0</v>
      </c>
      <c r="Z6" s="197" t="s">
        <v>60</v>
      </c>
      <c r="AA6" s="203"/>
      <c r="AB6" s="83"/>
      <c r="AD6" s="55" t="s">
        <v>6</v>
      </c>
      <c r="AE6" s="48">
        <f t="shared" si="0"/>
        <v>335</v>
      </c>
      <c r="AG6" s="79" t="s">
        <v>13</v>
      </c>
      <c r="AH6" s="79">
        <f t="shared" ref="AH6:AH11" si="2">U4</f>
        <v>0</v>
      </c>
      <c r="AI6" s="79">
        <f>U10</f>
        <v>0</v>
      </c>
      <c r="AJ6" s="79">
        <f>U16</f>
        <v>0</v>
      </c>
      <c r="AK6" s="79">
        <f>U22</f>
        <v>0</v>
      </c>
      <c r="AL6" s="79">
        <f t="shared" ref="AL6:AL11" si="3">U28</f>
        <v>271</v>
      </c>
      <c r="AM6" s="79">
        <f t="shared" ref="AM6:AM11" si="4">U34</f>
        <v>296</v>
      </c>
      <c r="AN6" s="79">
        <f t="shared" ref="AN6:AN11" si="5">U40</f>
        <v>215</v>
      </c>
      <c r="AP6" s="79" t="s">
        <v>13</v>
      </c>
      <c r="AQ6" s="79">
        <f t="shared" ref="AQ6:AW11" si="6">SUM(AH6,AH52,AH98,AH144,AH190)</f>
        <v>622</v>
      </c>
      <c r="AR6" s="79">
        <f t="shared" si="6"/>
        <v>590</v>
      </c>
      <c r="AS6" s="79">
        <f t="shared" si="6"/>
        <v>1557</v>
      </c>
      <c r="AT6" s="79">
        <f t="shared" si="6"/>
        <v>1343</v>
      </c>
      <c r="AU6" s="79">
        <f t="shared" si="6"/>
        <v>1496</v>
      </c>
      <c r="AV6" s="79">
        <f t="shared" si="6"/>
        <v>1530</v>
      </c>
      <c r="AW6" s="79">
        <f t="shared" si="6"/>
        <v>1350</v>
      </c>
    </row>
    <row r="7" spans="1:49" ht="18.75" customHeight="1">
      <c r="A7" s="230"/>
      <c r="B7" s="4" t="s">
        <v>16</v>
      </c>
      <c r="C7" s="5"/>
      <c r="D7" s="5"/>
      <c r="E7" s="4"/>
      <c r="F7" s="4"/>
      <c r="G7" s="4"/>
      <c r="H7" s="4"/>
      <c r="I7" s="4"/>
      <c r="J7" s="4"/>
      <c r="K7" s="227"/>
      <c r="L7" s="4" t="s">
        <v>16</v>
      </c>
      <c r="M7" s="4"/>
      <c r="N7" s="4"/>
      <c r="O7" s="4"/>
      <c r="P7" s="4"/>
      <c r="Q7" s="4"/>
      <c r="R7" s="5"/>
      <c r="S7" s="5"/>
      <c r="T7" s="49"/>
      <c r="U7" s="60">
        <f t="shared" si="1"/>
        <v>0</v>
      </c>
      <c r="W7" s="55" t="s">
        <v>7</v>
      </c>
      <c r="X7" s="48">
        <f>SUM(U16:U21)</f>
        <v>0</v>
      </c>
      <c r="AD7" s="55" t="s">
        <v>7</v>
      </c>
      <c r="AE7" s="48">
        <f t="shared" si="0"/>
        <v>1045.4000000000001</v>
      </c>
      <c r="AG7" s="97" t="s">
        <v>14</v>
      </c>
      <c r="AH7" s="97">
        <f t="shared" si="2"/>
        <v>0</v>
      </c>
      <c r="AI7" s="97">
        <f t="shared" ref="AI6:AI11" si="7">U11</f>
        <v>0</v>
      </c>
      <c r="AJ7" s="97">
        <f t="shared" ref="AJ6:AJ11" si="8">U17</f>
        <v>0</v>
      </c>
      <c r="AK7" s="97">
        <f t="shared" ref="AK6:AK11" si="9">U23</f>
        <v>0</v>
      </c>
      <c r="AL7" s="97">
        <f t="shared" si="3"/>
        <v>134</v>
      </c>
      <c r="AM7" s="97">
        <f t="shared" si="4"/>
        <v>118</v>
      </c>
      <c r="AN7" s="97">
        <f t="shared" si="5"/>
        <v>104</v>
      </c>
      <c r="AP7" s="97" t="s">
        <v>14</v>
      </c>
      <c r="AQ7" s="97">
        <f t="shared" si="6"/>
        <v>214</v>
      </c>
      <c r="AR7" s="97">
        <f t="shared" si="6"/>
        <v>176</v>
      </c>
      <c r="AS7" s="97">
        <f t="shared" si="6"/>
        <v>683</v>
      </c>
      <c r="AT7" s="97">
        <f t="shared" si="6"/>
        <v>520</v>
      </c>
      <c r="AU7" s="97">
        <f t="shared" si="6"/>
        <v>769</v>
      </c>
      <c r="AV7" s="97">
        <f t="shared" si="6"/>
        <v>621</v>
      </c>
      <c r="AW7" s="97">
        <f t="shared" si="6"/>
        <v>1276</v>
      </c>
    </row>
    <row r="8" spans="1:49" ht="18.75" customHeight="1">
      <c r="A8" s="230"/>
      <c r="B8" s="4" t="s">
        <v>17</v>
      </c>
      <c r="C8" s="5"/>
      <c r="D8" s="5"/>
      <c r="E8" s="4"/>
      <c r="F8" s="4"/>
      <c r="G8" s="4"/>
      <c r="H8" s="4"/>
      <c r="I8" s="4"/>
      <c r="J8" s="4"/>
      <c r="K8" s="227"/>
      <c r="L8" s="4" t="s">
        <v>17</v>
      </c>
      <c r="M8" s="4"/>
      <c r="N8" s="4"/>
      <c r="O8" s="4"/>
      <c r="P8" s="4"/>
      <c r="Q8" s="4"/>
      <c r="R8" s="5"/>
      <c r="S8" s="5"/>
      <c r="T8" s="49"/>
      <c r="U8" s="60">
        <f t="shared" si="1"/>
        <v>0</v>
      </c>
      <c r="W8" s="55" t="s">
        <v>61</v>
      </c>
      <c r="X8" s="48">
        <f>SUM(U22:U27)</f>
        <v>0</v>
      </c>
      <c r="Z8" s="197" t="s">
        <v>62</v>
      </c>
      <c r="AA8" s="203"/>
      <c r="AB8" s="83"/>
      <c r="AD8" s="55" t="s">
        <v>61</v>
      </c>
      <c r="AE8" s="48">
        <f t="shared" si="0"/>
        <v>867.4</v>
      </c>
      <c r="AG8" s="79" t="s">
        <v>15</v>
      </c>
      <c r="AH8" s="79">
        <f t="shared" si="2"/>
        <v>0</v>
      </c>
      <c r="AI8" s="79">
        <f t="shared" si="7"/>
        <v>0</v>
      </c>
      <c r="AJ8" s="79">
        <f t="shared" si="8"/>
        <v>0</v>
      </c>
      <c r="AK8" s="79">
        <f t="shared" si="9"/>
        <v>0</v>
      </c>
      <c r="AL8" s="79">
        <f t="shared" si="3"/>
        <v>294</v>
      </c>
      <c r="AM8" s="79">
        <f t="shared" si="4"/>
        <v>294</v>
      </c>
      <c r="AN8" s="79">
        <f t="shared" si="5"/>
        <v>189</v>
      </c>
      <c r="AP8" s="79" t="s">
        <v>15</v>
      </c>
      <c r="AQ8" s="79">
        <f t="shared" si="6"/>
        <v>652</v>
      </c>
      <c r="AR8" s="79">
        <f t="shared" si="6"/>
        <v>471</v>
      </c>
      <c r="AS8" s="79">
        <f t="shared" si="6"/>
        <v>1438</v>
      </c>
      <c r="AT8" s="79">
        <f t="shared" si="6"/>
        <v>1239</v>
      </c>
      <c r="AU8" s="79">
        <f t="shared" si="6"/>
        <v>1508</v>
      </c>
      <c r="AV8" s="79">
        <f t="shared" si="6"/>
        <v>1505</v>
      </c>
      <c r="AW8" s="79">
        <f t="shared" si="6"/>
        <v>1169</v>
      </c>
    </row>
    <row r="9" spans="1:49" ht="18.75" customHeight="1">
      <c r="A9" s="230"/>
      <c r="B9" s="46" t="s">
        <v>18</v>
      </c>
      <c r="C9" s="64"/>
      <c r="D9" s="64"/>
      <c r="E9" s="46"/>
      <c r="F9" s="46"/>
      <c r="G9" s="46"/>
      <c r="H9" s="46"/>
      <c r="I9" s="46"/>
      <c r="J9" s="46"/>
      <c r="K9" s="227"/>
      <c r="L9" s="46" t="s">
        <v>18</v>
      </c>
      <c r="M9" s="46"/>
      <c r="N9" s="46"/>
      <c r="O9" s="46"/>
      <c r="P9" s="46"/>
      <c r="Q9" s="46"/>
      <c r="R9" s="64"/>
      <c r="S9" s="64"/>
      <c r="T9" s="65"/>
      <c r="U9" s="60">
        <f t="shared" si="1"/>
        <v>0</v>
      </c>
      <c r="W9" s="55" t="s">
        <v>9</v>
      </c>
      <c r="X9" s="48">
        <f>SUM(U28:U33)</f>
        <v>927</v>
      </c>
      <c r="AD9" s="55" t="s">
        <v>9</v>
      </c>
      <c r="AE9" s="48">
        <f t="shared" si="0"/>
        <v>1040.4000000000001</v>
      </c>
      <c r="AG9" s="97" t="s">
        <v>16</v>
      </c>
      <c r="AH9" s="97">
        <f t="shared" si="2"/>
        <v>0</v>
      </c>
      <c r="AI9" s="97">
        <f t="shared" si="7"/>
        <v>0</v>
      </c>
      <c r="AJ9" s="97">
        <f t="shared" si="8"/>
        <v>0</v>
      </c>
      <c r="AK9" s="97">
        <f t="shared" si="9"/>
        <v>0</v>
      </c>
      <c r="AL9" s="97">
        <f t="shared" si="3"/>
        <v>64</v>
      </c>
      <c r="AM9" s="97">
        <f t="shared" si="4"/>
        <v>83</v>
      </c>
      <c r="AN9" s="97">
        <f t="shared" si="5"/>
        <v>72</v>
      </c>
      <c r="AP9" s="97" t="s">
        <v>16</v>
      </c>
      <c r="AQ9" s="97">
        <f t="shared" si="6"/>
        <v>178</v>
      </c>
      <c r="AR9" s="97">
        <f t="shared" si="6"/>
        <v>134</v>
      </c>
      <c r="AS9" s="97">
        <f t="shared" si="6"/>
        <v>469</v>
      </c>
      <c r="AT9" s="97">
        <f t="shared" si="6"/>
        <v>386</v>
      </c>
      <c r="AU9" s="97">
        <f t="shared" si="6"/>
        <v>452</v>
      </c>
      <c r="AV9" s="97">
        <f t="shared" si="6"/>
        <v>530</v>
      </c>
      <c r="AW9" s="97">
        <f t="shared" si="6"/>
        <v>413</v>
      </c>
    </row>
    <row r="10" spans="1:49" ht="18.75" customHeight="1">
      <c r="A10" s="193" t="s">
        <v>6</v>
      </c>
      <c r="B10" s="63" t="s">
        <v>13</v>
      </c>
      <c r="C10" s="57"/>
      <c r="D10" s="57"/>
      <c r="E10" s="57"/>
      <c r="F10" s="63"/>
      <c r="G10" s="63"/>
      <c r="H10" s="63"/>
      <c r="I10" s="63"/>
      <c r="J10" s="63"/>
      <c r="K10" s="194" t="s">
        <v>6</v>
      </c>
      <c r="L10" s="63" t="s">
        <v>13</v>
      </c>
      <c r="M10" s="63"/>
      <c r="N10" s="63"/>
      <c r="O10" s="63"/>
      <c r="P10" s="63"/>
      <c r="Q10" s="57"/>
      <c r="R10" s="57"/>
      <c r="S10" s="57"/>
      <c r="T10" s="58"/>
      <c r="U10" s="60">
        <f t="shared" si="1"/>
        <v>0</v>
      </c>
      <c r="W10" s="55" t="s">
        <v>10</v>
      </c>
      <c r="X10" s="48">
        <f>SUM(U34:U39)</f>
        <v>966</v>
      </c>
      <c r="Z10" s="197" t="s">
        <v>74</v>
      </c>
      <c r="AA10" s="203"/>
      <c r="AB10" s="83"/>
      <c r="AD10" s="55" t="s">
        <v>10</v>
      </c>
      <c r="AE10" s="48">
        <f t="shared" si="0"/>
        <v>1047.2</v>
      </c>
      <c r="AG10" s="79" t="s">
        <v>17</v>
      </c>
      <c r="AH10" s="79">
        <f t="shared" si="2"/>
        <v>0</v>
      </c>
      <c r="AI10" s="79">
        <f t="shared" si="7"/>
        <v>0</v>
      </c>
      <c r="AJ10" s="79">
        <f t="shared" si="8"/>
        <v>0</v>
      </c>
      <c r="AK10" s="79">
        <f t="shared" si="9"/>
        <v>0</v>
      </c>
      <c r="AL10" s="79">
        <f t="shared" si="3"/>
        <v>82</v>
      </c>
      <c r="AM10" s="79">
        <f t="shared" si="4"/>
        <v>78</v>
      </c>
      <c r="AN10" s="79">
        <f t="shared" si="5"/>
        <v>80</v>
      </c>
      <c r="AP10" s="79" t="s">
        <v>17</v>
      </c>
      <c r="AQ10" s="79">
        <f t="shared" si="6"/>
        <v>209</v>
      </c>
      <c r="AR10" s="79">
        <f t="shared" si="6"/>
        <v>143</v>
      </c>
      <c r="AS10" s="79">
        <f t="shared" si="6"/>
        <v>501</v>
      </c>
      <c r="AT10" s="79">
        <f t="shared" si="6"/>
        <v>408</v>
      </c>
      <c r="AU10" s="79">
        <f t="shared" si="6"/>
        <v>464</v>
      </c>
      <c r="AV10" s="79">
        <f t="shared" si="6"/>
        <v>499</v>
      </c>
      <c r="AW10" s="79">
        <f t="shared" si="6"/>
        <v>421</v>
      </c>
    </row>
    <row r="11" spans="1:49" ht="18.75" customHeight="1">
      <c r="A11" s="230"/>
      <c r="B11" s="6" t="s">
        <v>14</v>
      </c>
      <c r="C11" s="5"/>
      <c r="D11" s="5"/>
      <c r="E11" s="5"/>
      <c r="F11" s="6"/>
      <c r="G11" s="6"/>
      <c r="H11" s="6"/>
      <c r="I11" s="6"/>
      <c r="J11" s="6"/>
      <c r="K11" s="227"/>
      <c r="L11" s="6" t="s">
        <v>14</v>
      </c>
      <c r="M11" s="6"/>
      <c r="N11" s="6"/>
      <c r="O11" s="6"/>
      <c r="P11" s="6"/>
      <c r="Q11" s="5"/>
      <c r="R11" s="5"/>
      <c r="S11" s="5"/>
      <c r="T11" s="49"/>
      <c r="U11" s="60">
        <f t="shared" si="1"/>
        <v>0</v>
      </c>
      <c r="W11" s="81" t="s">
        <v>11</v>
      </c>
      <c r="X11" s="80">
        <f>SUM(U40:U45)</f>
        <v>744</v>
      </c>
      <c r="AD11" s="81" t="s">
        <v>11</v>
      </c>
      <c r="AE11" s="48">
        <f t="shared" si="0"/>
        <v>1023</v>
      </c>
      <c r="AG11" s="97" t="s">
        <v>18</v>
      </c>
      <c r="AH11" s="97">
        <f t="shared" si="2"/>
        <v>0</v>
      </c>
      <c r="AI11" s="97">
        <f t="shared" si="7"/>
        <v>0</v>
      </c>
      <c r="AJ11" s="97">
        <f t="shared" si="8"/>
        <v>0</v>
      </c>
      <c r="AK11" s="97">
        <f t="shared" si="9"/>
        <v>0</v>
      </c>
      <c r="AL11" s="97">
        <f t="shared" si="3"/>
        <v>82</v>
      </c>
      <c r="AM11" s="97">
        <f t="shared" si="4"/>
        <v>97</v>
      </c>
      <c r="AN11" s="97">
        <f t="shared" si="5"/>
        <v>84</v>
      </c>
      <c r="AP11" s="97" t="s">
        <v>18</v>
      </c>
      <c r="AQ11" s="97">
        <f t="shared" si="6"/>
        <v>240</v>
      </c>
      <c r="AR11" s="97">
        <f t="shared" si="6"/>
        <v>161</v>
      </c>
      <c r="AS11" s="97">
        <f t="shared" si="6"/>
        <v>579</v>
      </c>
      <c r="AT11" s="97">
        <f t="shared" si="6"/>
        <v>441</v>
      </c>
      <c r="AU11" s="97">
        <f t="shared" si="6"/>
        <v>513</v>
      </c>
      <c r="AV11" s="97">
        <f t="shared" si="6"/>
        <v>551</v>
      </c>
      <c r="AW11" s="97">
        <f t="shared" si="6"/>
        <v>486</v>
      </c>
    </row>
    <row r="12" spans="1:49" ht="18.75" customHeight="1">
      <c r="A12" s="230"/>
      <c r="B12" s="6" t="s">
        <v>15</v>
      </c>
      <c r="C12" s="5"/>
      <c r="D12" s="5"/>
      <c r="E12" s="5"/>
      <c r="F12" s="6"/>
      <c r="G12" s="6"/>
      <c r="H12" s="6"/>
      <c r="I12" s="6"/>
      <c r="J12" s="6"/>
      <c r="K12" s="227"/>
      <c r="L12" s="6" t="s">
        <v>15</v>
      </c>
      <c r="M12" s="6"/>
      <c r="N12" s="6"/>
      <c r="O12" s="6"/>
      <c r="P12" s="6"/>
      <c r="Q12" s="5"/>
      <c r="R12" s="5"/>
      <c r="S12" s="5"/>
      <c r="T12" s="49"/>
      <c r="U12" s="60">
        <f t="shared" si="1"/>
        <v>0</v>
      </c>
      <c r="W12" s="79" t="s">
        <v>63</v>
      </c>
      <c r="X12" s="82">
        <f>SUM(X5:X11)</f>
        <v>2637</v>
      </c>
      <c r="AD12" s="79" t="s">
        <v>40</v>
      </c>
      <c r="AE12" s="82">
        <f>AVERAGE(AE5:AE11)</f>
        <v>825.91428571428582</v>
      </c>
    </row>
    <row r="13" spans="1:49" ht="18.75" customHeight="1">
      <c r="A13" s="230"/>
      <c r="B13" s="6" t="s">
        <v>16</v>
      </c>
      <c r="C13" s="5"/>
      <c r="D13" s="5"/>
      <c r="E13" s="5"/>
      <c r="F13" s="6"/>
      <c r="G13" s="6"/>
      <c r="H13" s="6"/>
      <c r="I13" s="6"/>
      <c r="J13" s="6"/>
      <c r="K13" s="227"/>
      <c r="L13" s="6" t="s">
        <v>16</v>
      </c>
      <c r="M13" s="6"/>
      <c r="N13" s="6"/>
      <c r="O13" s="6"/>
      <c r="P13" s="6"/>
      <c r="Q13" s="5"/>
      <c r="R13" s="5"/>
      <c r="S13" s="5"/>
      <c r="T13" s="49"/>
      <c r="U13" s="60">
        <f t="shared" si="1"/>
        <v>0</v>
      </c>
    </row>
    <row r="14" spans="1:49" ht="18.75" customHeight="1">
      <c r="A14" s="230"/>
      <c r="B14" s="6" t="s">
        <v>17</v>
      </c>
      <c r="C14" s="5"/>
      <c r="D14" s="5"/>
      <c r="E14" s="5"/>
      <c r="F14" s="6"/>
      <c r="G14" s="6"/>
      <c r="H14" s="6"/>
      <c r="I14" s="6"/>
      <c r="J14" s="6"/>
      <c r="K14" s="227"/>
      <c r="L14" s="6" t="s">
        <v>17</v>
      </c>
      <c r="M14" s="6"/>
      <c r="N14" s="6"/>
      <c r="O14" s="6"/>
      <c r="P14" s="6"/>
      <c r="Q14" s="5"/>
      <c r="R14" s="5"/>
      <c r="S14" s="5"/>
      <c r="T14" s="49"/>
      <c r="U14" s="60">
        <f t="shared" si="1"/>
        <v>0</v>
      </c>
    </row>
    <row r="15" spans="1:49" ht="18.75" customHeight="1">
      <c r="A15" s="230"/>
      <c r="B15" s="47" t="s">
        <v>18</v>
      </c>
      <c r="C15" s="64"/>
      <c r="D15" s="64"/>
      <c r="E15" s="64"/>
      <c r="F15" s="47"/>
      <c r="G15" s="47"/>
      <c r="H15" s="47"/>
      <c r="I15" s="47"/>
      <c r="J15" s="47"/>
      <c r="K15" s="227"/>
      <c r="L15" s="47" t="s">
        <v>18</v>
      </c>
      <c r="M15" s="47"/>
      <c r="N15" s="47"/>
      <c r="O15" s="47"/>
      <c r="P15" s="47"/>
      <c r="Q15" s="64"/>
      <c r="R15" s="64"/>
      <c r="S15" s="64"/>
      <c r="T15" s="65"/>
      <c r="U15" s="60">
        <f t="shared" si="1"/>
        <v>0</v>
      </c>
    </row>
    <row r="16" spans="1:49" ht="18.75" customHeight="1">
      <c r="A16" s="195" t="s">
        <v>7</v>
      </c>
      <c r="B16" s="56" t="s">
        <v>13</v>
      </c>
      <c r="C16" s="56"/>
      <c r="D16" s="56"/>
      <c r="E16" s="56"/>
      <c r="F16" s="56"/>
      <c r="G16" s="56"/>
      <c r="H16" s="56"/>
      <c r="I16" s="56"/>
      <c r="J16" s="56"/>
      <c r="K16" s="196" t="s">
        <v>7</v>
      </c>
      <c r="L16" s="56" t="s">
        <v>13</v>
      </c>
      <c r="M16" s="56"/>
      <c r="N16" s="56"/>
      <c r="O16" s="56"/>
      <c r="P16" s="56"/>
      <c r="Q16" s="56"/>
      <c r="R16" s="56"/>
      <c r="S16" s="56"/>
      <c r="T16" s="67"/>
      <c r="U16" s="60">
        <f t="shared" si="1"/>
        <v>0</v>
      </c>
    </row>
    <row r="17" spans="1:33" ht="18.75" customHeight="1">
      <c r="A17" s="230"/>
      <c r="B17" s="4" t="s">
        <v>14</v>
      </c>
      <c r="C17" s="4"/>
      <c r="D17" s="4"/>
      <c r="E17" s="4"/>
      <c r="F17" s="4"/>
      <c r="G17" s="4"/>
      <c r="H17" s="4"/>
      <c r="I17" s="4"/>
      <c r="J17" s="4"/>
      <c r="K17" s="227"/>
      <c r="L17" s="4" t="s">
        <v>14</v>
      </c>
      <c r="M17" s="4"/>
      <c r="N17" s="4"/>
      <c r="O17" s="4"/>
      <c r="P17" s="4"/>
      <c r="Q17" s="4"/>
      <c r="R17" s="4"/>
      <c r="S17" s="4"/>
      <c r="T17" s="50"/>
      <c r="U17" s="60">
        <f t="shared" si="1"/>
        <v>0</v>
      </c>
    </row>
    <row r="18" spans="1:33" ht="18.75" customHeight="1">
      <c r="A18" s="230"/>
      <c r="B18" s="4" t="s">
        <v>15</v>
      </c>
      <c r="C18" s="4"/>
      <c r="D18" s="4"/>
      <c r="E18" s="4"/>
      <c r="F18" s="4"/>
      <c r="G18" s="4"/>
      <c r="H18" s="4"/>
      <c r="I18" s="4"/>
      <c r="J18" s="4"/>
      <c r="K18" s="227"/>
      <c r="L18" s="4" t="s">
        <v>15</v>
      </c>
      <c r="M18" s="4"/>
      <c r="N18" s="4"/>
      <c r="O18" s="4"/>
      <c r="P18" s="4"/>
      <c r="Q18" s="4"/>
      <c r="R18" s="4"/>
      <c r="S18" s="4"/>
      <c r="T18" s="50"/>
      <c r="U18" s="60">
        <f t="shared" si="1"/>
        <v>0</v>
      </c>
    </row>
    <row r="19" spans="1:33" ht="18.75" customHeight="1">
      <c r="A19" s="230"/>
      <c r="B19" s="4" t="s">
        <v>16</v>
      </c>
      <c r="C19" s="4"/>
      <c r="D19" s="4"/>
      <c r="E19" s="4"/>
      <c r="F19" s="4"/>
      <c r="G19" s="4"/>
      <c r="H19" s="4"/>
      <c r="I19" s="4"/>
      <c r="J19" s="4"/>
      <c r="K19" s="227"/>
      <c r="L19" s="4" t="s">
        <v>16</v>
      </c>
      <c r="M19" s="4"/>
      <c r="N19" s="4"/>
      <c r="O19" s="4"/>
      <c r="P19" s="4"/>
      <c r="Q19" s="4"/>
      <c r="R19" s="4"/>
      <c r="S19" s="4"/>
      <c r="T19" s="50"/>
      <c r="U19" s="60">
        <f t="shared" si="1"/>
        <v>0</v>
      </c>
    </row>
    <row r="20" spans="1:33" ht="18.75" customHeight="1">
      <c r="A20" s="230"/>
      <c r="B20" s="4" t="s">
        <v>17</v>
      </c>
      <c r="C20" s="4"/>
      <c r="D20" s="4"/>
      <c r="E20" s="4"/>
      <c r="F20" s="4"/>
      <c r="G20" s="4"/>
      <c r="H20" s="4"/>
      <c r="I20" s="4"/>
      <c r="J20" s="4"/>
      <c r="K20" s="227"/>
      <c r="L20" s="4" t="s">
        <v>17</v>
      </c>
      <c r="M20" s="4"/>
      <c r="N20" s="4"/>
      <c r="O20" s="4"/>
      <c r="P20" s="4"/>
      <c r="Q20" s="4"/>
      <c r="R20" s="4"/>
      <c r="S20" s="4"/>
      <c r="T20" s="50"/>
      <c r="U20" s="60">
        <f t="shared" si="1"/>
        <v>0</v>
      </c>
    </row>
    <row r="21" spans="1:33" ht="18.75" customHeight="1">
      <c r="A21" s="230"/>
      <c r="B21" s="46" t="s">
        <v>18</v>
      </c>
      <c r="C21" s="46"/>
      <c r="D21" s="46"/>
      <c r="E21" s="46"/>
      <c r="F21" s="46"/>
      <c r="G21" s="46"/>
      <c r="H21" s="46"/>
      <c r="I21" s="46"/>
      <c r="J21" s="46"/>
      <c r="K21" s="227"/>
      <c r="L21" s="46" t="s">
        <v>18</v>
      </c>
      <c r="M21" s="46"/>
      <c r="N21" s="46"/>
      <c r="O21" s="46"/>
      <c r="P21" s="46"/>
      <c r="Q21" s="46"/>
      <c r="R21" s="46"/>
      <c r="S21" s="46"/>
      <c r="T21" s="69"/>
      <c r="U21" s="60">
        <f t="shared" si="1"/>
        <v>0</v>
      </c>
    </row>
    <row r="22" spans="1:33" ht="18.75" customHeight="1">
      <c r="A22" s="193" t="s">
        <v>8</v>
      </c>
      <c r="B22" s="63" t="s">
        <v>13</v>
      </c>
      <c r="C22" s="63"/>
      <c r="D22" s="63"/>
      <c r="E22" s="63"/>
      <c r="F22" s="63"/>
      <c r="G22" s="63"/>
      <c r="H22" s="63"/>
      <c r="I22" s="63"/>
      <c r="J22" s="63"/>
      <c r="K22" s="194" t="s">
        <v>8</v>
      </c>
      <c r="L22" s="63" t="s">
        <v>13</v>
      </c>
      <c r="M22" s="63"/>
      <c r="N22" s="63"/>
      <c r="O22" s="63"/>
      <c r="P22" s="63"/>
      <c r="Q22" s="63"/>
      <c r="R22" s="63"/>
      <c r="S22" s="63"/>
      <c r="T22" s="68"/>
      <c r="U22" s="60">
        <f t="shared" si="1"/>
        <v>0</v>
      </c>
    </row>
    <row r="23" spans="1:33" ht="18.75" customHeight="1">
      <c r="A23" s="230"/>
      <c r="B23" s="6" t="s">
        <v>14</v>
      </c>
      <c r="C23" s="6"/>
      <c r="D23" s="6"/>
      <c r="E23" s="6"/>
      <c r="F23" s="6"/>
      <c r="G23" s="6"/>
      <c r="H23" s="6"/>
      <c r="I23" s="6"/>
      <c r="J23" s="6"/>
      <c r="K23" s="227"/>
      <c r="L23" s="6" t="s">
        <v>14</v>
      </c>
      <c r="M23" s="6"/>
      <c r="N23" s="6"/>
      <c r="O23" s="6"/>
      <c r="P23" s="6"/>
      <c r="Q23" s="6"/>
      <c r="R23" s="6"/>
      <c r="S23" s="6"/>
      <c r="T23" s="51"/>
      <c r="U23" s="60">
        <f t="shared" si="1"/>
        <v>0</v>
      </c>
    </row>
    <row r="24" spans="1:33" ht="18.75" customHeight="1">
      <c r="A24" s="230"/>
      <c r="B24" s="6" t="s">
        <v>15</v>
      </c>
      <c r="C24" s="6"/>
      <c r="D24" s="6"/>
      <c r="E24" s="6"/>
      <c r="F24" s="6"/>
      <c r="G24" s="6"/>
      <c r="H24" s="6"/>
      <c r="I24" s="6"/>
      <c r="J24" s="6"/>
      <c r="K24" s="227"/>
      <c r="L24" s="6" t="s">
        <v>15</v>
      </c>
      <c r="M24" s="6"/>
      <c r="N24" s="6"/>
      <c r="O24" s="6"/>
      <c r="P24" s="6"/>
      <c r="Q24" s="6"/>
      <c r="R24" s="6"/>
      <c r="S24" s="6"/>
      <c r="T24" s="51"/>
      <c r="U24" s="60">
        <f t="shared" si="1"/>
        <v>0</v>
      </c>
    </row>
    <row r="25" spans="1:33" ht="18.75" customHeight="1">
      <c r="A25" s="230"/>
      <c r="B25" s="6" t="s">
        <v>16</v>
      </c>
      <c r="C25" s="6"/>
      <c r="D25" s="6"/>
      <c r="E25" s="6"/>
      <c r="F25" s="6"/>
      <c r="G25" s="6"/>
      <c r="H25" s="6"/>
      <c r="I25" s="6"/>
      <c r="J25" s="6"/>
      <c r="K25" s="227"/>
      <c r="L25" s="6" t="s">
        <v>16</v>
      </c>
      <c r="M25" s="6"/>
      <c r="N25" s="6"/>
      <c r="O25" s="6"/>
      <c r="P25" s="6"/>
      <c r="Q25" s="6"/>
      <c r="R25" s="6"/>
      <c r="S25" s="6"/>
      <c r="T25" s="51"/>
      <c r="U25" s="60">
        <f t="shared" si="1"/>
        <v>0</v>
      </c>
    </row>
    <row r="26" spans="1:33" ht="18.75" customHeight="1">
      <c r="A26" s="230"/>
      <c r="B26" s="6" t="s">
        <v>17</v>
      </c>
      <c r="C26" s="6"/>
      <c r="D26" s="6"/>
      <c r="E26" s="6"/>
      <c r="F26" s="6"/>
      <c r="G26" s="6"/>
      <c r="H26" s="6"/>
      <c r="I26" s="6"/>
      <c r="J26" s="6"/>
      <c r="K26" s="227"/>
      <c r="L26" s="6" t="s">
        <v>17</v>
      </c>
      <c r="M26" s="6"/>
      <c r="N26" s="6"/>
      <c r="O26" s="6"/>
      <c r="P26" s="6"/>
      <c r="Q26" s="6"/>
      <c r="R26" s="6"/>
      <c r="S26" s="6"/>
      <c r="T26" s="51"/>
      <c r="U26" s="60">
        <f t="shared" si="1"/>
        <v>0</v>
      </c>
      <c r="AG26" s="95"/>
    </row>
    <row r="27" spans="1:33" ht="18.75" customHeight="1">
      <c r="A27" s="230"/>
      <c r="B27" s="47" t="s">
        <v>18</v>
      </c>
      <c r="C27" s="47"/>
      <c r="D27" s="47"/>
      <c r="E27" s="47"/>
      <c r="F27" s="47"/>
      <c r="G27" s="47"/>
      <c r="H27" s="47"/>
      <c r="I27" s="47"/>
      <c r="J27" s="47"/>
      <c r="K27" s="227"/>
      <c r="L27" s="47" t="s">
        <v>18</v>
      </c>
      <c r="M27" s="47"/>
      <c r="N27" s="47"/>
      <c r="O27" s="47"/>
      <c r="P27" s="47"/>
      <c r="Q27" s="47"/>
      <c r="R27" s="47"/>
      <c r="S27" s="47"/>
      <c r="T27" s="70"/>
      <c r="U27" s="60">
        <f t="shared" si="1"/>
        <v>0</v>
      </c>
      <c r="AG27" s="96"/>
    </row>
    <row r="28" spans="1:33" ht="18.75" customHeight="1">
      <c r="A28" s="195" t="s">
        <v>9</v>
      </c>
      <c r="B28" s="56" t="s">
        <v>13</v>
      </c>
      <c r="C28" s="56">
        <v>19</v>
      </c>
      <c r="D28" s="56">
        <v>23</v>
      </c>
      <c r="E28" s="56">
        <v>20</v>
      </c>
      <c r="F28" s="56">
        <v>27</v>
      </c>
      <c r="G28" s="56">
        <v>24</v>
      </c>
      <c r="H28" s="56">
        <v>35</v>
      </c>
      <c r="I28" s="56">
        <v>19</v>
      </c>
      <c r="J28" s="56">
        <v>15</v>
      </c>
      <c r="K28" s="196" t="s">
        <v>9</v>
      </c>
      <c r="L28" s="56" t="s">
        <v>13</v>
      </c>
      <c r="M28" s="56">
        <v>14</v>
      </c>
      <c r="N28" s="56">
        <v>7</v>
      </c>
      <c r="O28" s="56"/>
      <c r="P28" s="56">
        <v>11</v>
      </c>
      <c r="Q28" s="56">
        <v>14</v>
      </c>
      <c r="R28" s="56">
        <v>22</v>
      </c>
      <c r="S28" s="56">
        <v>15</v>
      </c>
      <c r="T28" s="67">
        <v>6</v>
      </c>
      <c r="U28" s="60">
        <f t="shared" si="1"/>
        <v>271</v>
      </c>
      <c r="AG28" s="96"/>
    </row>
    <row r="29" spans="1:33" ht="18.75" customHeight="1">
      <c r="A29" s="230"/>
      <c r="B29" s="4" t="s">
        <v>14</v>
      </c>
      <c r="C29" s="4">
        <v>5</v>
      </c>
      <c r="D29" s="4">
        <v>10</v>
      </c>
      <c r="E29" s="4">
        <v>8</v>
      </c>
      <c r="F29" s="4">
        <v>15</v>
      </c>
      <c r="G29" s="4">
        <v>14</v>
      </c>
      <c r="H29" s="4">
        <v>12</v>
      </c>
      <c r="I29" s="4">
        <v>16</v>
      </c>
      <c r="J29" s="4">
        <v>7</v>
      </c>
      <c r="K29" s="227"/>
      <c r="L29" s="4" t="s">
        <v>14</v>
      </c>
      <c r="M29" s="4">
        <v>9</v>
      </c>
      <c r="N29" s="4">
        <v>6</v>
      </c>
      <c r="O29" s="4"/>
      <c r="P29" s="4">
        <v>10</v>
      </c>
      <c r="Q29" s="4">
        <v>8</v>
      </c>
      <c r="R29" s="4">
        <v>5</v>
      </c>
      <c r="S29" s="4">
        <v>6</v>
      </c>
      <c r="T29" s="50">
        <v>3</v>
      </c>
      <c r="U29" s="60">
        <f t="shared" si="1"/>
        <v>134</v>
      </c>
      <c r="AG29" s="96"/>
    </row>
    <row r="30" spans="1:33" ht="18.75" customHeight="1">
      <c r="A30" s="230"/>
      <c r="B30" s="4" t="s">
        <v>15</v>
      </c>
      <c r="C30" s="4">
        <v>32</v>
      </c>
      <c r="D30" s="4">
        <v>24</v>
      </c>
      <c r="E30" s="4">
        <v>18</v>
      </c>
      <c r="F30" s="4">
        <v>21</v>
      </c>
      <c r="G30" s="4">
        <v>27</v>
      </c>
      <c r="H30" s="4">
        <v>20</v>
      </c>
      <c r="I30" s="4">
        <v>20</v>
      </c>
      <c r="J30" s="4">
        <v>15</v>
      </c>
      <c r="K30" s="227"/>
      <c r="L30" s="4" t="s">
        <v>15</v>
      </c>
      <c r="M30" s="4">
        <v>10</v>
      </c>
      <c r="N30" s="4">
        <v>13</v>
      </c>
      <c r="O30" s="4"/>
      <c r="P30" s="4">
        <v>21</v>
      </c>
      <c r="Q30" s="4">
        <v>16</v>
      </c>
      <c r="R30" s="4">
        <v>20</v>
      </c>
      <c r="S30" s="4">
        <v>25</v>
      </c>
      <c r="T30" s="50">
        <v>12</v>
      </c>
      <c r="U30" s="60">
        <f t="shared" si="1"/>
        <v>294</v>
      </c>
      <c r="AG30" s="96"/>
    </row>
    <row r="31" spans="1:33" ht="18.75" customHeight="1">
      <c r="A31" s="230"/>
      <c r="B31" s="4" t="s">
        <v>16</v>
      </c>
      <c r="C31" s="4">
        <v>1</v>
      </c>
      <c r="D31" s="4">
        <v>2</v>
      </c>
      <c r="E31" s="4">
        <v>2</v>
      </c>
      <c r="F31" s="4">
        <v>8</v>
      </c>
      <c r="G31" s="4">
        <v>7</v>
      </c>
      <c r="H31" s="4">
        <v>10</v>
      </c>
      <c r="I31" s="4">
        <v>8</v>
      </c>
      <c r="J31" s="4">
        <v>4</v>
      </c>
      <c r="K31" s="227"/>
      <c r="L31" s="4" t="s">
        <v>16</v>
      </c>
      <c r="M31" s="4">
        <v>5</v>
      </c>
      <c r="N31" s="4">
        <v>3</v>
      </c>
      <c r="O31" s="4"/>
      <c r="P31" s="4">
        <v>1</v>
      </c>
      <c r="Q31" s="4">
        <v>4</v>
      </c>
      <c r="R31" s="4">
        <v>3</v>
      </c>
      <c r="S31" s="4">
        <v>4</v>
      </c>
      <c r="T31" s="50">
        <v>2</v>
      </c>
      <c r="U31" s="60">
        <f t="shared" si="1"/>
        <v>64</v>
      </c>
      <c r="AG31" s="96"/>
    </row>
    <row r="32" spans="1:33" ht="18.75" customHeight="1">
      <c r="A32" s="230"/>
      <c r="B32" s="4" t="s">
        <v>17</v>
      </c>
      <c r="C32" s="4">
        <v>3</v>
      </c>
      <c r="D32" s="4">
        <v>6</v>
      </c>
      <c r="E32" s="4">
        <v>7</v>
      </c>
      <c r="F32" s="4">
        <v>14</v>
      </c>
      <c r="G32" s="4">
        <v>4</v>
      </c>
      <c r="H32" s="4">
        <v>5</v>
      </c>
      <c r="I32" s="4">
        <v>8</v>
      </c>
      <c r="J32" s="4">
        <v>4</v>
      </c>
      <c r="K32" s="227"/>
      <c r="L32" s="4" t="s">
        <v>17</v>
      </c>
      <c r="M32" s="4">
        <v>7</v>
      </c>
      <c r="N32" s="4">
        <v>4</v>
      </c>
      <c r="O32" s="4"/>
      <c r="P32" s="4">
        <v>7</v>
      </c>
      <c r="Q32" s="4">
        <v>4</v>
      </c>
      <c r="R32" s="4">
        <v>5</v>
      </c>
      <c r="S32" s="4">
        <v>4</v>
      </c>
      <c r="T32" s="50">
        <v>0</v>
      </c>
      <c r="U32" s="60">
        <f t="shared" si="1"/>
        <v>82</v>
      </c>
      <c r="AG32" s="96"/>
    </row>
    <row r="33" spans="1:33" ht="18.75" customHeight="1">
      <c r="A33" s="230"/>
      <c r="B33" s="46" t="s">
        <v>18</v>
      </c>
      <c r="C33" s="46">
        <v>12</v>
      </c>
      <c r="D33" s="46">
        <v>7</v>
      </c>
      <c r="E33" s="46">
        <v>5</v>
      </c>
      <c r="F33" s="46">
        <v>1</v>
      </c>
      <c r="G33" s="46">
        <v>7</v>
      </c>
      <c r="H33" s="46">
        <v>8</v>
      </c>
      <c r="I33" s="46">
        <v>8</v>
      </c>
      <c r="J33" s="46">
        <v>4</v>
      </c>
      <c r="K33" s="227"/>
      <c r="L33" s="46" t="s">
        <v>18</v>
      </c>
      <c r="M33" s="46">
        <v>4</v>
      </c>
      <c r="N33" s="46">
        <v>3</v>
      </c>
      <c r="O33" s="46"/>
      <c r="P33" s="46">
        <v>7</v>
      </c>
      <c r="Q33" s="46">
        <v>6</v>
      </c>
      <c r="R33" s="46">
        <v>5</v>
      </c>
      <c r="S33" s="46">
        <v>5</v>
      </c>
      <c r="T33" s="69">
        <v>0</v>
      </c>
      <c r="U33" s="60">
        <f t="shared" si="1"/>
        <v>82</v>
      </c>
      <c r="AG33" s="95"/>
    </row>
    <row r="34" spans="1:33" ht="18.75" customHeight="1">
      <c r="A34" s="193" t="s">
        <v>10</v>
      </c>
      <c r="B34" s="63" t="s">
        <v>13</v>
      </c>
      <c r="C34" s="99">
        <v>21</v>
      </c>
      <c r="D34" s="99">
        <v>16</v>
      </c>
      <c r="E34" s="99">
        <v>15</v>
      </c>
      <c r="F34" s="99">
        <v>20</v>
      </c>
      <c r="G34" s="99">
        <v>34</v>
      </c>
      <c r="H34" s="99">
        <v>28</v>
      </c>
      <c r="I34" s="99">
        <v>25</v>
      </c>
      <c r="J34" s="99">
        <v>17</v>
      </c>
      <c r="K34" s="194" t="s">
        <v>10</v>
      </c>
      <c r="L34" s="63" t="s">
        <v>13</v>
      </c>
      <c r="M34" s="71">
        <v>16</v>
      </c>
      <c r="N34" s="71">
        <v>15</v>
      </c>
      <c r="O34" s="71">
        <v>19</v>
      </c>
      <c r="P34" s="71">
        <v>24</v>
      </c>
      <c r="Q34" s="71">
        <v>15</v>
      </c>
      <c r="R34" s="71">
        <v>12</v>
      </c>
      <c r="S34" s="71">
        <v>11</v>
      </c>
      <c r="T34" s="72">
        <v>8</v>
      </c>
      <c r="U34" s="60">
        <f t="shared" si="1"/>
        <v>296</v>
      </c>
      <c r="AG34" s="96"/>
    </row>
    <row r="35" spans="1:33" ht="18.75" customHeight="1">
      <c r="A35" s="230"/>
      <c r="B35" s="6" t="s">
        <v>14</v>
      </c>
      <c r="C35" s="100">
        <v>6</v>
      </c>
      <c r="D35" s="100">
        <v>5</v>
      </c>
      <c r="E35" s="100">
        <v>5</v>
      </c>
      <c r="F35" s="100">
        <v>9</v>
      </c>
      <c r="G35" s="100">
        <v>8</v>
      </c>
      <c r="H35" s="100">
        <v>15</v>
      </c>
      <c r="I35" s="100">
        <v>15</v>
      </c>
      <c r="J35" s="100">
        <v>6</v>
      </c>
      <c r="K35" s="227"/>
      <c r="L35" s="6" t="s">
        <v>14</v>
      </c>
      <c r="M35" s="8">
        <v>10</v>
      </c>
      <c r="N35" s="8">
        <v>8</v>
      </c>
      <c r="O35" s="8">
        <v>7</v>
      </c>
      <c r="P35" s="8">
        <v>10</v>
      </c>
      <c r="Q35" s="8">
        <v>2</v>
      </c>
      <c r="R35" s="8">
        <v>3</v>
      </c>
      <c r="S35" s="8">
        <v>3</v>
      </c>
      <c r="T35" s="52">
        <v>6</v>
      </c>
      <c r="U35" s="60">
        <f t="shared" si="1"/>
        <v>118</v>
      </c>
      <c r="AG35" s="96"/>
    </row>
    <row r="36" spans="1:33" ht="18.75" customHeight="1">
      <c r="A36" s="230"/>
      <c r="B36" s="6" t="s">
        <v>15</v>
      </c>
      <c r="C36" s="100">
        <v>18</v>
      </c>
      <c r="D36" s="100">
        <v>15</v>
      </c>
      <c r="E36" s="100">
        <v>18</v>
      </c>
      <c r="F36" s="100">
        <v>19</v>
      </c>
      <c r="G36" s="100">
        <v>16</v>
      </c>
      <c r="H36" s="100">
        <v>25</v>
      </c>
      <c r="I36" s="100">
        <v>20</v>
      </c>
      <c r="J36" s="100">
        <v>19</v>
      </c>
      <c r="K36" s="227"/>
      <c r="L36" s="6" t="s">
        <v>15</v>
      </c>
      <c r="M36" s="8">
        <v>14</v>
      </c>
      <c r="N36" s="8">
        <v>16</v>
      </c>
      <c r="O36" s="8">
        <v>19</v>
      </c>
      <c r="P36" s="8">
        <v>21</v>
      </c>
      <c r="Q36" s="8">
        <v>16</v>
      </c>
      <c r="R36" s="8">
        <v>22</v>
      </c>
      <c r="S36" s="8">
        <v>26</v>
      </c>
      <c r="T36" s="52">
        <v>10</v>
      </c>
      <c r="U36" s="60">
        <f t="shared" si="1"/>
        <v>294</v>
      </c>
      <c r="AG36" s="96"/>
    </row>
    <row r="37" spans="1:33" ht="18.75" customHeight="1">
      <c r="A37" s="230"/>
      <c r="B37" s="6" t="s">
        <v>16</v>
      </c>
      <c r="C37" s="100">
        <v>5</v>
      </c>
      <c r="D37" s="100">
        <v>4</v>
      </c>
      <c r="E37" s="100">
        <v>6</v>
      </c>
      <c r="F37" s="100">
        <v>6</v>
      </c>
      <c r="G37" s="100">
        <v>8</v>
      </c>
      <c r="H37" s="100">
        <v>9</v>
      </c>
      <c r="I37" s="100">
        <v>9</v>
      </c>
      <c r="J37" s="100">
        <v>3</v>
      </c>
      <c r="K37" s="227"/>
      <c r="L37" s="6" t="s">
        <v>16</v>
      </c>
      <c r="M37" s="8">
        <v>2</v>
      </c>
      <c r="N37" s="8">
        <v>5</v>
      </c>
      <c r="O37" s="8">
        <v>3</v>
      </c>
      <c r="P37" s="8">
        <v>6</v>
      </c>
      <c r="Q37" s="8">
        <v>5</v>
      </c>
      <c r="R37" s="8">
        <v>6</v>
      </c>
      <c r="S37" s="8">
        <v>4</v>
      </c>
      <c r="T37" s="52">
        <v>2</v>
      </c>
      <c r="U37" s="60">
        <f t="shared" si="1"/>
        <v>83</v>
      </c>
      <c r="AG37" s="96"/>
    </row>
    <row r="38" spans="1:33" ht="18.75" customHeight="1">
      <c r="A38" s="230"/>
      <c r="B38" s="6" t="s">
        <v>17</v>
      </c>
      <c r="C38" s="100">
        <v>6</v>
      </c>
      <c r="D38" s="100">
        <v>3</v>
      </c>
      <c r="E38" s="100">
        <v>4</v>
      </c>
      <c r="F38" s="100">
        <v>5</v>
      </c>
      <c r="G38" s="100">
        <v>10</v>
      </c>
      <c r="H38" s="100">
        <v>7</v>
      </c>
      <c r="I38" s="100">
        <v>8</v>
      </c>
      <c r="J38" s="100">
        <v>4</v>
      </c>
      <c r="K38" s="227"/>
      <c r="L38" s="6" t="s">
        <v>17</v>
      </c>
      <c r="M38" s="8">
        <v>2</v>
      </c>
      <c r="N38" s="8">
        <v>7</v>
      </c>
      <c r="O38" s="8">
        <v>2</v>
      </c>
      <c r="P38" s="8">
        <v>6</v>
      </c>
      <c r="Q38" s="8">
        <v>3</v>
      </c>
      <c r="R38" s="8">
        <v>5</v>
      </c>
      <c r="S38" s="8">
        <v>6</v>
      </c>
      <c r="T38" s="52">
        <v>0</v>
      </c>
      <c r="U38" s="60">
        <f t="shared" si="1"/>
        <v>78</v>
      </c>
      <c r="AG38" s="96"/>
    </row>
    <row r="39" spans="1:33" ht="18.75" customHeight="1">
      <c r="A39" s="230"/>
      <c r="B39" s="47" t="s">
        <v>18</v>
      </c>
      <c r="C39" s="101">
        <v>17</v>
      </c>
      <c r="D39" s="101">
        <v>6</v>
      </c>
      <c r="E39" s="101">
        <v>5</v>
      </c>
      <c r="F39" s="101">
        <v>8</v>
      </c>
      <c r="G39" s="101">
        <v>8</v>
      </c>
      <c r="H39" s="101">
        <v>7</v>
      </c>
      <c r="I39" s="101">
        <v>5</v>
      </c>
      <c r="J39" s="101">
        <v>1</v>
      </c>
      <c r="K39" s="227"/>
      <c r="L39" s="47" t="s">
        <v>18</v>
      </c>
      <c r="M39" s="77">
        <v>4</v>
      </c>
      <c r="N39" s="77">
        <v>4</v>
      </c>
      <c r="O39" s="77">
        <v>1</v>
      </c>
      <c r="P39" s="77">
        <v>5</v>
      </c>
      <c r="Q39" s="77">
        <v>5</v>
      </c>
      <c r="R39" s="77">
        <v>11</v>
      </c>
      <c r="S39" s="77">
        <v>8</v>
      </c>
      <c r="T39" s="78">
        <v>2</v>
      </c>
      <c r="U39" s="60">
        <f t="shared" si="1"/>
        <v>97</v>
      </c>
      <c r="AG39" s="96"/>
    </row>
    <row r="40" spans="1:33" ht="18.75" customHeight="1">
      <c r="A40" s="195" t="s">
        <v>11</v>
      </c>
      <c r="B40" s="56" t="s">
        <v>13</v>
      </c>
      <c r="C40" s="73">
        <v>9</v>
      </c>
      <c r="D40" s="73">
        <v>18</v>
      </c>
      <c r="E40" s="73">
        <v>12</v>
      </c>
      <c r="F40" s="73">
        <v>18</v>
      </c>
      <c r="G40" s="73">
        <v>20</v>
      </c>
      <c r="H40" s="73">
        <v>16</v>
      </c>
      <c r="I40" s="73">
        <v>18</v>
      </c>
      <c r="J40" s="73">
        <v>11</v>
      </c>
      <c r="K40" s="196" t="s">
        <v>11</v>
      </c>
      <c r="L40" s="56" t="s">
        <v>13</v>
      </c>
      <c r="M40" s="73">
        <v>13</v>
      </c>
      <c r="N40" s="73">
        <v>12</v>
      </c>
      <c r="O40" s="73">
        <v>10</v>
      </c>
      <c r="P40" s="73">
        <v>15</v>
      </c>
      <c r="Q40" s="73">
        <v>23</v>
      </c>
      <c r="R40" s="73">
        <v>20</v>
      </c>
      <c r="S40" s="73"/>
      <c r="T40" s="74"/>
      <c r="U40" s="60">
        <f t="shared" si="1"/>
        <v>215</v>
      </c>
      <c r="AG40" s="95"/>
    </row>
    <row r="41" spans="1:33" ht="18.75" customHeight="1">
      <c r="A41" s="230"/>
      <c r="B41" s="4" t="s">
        <v>14</v>
      </c>
      <c r="C41" s="9">
        <v>6</v>
      </c>
      <c r="D41" s="9">
        <v>5</v>
      </c>
      <c r="E41" s="9">
        <v>9</v>
      </c>
      <c r="F41" s="9">
        <v>9</v>
      </c>
      <c r="G41" s="9">
        <v>8</v>
      </c>
      <c r="H41" s="9">
        <v>11</v>
      </c>
      <c r="I41" s="9">
        <v>10</v>
      </c>
      <c r="J41" s="9">
        <v>9</v>
      </c>
      <c r="K41" s="227"/>
      <c r="L41" s="4" t="s">
        <v>14</v>
      </c>
      <c r="M41" s="9">
        <v>7</v>
      </c>
      <c r="N41" s="9">
        <v>3</v>
      </c>
      <c r="O41" s="9">
        <v>7</v>
      </c>
      <c r="P41" s="9">
        <v>5</v>
      </c>
      <c r="Q41" s="9">
        <v>8</v>
      </c>
      <c r="R41" s="9">
        <v>7</v>
      </c>
      <c r="S41" s="9"/>
      <c r="T41" s="53"/>
      <c r="U41" s="60">
        <f t="shared" si="1"/>
        <v>104</v>
      </c>
      <c r="AG41" s="96"/>
    </row>
    <row r="42" spans="1:33" ht="18.75" customHeight="1">
      <c r="A42" s="230"/>
      <c r="B42" s="4" t="s">
        <v>15</v>
      </c>
      <c r="C42" s="9">
        <v>10</v>
      </c>
      <c r="D42" s="9">
        <v>11</v>
      </c>
      <c r="E42" s="9">
        <v>12</v>
      </c>
      <c r="F42" s="9">
        <v>11</v>
      </c>
      <c r="G42" s="9">
        <v>17</v>
      </c>
      <c r="H42" s="9">
        <v>7</v>
      </c>
      <c r="I42" s="9">
        <v>10</v>
      </c>
      <c r="J42" s="9">
        <v>13</v>
      </c>
      <c r="K42" s="227"/>
      <c r="L42" s="4" t="s">
        <v>15</v>
      </c>
      <c r="M42" s="9">
        <v>13</v>
      </c>
      <c r="N42" s="9">
        <v>16</v>
      </c>
      <c r="O42" s="9">
        <v>12</v>
      </c>
      <c r="P42" s="9">
        <v>17</v>
      </c>
      <c r="Q42" s="9">
        <v>21</v>
      </c>
      <c r="R42" s="9">
        <v>19</v>
      </c>
      <c r="S42" s="9"/>
      <c r="T42" s="53"/>
      <c r="U42" s="60">
        <f t="shared" si="1"/>
        <v>189</v>
      </c>
      <c r="AG42" s="96"/>
    </row>
    <row r="43" spans="1:33" ht="18.75" customHeight="1">
      <c r="A43" s="230"/>
      <c r="B43" s="4" t="s">
        <v>16</v>
      </c>
      <c r="C43" s="9">
        <v>1</v>
      </c>
      <c r="D43" s="9">
        <v>4</v>
      </c>
      <c r="E43" s="9">
        <v>10</v>
      </c>
      <c r="F43" s="9">
        <v>12</v>
      </c>
      <c r="G43" s="9">
        <v>10</v>
      </c>
      <c r="H43" s="9">
        <v>5</v>
      </c>
      <c r="I43" s="9">
        <v>8</v>
      </c>
      <c r="J43" s="9">
        <v>3</v>
      </c>
      <c r="K43" s="227"/>
      <c r="L43" s="4" t="s">
        <v>16</v>
      </c>
      <c r="M43" s="9">
        <v>4</v>
      </c>
      <c r="N43" s="9">
        <v>2</v>
      </c>
      <c r="O43" s="9">
        <v>7</v>
      </c>
      <c r="P43" s="9">
        <v>4</v>
      </c>
      <c r="Q43" s="9">
        <v>0</v>
      </c>
      <c r="R43" s="9">
        <v>2</v>
      </c>
      <c r="S43" s="9"/>
      <c r="T43" s="53"/>
      <c r="U43" s="60">
        <f t="shared" si="1"/>
        <v>72</v>
      </c>
      <c r="AG43" s="96"/>
    </row>
    <row r="44" spans="1:33" ht="18.75" customHeight="1">
      <c r="A44" s="230"/>
      <c r="B44" s="4" t="s">
        <v>17</v>
      </c>
      <c r="C44" s="9">
        <v>1</v>
      </c>
      <c r="D44" s="9">
        <v>4</v>
      </c>
      <c r="E44" s="9">
        <v>6</v>
      </c>
      <c r="F44" s="9">
        <v>11</v>
      </c>
      <c r="G44" s="9">
        <v>7</v>
      </c>
      <c r="H44" s="9">
        <v>8</v>
      </c>
      <c r="I44" s="9">
        <v>7</v>
      </c>
      <c r="J44" s="9">
        <v>2</v>
      </c>
      <c r="K44" s="227"/>
      <c r="L44" s="4" t="s">
        <v>17</v>
      </c>
      <c r="M44" s="9">
        <v>8</v>
      </c>
      <c r="N44" s="9">
        <v>6</v>
      </c>
      <c r="O44" s="9">
        <v>9</v>
      </c>
      <c r="P44" s="9">
        <v>5</v>
      </c>
      <c r="Q44" s="9">
        <v>2</v>
      </c>
      <c r="R44" s="9">
        <v>4</v>
      </c>
      <c r="S44" s="9"/>
      <c r="T44" s="53"/>
      <c r="U44" s="60">
        <f t="shared" si="1"/>
        <v>80</v>
      </c>
      <c r="AG44" s="96"/>
    </row>
    <row r="45" spans="1:33" ht="18.75" customHeight="1">
      <c r="A45" s="231"/>
      <c r="B45" s="61" t="s">
        <v>18</v>
      </c>
      <c r="C45" s="75">
        <v>5</v>
      </c>
      <c r="D45" s="75">
        <v>3</v>
      </c>
      <c r="E45" s="75">
        <v>10</v>
      </c>
      <c r="F45" s="75">
        <v>6</v>
      </c>
      <c r="G45" s="75">
        <v>14</v>
      </c>
      <c r="H45" s="75">
        <v>9</v>
      </c>
      <c r="I45" s="75">
        <v>11</v>
      </c>
      <c r="J45" s="75">
        <v>4</v>
      </c>
      <c r="K45" s="232"/>
      <c r="L45" s="61" t="s">
        <v>18</v>
      </c>
      <c r="M45" s="75">
        <v>1</v>
      </c>
      <c r="N45" s="75">
        <v>4</v>
      </c>
      <c r="O45" s="75">
        <v>6</v>
      </c>
      <c r="P45" s="75">
        <v>3</v>
      </c>
      <c r="Q45" s="75">
        <v>5</v>
      </c>
      <c r="R45" s="75">
        <v>3</v>
      </c>
      <c r="S45" s="75"/>
      <c r="T45" s="76"/>
      <c r="U45" s="60">
        <f t="shared" si="1"/>
        <v>84</v>
      </c>
      <c r="AG45" s="96"/>
    </row>
    <row r="46" spans="1:33" ht="18.75" customHeight="1">
      <c r="AG46" s="96"/>
    </row>
    <row r="47" spans="1:33" ht="18.75" customHeight="1">
      <c r="A47" s="1"/>
      <c r="B47" s="1"/>
      <c r="C47" s="183" t="s">
        <v>0</v>
      </c>
      <c r="D47" s="225"/>
      <c r="E47" s="225"/>
      <c r="F47" s="225"/>
      <c r="G47" s="226"/>
      <c r="H47" s="2"/>
      <c r="I47" s="1"/>
    </row>
    <row r="48" spans="1:33" ht="18.75" customHeight="1">
      <c r="A48" s="1"/>
      <c r="B48" s="183" t="s">
        <v>1</v>
      </c>
      <c r="C48" s="225"/>
      <c r="D48" s="226"/>
      <c r="E48" s="1"/>
      <c r="F48" s="184" t="s">
        <v>118</v>
      </c>
      <c r="G48" s="225"/>
      <c r="H48" s="226"/>
      <c r="I48" s="1"/>
      <c r="K48" s="1"/>
      <c r="L48" s="183" t="s">
        <v>26</v>
      </c>
      <c r="M48" s="225"/>
      <c r="N48" s="226"/>
      <c r="O48" s="1"/>
      <c r="P48" s="184" t="s">
        <v>119</v>
      </c>
      <c r="Q48" s="225"/>
      <c r="R48" s="226"/>
      <c r="S48" s="1"/>
    </row>
    <row r="49" spans="1:40" ht="18.75" customHeight="1">
      <c r="A49" s="54" t="s">
        <v>35</v>
      </c>
      <c r="B49" s="54" t="s">
        <v>4</v>
      </c>
      <c r="C49" s="54" t="s">
        <v>12</v>
      </c>
      <c r="D49" s="54" t="s">
        <v>19</v>
      </c>
      <c r="E49" s="54" t="s">
        <v>20</v>
      </c>
      <c r="F49" s="54" t="s">
        <v>21</v>
      </c>
      <c r="G49" s="54" t="s">
        <v>22</v>
      </c>
      <c r="H49" s="54" t="s">
        <v>23</v>
      </c>
      <c r="I49" s="54" t="s">
        <v>24</v>
      </c>
      <c r="J49" s="54" t="s">
        <v>25</v>
      </c>
      <c r="K49" s="54" t="s">
        <v>35</v>
      </c>
      <c r="L49" s="54" t="s">
        <v>4</v>
      </c>
      <c r="M49" s="54" t="s">
        <v>27</v>
      </c>
      <c r="N49" s="54" t="s">
        <v>28</v>
      </c>
      <c r="O49" s="54" t="s">
        <v>29</v>
      </c>
      <c r="P49" s="54" t="s">
        <v>30</v>
      </c>
      <c r="Q49" s="54" t="s">
        <v>31</v>
      </c>
      <c r="R49" s="54" t="s">
        <v>32</v>
      </c>
      <c r="S49" s="54" t="s">
        <v>33</v>
      </c>
      <c r="T49" s="54" t="s">
        <v>34</v>
      </c>
      <c r="U49" s="54" t="s">
        <v>55</v>
      </c>
    </row>
    <row r="50" spans="1:40" ht="18.75" customHeight="1">
      <c r="A50" s="195" t="s">
        <v>5</v>
      </c>
      <c r="B50" s="56" t="s">
        <v>13</v>
      </c>
      <c r="C50" s="57"/>
      <c r="D50" s="57"/>
      <c r="E50" s="56">
        <v>6</v>
      </c>
      <c r="F50" s="56">
        <v>16</v>
      </c>
      <c r="G50" s="56">
        <v>13</v>
      </c>
      <c r="H50" s="56">
        <v>18</v>
      </c>
      <c r="I50" s="56">
        <v>12</v>
      </c>
      <c r="J50" s="56" t="s">
        <v>78</v>
      </c>
      <c r="K50" s="196" t="s">
        <v>5</v>
      </c>
      <c r="L50" s="56" t="s">
        <v>13</v>
      </c>
      <c r="M50" s="56">
        <v>8</v>
      </c>
      <c r="N50" s="56">
        <v>3</v>
      </c>
      <c r="O50" s="56">
        <v>12</v>
      </c>
      <c r="P50" s="56">
        <v>11</v>
      </c>
      <c r="Q50" s="56">
        <v>9</v>
      </c>
      <c r="R50" s="57"/>
      <c r="S50" s="57"/>
      <c r="T50" s="58"/>
      <c r="U50" s="59">
        <f>SUM(M50:T50,C50:J50)</f>
        <v>108</v>
      </c>
      <c r="W50" s="197" t="s">
        <v>2</v>
      </c>
      <c r="X50" s="198"/>
      <c r="AG50" s="190" t="s">
        <v>58</v>
      </c>
      <c r="AH50" s="191"/>
      <c r="AI50" s="191"/>
      <c r="AJ50" s="191"/>
      <c r="AK50" s="191"/>
      <c r="AL50" s="191"/>
      <c r="AM50" s="191"/>
      <c r="AN50" s="192"/>
    </row>
    <row r="51" spans="1:40" ht="18.75" customHeight="1">
      <c r="A51" s="230"/>
      <c r="B51" s="4" t="s">
        <v>14</v>
      </c>
      <c r="C51" s="5"/>
      <c r="D51" s="5"/>
      <c r="E51" s="4">
        <v>3</v>
      </c>
      <c r="F51" s="4">
        <v>5</v>
      </c>
      <c r="G51" s="4">
        <v>6</v>
      </c>
      <c r="H51" s="4">
        <v>6</v>
      </c>
      <c r="I51" s="4">
        <v>8</v>
      </c>
      <c r="J51" s="4">
        <v>6</v>
      </c>
      <c r="K51" s="227"/>
      <c r="L51" s="4" t="s">
        <v>14</v>
      </c>
      <c r="M51" s="4">
        <v>4</v>
      </c>
      <c r="N51" s="4">
        <v>5</v>
      </c>
      <c r="O51" s="4">
        <v>3</v>
      </c>
      <c r="P51" s="4">
        <v>3</v>
      </c>
      <c r="Q51" s="4">
        <v>2</v>
      </c>
      <c r="R51" s="5"/>
      <c r="S51" s="5"/>
      <c r="T51" s="49"/>
      <c r="U51" s="59">
        <f t="shared" ref="U51:U91" si="10">SUM(M51:T51,C51:J51)</f>
        <v>51</v>
      </c>
      <c r="W51" s="55" t="s">
        <v>5</v>
      </c>
      <c r="X51" s="48">
        <f>SUM(U50:U55)</f>
        <v>399</v>
      </c>
      <c r="AG51" s="98" t="s">
        <v>4</v>
      </c>
      <c r="AH51" s="98" t="s">
        <v>5</v>
      </c>
      <c r="AI51" s="98" t="s">
        <v>6</v>
      </c>
      <c r="AJ51" s="98" t="s">
        <v>7</v>
      </c>
      <c r="AK51" s="98" t="s">
        <v>8</v>
      </c>
      <c r="AL51" s="98" t="s">
        <v>9</v>
      </c>
      <c r="AM51" s="98" t="s">
        <v>10</v>
      </c>
      <c r="AN51" s="98" t="s">
        <v>11</v>
      </c>
    </row>
    <row r="52" spans="1:40" ht="18.75" customHeight="1">
      <c r="A52" s="230"/>
      <c r="B52" s="4" t="s">
        <v>15</v>
      </c>
      <c r="C52" s="5"/>
      <c r="D52" s="5"/>
      <c r="E52" s="4">
        <v>4</v>
      </c>
      <c r="F52" s="4">
        <v>10</v>
      </c>
      <c r="G52" s="4">
        <v>9</v>
      </c>
      <c r="H52" s="4">
        <v>10</v>
      </c>
      <c r="I52" s="4">
        <v>24</v>
      </c>
      <c r="J52" s="4" t="s">
        <v>78</v>
      </c>
      <c r="K52" s="227"/>
      <c r="L52" s="4" t="s">
        <v>15</v>
      </c>
      <c r="M52" s="4">
        <v>16</v>
      </c>
      <c r="N52" s="4">
        <v>13</v>
      </c>
      <c r="O52" s="4">
        <v>7</v>
      </c>
      <c r="P52" s="4">
        <v>15</v>
      </c>
      <c r="Q52" s="4">
        <v>14</v>
      </c>
      <c r="R52" s="5"/>
      <c r="S52" s="5"/>
      <c r="T52" s="49"/>
      <c r="U52" s="59">
        <f t="shared" si="10"/>
        <v>122</v>
      </c>
      <c r="W52" s="55" t="s">
        <v>6</v>
      </c>
      <c r="X52" s="48">
        <f>SUM(U56:U61)</f>
        <v>325</v>
      </c>
      <c r="AG52" s="79" t="s">
        <v>13</v>
      </c>
      <c r="AH52" s="79">
        <f t="shared" ref="AH52:AH57" si="11">U50</f>
        <v>108</v>
      </c>
      <c r="AI52" s="79">
        <f t="shared" ref="AI52:AI57" si="12">U56</f>
        <v>125</v>
      </c>
      <c r="AJ52" s="79">
        <f t="shared" ref="AJ52:AJ57" si="13">U62</f>
        <v>356</v>
      </c>
      <c r="AK52" s="79">
        <f t="shared" ref="AK52:AK57" si="14">U68</f>
        <v>339</v>
      </c>
      <c r="AL52" s="79">
        <f t="shared" ref="AL52:AL57" si="15">U74</f>
        <v>284</v>
      </c>
      <c r="AM52" s="79">
        <f t="shared" ref="AM52:AM57" si="16">U80</f>
        <v>274</v>
      </c>
      <c r="AN52" s="79">
        <f t="shared" ref="AN52:AN57" si="17">U86</f>
        <v>247</v>
      </c>
    </row>
    <row r="53" spans="1:40" ht="18.75" customHeight="1">
      <c r="A53" s="230"/>
      <c r="B53" s="4" t="s">
        <v>16</v>
      </c>
      <c r="C53" s="5"/>
      <c r="D53" s="5"/>
      <c r="E53" s="4">
        <v>2</v>
      </c>
      <c r="F53" s="4">
        <v>2</v>
      </c>
      <c r="G53" s="4">
        <v>3</v>
      </c>
      <c r="H53" s="4">
        <v>3</v>
      </c>
      <c r="I53" s="4">
        <v>1</v>
      </c>
      <c r="J53" s="4" t="s">
        <v>78</v>
      </c>
      <c r="K53" s="227"/>
      <c r="L53" s="4" t="s">
        <v>16</v>
      </c>
      <c r="M53" s="4">
        <v>6</v>
      </c>
      <c r="N53" s="4">
        <v>3</v>
      </c>
      <c r="O53" s="4">
        <v>2</v>
      </c>
      <c r="P53" s="4">
        <v>4</v>
      </c>
      <c r="Q53" s="4">
        <v>4</v>
      </c>
      <c r="R53" s="5"/>
      <c r="S53" s="5"/>
      <c r="T53" s="49"/>
      <c r="U53" s="59">
        <f t="shared" si="10"/>
        <v>30</v>
      </c>
      <c r="W53" s="55" t="s">
        <v>7</v>
      </c>
      <c r="X53" s="48">
        <f>SUM(U62:U67)</f>
        <v>1158</v>
      </c>
      <c r="AG53" s="97" t="s">
        <v>14</v>
      </c>
      <c r="AH53" s="97">
        <f t="shared" si="11"/>
        <v>51</v>
      </c>
      <c r="AI53" s="97">
        <f t="shared" si="12"/>
        <v>27</v>
      </c>
      <c r="AJ53" s="97">
        <f t="shared" si="13"/>
        <v>149</v>
      </c>
      <c r="AK53" s="97">
        <f t="shared" si="14"/>
        <v>131</v>
      </c>
      <c r="AL53" s="97">
        <f t="shared" si="15"/>
        <v>167</v>
      </c>
      <c r="AM53" s="97">
        <f t="shared" si="16"/>
        <v>103</v>
      </c>
      <c r="AN53" s="97">
        <f t="shared" si="17"/>
        <v>93</v>
      </c>
    </row>
    <row r="54" spans="1:40" ht="18.75" customHeight="1">
      <c r="A54" s="230"/>
      <c r="B54" s="4" t="s">
        <v>17</v>
      </c>
      <c r="C54" s="5"/>
      <c r="D54" s="5"/>
      <c r="E54" s="4">
        <v>2</v>
      </c>
      <c r="F54" s="4">
        <v>2</v>
      </c>
      <c r="G54" s="4">
        <v>2</v>
      </c>
      <c r="H54" s="4">
        <v>2</v>
      </c>
      <c r="I54" s="4">
        <v>9</v>
      </c>
      <c r="J54" s="4" t="s">
        <v>78</v>
      </c>
      <c r="K54" s="227"/>
      <c r="L54" s="4" t="s">
        <v>17</v>
      </c>
      <c r="M54" s="4">
        <v>4</v>
      </c>
      <c r="N54" s="4">
        <v>1</v>
      </c>
      <c r="O54" s="4">
        <v>6</v>
      </c>
      <c r="P54" s="4">
        <v>7</v>
      </c>
      <c r="Q54" s="4">
        <v>6</v>
      </c>
      <c r="R54" s="5"/>
      <c r="S54" s="5"/>
      <c r="T54" s="49"/>
      <c r="U54" s="59">
        <f t="shared" si="10"/>
        <v>41</v>
      </c>
      <c r="W54" s="55" t="s">
        <v>61</v>
      </c>
      <c r="X54" s="48">
        <f>SUM(U68:U73)</f>
        <v>1095</v>
      </c>
      <c r="AG54" s="79" t="s">
        <v>15</v>
      </c>
      <c r="AH54" s="79">
        <f t="shared" si="11"/>
        <v>122</v>
      </c>
      <c r="AI54" s="79">
        <f t="shared" si="12"/>
        <v>95</v>
      </c>
      <c r="AJ54" s="79">
        <f t="shared" si="13"/>
        <v>303</v>
      </c>
      <c r="AK54" s="79">
        <f t="shared" si="14"/>
        <v>302</v>
      </c>
      <c r="AL54" s="79">
        <f t="shared" si="15"/>
        <v>305</v>
      </c>
      <c r="AM54" s="79">
        <f t="shared" si="16"/>
        <v>283</v>
      </c>
      <c r="AN54" s="79">
        <f t="shared" si="17"/>
        <v>229</v>
      </c>
    </row>
    <row r="55" spans="1:40" ht="18.75" customHeight="1">
      <c r="A55" s="230"/>
      <c r="B55" s="46" t="s">
        <v>18</v>
      </c>
      <c r="C55" s="64"/>
      <c r="D55" s="64"/>
      <c r="E55" s="46">
        <v>2</v>
      </c>
      <c r="F55" s="46">
        <v>5</v>
      </c>
      <c r="G55" s="46">
        <v>5</v>
      </c>
      <c r="H55" s="46">
        <v>4</v>
      </c>
      <c r="I55" s="46">
        <v>14</v>
      </c>
      <c r="J55" s="46" t="s">
        <v>78</v>
      </c>
      <c r="K55" s="227"/>
      <c r="L55" s="46" t="s">
        <v>18</v>
      </c>
      <c r="M55" s="46">
        <v>2</v>
      </c>
      <c r="N55" s="46">
        <v>5</v>
      </c>
      <c r="O55" s="46">
        <v>4</v>
      </c>
      <c r="P55" s="46">
        <v>4</v>
      </c>
      <c r="Q55" s="46">
        <v>2</v>
      </c>
      <c r="R55" s="64"/>
      <c r="S55" s="64"/>
      <c r="T55" s="65"/>
      <c r="U55" s="59">
        <f t="shared" si="10"/>
        <v>47</v>
      </c>
      <c r="W55" s="55" t="s">
        <v>9</v>
      </c>
      <c r="X55" s="48">
        <f>SUM(U74:U79)</f>
        <v>1049</v>
      </c>
      <c r="AG55" s="97" t="s">
        <v>16</v>
      </c>
      <c r="AH55" s="97">
        <f t="shared" si="11"/>
        <v>30</v>
      </c>
      <c r="AI55" s="97">
        <f t="shared" si="12"/>
        <v>25</v>
      </c>
      <c r="AJ55" s="97">
        <f t="shared" si="13"/>
        <v>97</v>
      </c>
      <c r="AK55" s="97">
        <f t="shared" si="14"/>
        <v>95</v>
      </c>
      <c r="AL55" s="97">
        <f t="shared" si="15"/>
        <v>79</v>
      </c>
      <c r="AM55" s="97">
        <f t="shared" si="16"/>
        <v>102</v>
      </c>
      <c r="AN55" s="97">
        <f t="shared" si="17"/>
        <v>50</v>
      </c>
    </row>
    <row r="56" spans="1:40" ht="18.75" customHeight="1">
      <c r="A56" s="193" t="s">
        <v>6</v>
      </c>
      <c r="B56" s="63" t="s">
        <v>13</v>
      </c>
      <c r="C56" s="57"/>
      <c r="D56" s="57"/>
      <c r="E56" s="57"/>
      <c r="F56" s="63">
        <v>19</v>
      </c>
      <c r="G56" s="63">
        <v>20</v>
      </c>
      <c r="H56" s="63">
        <v>24</v>
      </c>
      <c r="I56" s="63">
        <v>19</v>
      </c>
      <c r="J56" s="63"/>
      <c r="K56" s="194" t="s">
        <v>6</v>
      </c>
      <c r="L56" s="63" t="s">
        <v>13</v>
      </c>
      <c r="M56" s="63">
        <v>15</v>
      </c>
      <c r="N56" s="63">
        <v>10</v>
      </c>
      <c r="O56" s="63">
        <v>9</v>
      </c>
      <c r="P56" s="63">
        <v>9</v>
      </c>
      <c r="Q56" s="57"/>
      <c r="R56" s="57"/>
      <c r="S56" s="57"/>
      <c r="T56" s="58"/>
      <c r="U56" s="59">
        <f t="shared" si="10"/>
        <v>125</v>
      </c>
      <c r="W56" s="55" t="s">
        <v>10</v>
      </c>
      <c r="X56" s="48">
        <f>SUM(U80:U85)</f>
        <v>952</v>
      </c>
      <c r="AG56" s="79" t="s">
        <v>17</v>
      </c>
      <c r="AH56" s="79">
        <f t="shared" si="11"/>
        <v>41</v>
      </c>
      <c r="AI56" s="79">
        <f t="shared" si="12"/>
        <v>26</v>
      </c>
      <c r="AJ56" s="79">
        <f t="shared" si="13"/>
        <v>123</v>
      </c>
      <c r="AK56" s="79">
        <f t="shared" si="14"/>
        <v>116</v>
      </c>
      <c r="AL56" s="79">
        <f t="shared" si="15"/>
        <v>96</v>
      </c>
      <c r="AM56" s="79">
        <f t="shared" si="16"/>
        <v>81</v>
      </c>
      <c r="AN56" s="79">
        <f t="shared" si="17"/>
        <v>79</v>
      </c>
    </row>
    <row r="57" spans="1:40" ht="18.75" customHeight="1">
      <c r="A57" s="230"/>
      <c r="B57" s="6" t="s">
        <v>14</v>
      </c>
      <c r="C57" s="5"/>
      <c r="D57" s="5"/>
      <c r="E57" s="5"/>
      <c r="F57" s="6">
        <v>4</v>
      </c>
      <c r="G57" s="6">
        <v>5</v>
      </c>
      <c r="H57" s="6">
        <v>5</v>
      </c>
      <c r="I57" s="6">
        <v>10</v>
      </c>
      <c r="J57" s="6"/>
      <c r="K57" s="227"/>
      <c r="L57" s="6" t="s">
        <v>14</v>
      </c>
      <c r="M57" s="6">
        <v>1</v>
      </c>
      <c r="N57" s="6">
        <v>0</v>
      </c>
      <c r="O57" s="6">
        <v>0</v>
      </c>
      <c r="P57" s="6">
        <v>2</v>
      </c>
      <c r="Q57" s="5"/>
      <c r="R57" s="5"/>
      <c r="S57" s="5"/>
      <c r="T57" s="49"/>
      <c r="U57" s="59">
        <f t="shared" si="10"/>
        <v>27</v>
      </c>
      <c r="W57" s="81" t="s">
        <v>11</v>
      </c>
      <c r="X57" s="80">
        <f>SUM(U86:U91)</f>
        <v>772</v>
      </c>
      <c r="AG57" s="97" t="s">
        <v>18</v>
      </c>
      <c r="AH57" s="97">
        <f t="shared" si="11"/>
        <v>47</v>
      </c>
      <c r="AI57" s="97">
        <f t="shared" si="12"/>
        <v>27</v>
      </c>
      <c r="AJ57" s="97">
        <f t="shared" si="13"/>
        <v>130</v>
      </c>
      <c r="AK57" s="97">
        <f t="shared" si="14"/>
        <v>112</v>
      </c>
      <c r="AL57" s="97">
        <f t="shared" si="15"/>
        <v>118</v>
      </c>
      <c r="AM57" s="97">
        <f t="shared" si="16"/>
        <v>109</v>
      </c>
      <c r="AN57" s="97">
        <f t="shared" si="17"/>
        <v>74</v>
      </c>
    </row>
    <row r="58" spans="1:40" ht="18.75" customHeight="1">
      <c r="A58" s="230"/>
      <c r="B58" s="6" t="s">
        <v>15</v>
      </c>
      <c r="C58" s="5"/>
      <c r="D58" s="5"/>
      <c r="E58" s="5"/>
      <c r="F58" s="6">
        <v>16</v>
      </c>
      <c r="G58" s="6">
        <v>14</v>
      </c>
      <c r="H58" s="6">
        <v>20</v>
      </c>
      <c r="I58" s="6">
        <v>23</v>
      </c>
      <c r="J58" s="6"/>
      <c r="K58" s="227"/>
      <c r="L58" s="6" t="s">
        <v>15</v>
      </c>
      <c r="M58" s="6">
        <v>7</v>
      </c>
      <c r="N58" s="6">
        <v>2</v>
      </c>
      <c r="O58" s="6">
        <v>8</v>
      </c>
      <c r="P58" s="6">
        <v>5</v>
      </c>
      <c r="Q58" s="5"/>
      <c r="R58" s="5"/>
      <c r="S58" s="5"/>
      <c r="T58" s="49"/>
      <c r="U58" s="59">
        <f t="shared" si="10"/>
        <v>95</v>
      </c>
      <c r="W58" s="79" t="s">
        <v>63</v>
      </c>
      <c r="X58" s="82">
        <f>SUM(X51:X57)</f>
        <v>5750</v>
      </c>
    </row>
    <row r="59" spans="1:40" ht="18.75" customHeight="1">
      <c r="A59" s="230"/>
      <c r="B59" s="6" t="s">
        <v>16</v>
      </c>
      <c r="C59" s="5"/>
      <c r="D59" s="5"/>
      <c r="E59" s="5"/>
      <c r="F59" s="6">
        <v>2</v>
      </c>
      <c r="G59" s="6">
        <v>5</v>
      </c>
      <c r="H59" s="6">
        <v>4</v>
      </c>
      <c r="I59" s="6">
        <v>5</v>
      </c>
      <c r="J59" s="6"/>
      <c r="K59" s="227"/>
      <c r="L59" s="6" t="s">
        <v>16</v>
      </c>
      <c r="M59" s="6">
        <v>4</v>
      </c>
      <c r="N59" s="6">
        <v>1</v>
      </c>
      <c r="O59" s="6">
        <v>0</v>
      </c>
      <c r="P59" s="6">
        <v>4</v>
      </c>
      <c r="Q59" s="5"/>
      <c r="R59" s="5"/>
      <c r="S59" s="5"/>
      <c r="T59" s="49"/>
      <c r="U59" s="59">
        <f t="shared" si="10"/>
        <v>25</v>
      </c>
    </row>
    <row r="60" spans="1:40" ht="18.75" customHeight="1">
      <c r="A60" s="230"/>
      <c r="B60" s="6" t="s">
        <v>17</v>
      </c>
      <c r="C60" s="5"/>
      <c r="D60" s="5"/>
      <c r="E60" s="5"/>
      <c r="F60" s="6">
        <v>3</v>
      </c>
      <c r="G60" s="6">
        <v>6</v>
      </c>
      <c r="H60" s="6">
        <v>6</v>
      </c>
      <c r="I60" s="6">
        <v>6</v>
      </c>
      <c r="J60" s="6"/>
      <c r="K60" s="227"/>
      <c r="L60" s="6" t="s">
        <v>17</v>
      </c>
      <c r="M60" s="6">
        <v>1</v>
      </c>
      <c r="N60" s="6">
        <v>2</v>
      </c>
      <c r="O60" s="6">
        <v>2</v>
      </c>
      <c r="P60" s="6">
        <v>0</v>
      </c>
      <c r="Q60" s="5"/>
      <c r="R60" s="5"/>
      <c r="S60" s="5"/>
      <c r="T60" s="49"/>
      <c r="U60" s="59">
        <f t="shared" si="10"/>
        <v>26</v>
      </c>
    </row>
    <row r="61" spans="1:40" ht="18.75" customHeight="1">
      <c r="A61" s="230"/>
      <c r="B61" s="47" t="s">
        <v>18</v>
      </c>
      <c r="C61" s="64"/>
      <c r="D61" s="64"/>
      <c r="E61" s="64"/>
      <c r="F61" s="47">
        <v>2</v>
      </c>
      <c r="G61" s="47">
        <v>7</v>
      </c>
      <c r="H61" s="47">
        <v>5</v>
      </c>
      <c r="I61" s="47">
        <v>10</v>
      </c>
      <c r="J61" s="47"/>
      <c r="K61" s="227"/>
      <c r="L61" s="47" t="s">
        <v>18</v>
      </c>
      <c r="M61" s="47">
        <v>1</v>
      </c>
      <c r="N61" s="47">
        <v>0</v>
      </c>
      <c r="O61" s="47">
        <v>2</v>
      </c>
      <c r="P61" s="47"/>
      <c r="Q61" s="64"/>
      <c r="R61" s="64"/>
      <c r="S61" s="64"/>
      <c r="T61" s="65"/>
      <c r="U61" s="59">
        <f t="shared" si="10"/>
        <v>27</v>
      </c>
    </row>
    <row r="62" spans="1:40" ht="18.75" customHeight="1">
      <c r="A62" s="195" t="s">
        <v>7</v>
      </c>
      <c r="B62" s="56" t="s">
        <v>13</v>
      </c>
      <c r="C62" s="56">
        <v>12</v>
      </c>
      <c r="D62" s="56">
        <v>10</v>
      </c>
      <c r="E62" s="56">
        <v>16</v>
      </c>
      <c r="F62" s="56">
        <v>27</v>
      </c>
      <c r="G62" s="56">
        <v>30</v>
      </c>
      <c r="H62" s="56">
        <v>27</v>
      </c>
      <c r="I62" s="56">
        <v>20</v>
      </c>
      <c r="J62" s="56">
        <v>15</v>
      </c>
      <c r="K62" s="196" t="s">
        <v>7</v>
      </c>
      <c r="L62" s="56" t="s">
        <v>13</v>
      </c>
      <c r="M62" s="56">
        <v>21</v>
      </c>
      <c r="N62" s="56">
        <v>13</v>
      </c>
      <c r="O62" s="56">
        <v>15</v>
      </c>
      <c r="P62" s="56">
        <v>25</v>
      </c>
      <c r="Q62" s="56">
        <v>51</v>
      </c>
      <c r="R62" s="56">
        <v>26</v>
      </c>
      <c r="S62" s="56">
        <v>28</v>
      </c>
      <c r="T62" s="67">
        <v>20</v>
      </c>
      <c r="U62" s="59">
        <f t="shared" si="10"/>
        <v>356</v>
      </c>
    </row>
    <row r="63" spans="1:40" ht="18.75" customHeight="1">
      <c r="A63" s="230"/>
      <c r="B63" s="4" t="s">
        <v>14</v>
      </c>
      <c r="C63" s="4">
        <v>4</v>
      </c>
      <c r="D63" s="4">
        <v>10</v>
      </c>
      <c r="E63" s="4">
        <v>8</v>
      </c>
      <c r="F63" s="4">
        <v>13</v>
      </c>
      <c r="G63" s="4">
        <v>9</v>
      </c>
      <c r="H63" s="4">
        <v>15</v>
      </c>
      <c r="I63" s="4">
        <v>10</v>
      </c>
      <c r="J63" s="4">
        <v>5</v>
      </c>
      <c r="K63" s="227"/>
      <c r="L63" s="4" t="s">
        <v>14</v>
      </c>
      <c r="M63" s="4">
        <v>10</v>
      </c>
      <c r="N63" s="4">
        <v>12</v>
      </c>
      <c r="O63" s="4">
        <v>10</v>
      </c>
      <c r="P63" s="4">
        <v>12</v>
      </c>
      <c r="Q63" s="4">
        <v>12</v>
      </c>
      <c r="R63" s="4">
        <v>10</v>
      </c>
      <c r="S63" s="4">
        <v>7</v>
      </c>
      <c r="T63" s="50">
        <v>2</v>
      </c>
      <c r="U63" s="59">
        <f t="shared" si="10"/>
        <v>149</v>
      </c>
    </row>
    <row r="64" spans="1:40" ht="18.75" customHeight="1">
      <c r="A64" s="230"/>
      <c r="B64" s="4" t="s">
        <v>15</v>
      </c>
      <c r="C64" s="4">
        <v>12</v>
      </c>
      <c r="D64" s="4">
        <v>17</v>
      </c>
      <c r="E64" s="4">
        <v>24</v>
      </c>
      <c r="F64" s="4">
        <v>22</v>
      </c>
      <c r="G64" s="4">
        <v>25</v>
      </c>
      <c r="H64" s="4">
        <v>30</v>
      </c>
      <c r="I64" s="4">
        <v>21</v>
      </c>
      <c r="J64" s="4">
        <v>15</v>
      </c>
      <c r="K64" s="227"/>
      <c r="L64" s="4" t="s">
        <v>15</v>
      </c>
      <c r="M64" s="4">
        <v>15</v>
      </c>
      <c r="N64" s="4">
        <v>10</v>
      </c>
      <c r="O64" s="4">
        <v>17</v>
      </c>
      <c r="P64" s="4">
        <v>15</v>
      </c>
      <c r="Q64" s="4">
        <v>18</v>
      </c>
      <c r="R64" s="4">
        <v>20</v>
      </c>
      <c r="S64" s="4">
        <v>24</v>
      </c>
      <c r="T64" s="50">
        <v>18</v>
      </c>
      <c r="U64" s="59">
        <f t="shared" si="10"/>
        <v>303</v>
      </c>
    </row>
    <row r="65" spans="1:21" ht="18.75" customHeight="1">
      <c r="A65" s="230"/>
      <c r="B65" s="4" t="s">
        <v>16</v>
      </c>
      <c r="C65" s="4">
        <v>2</v>
      </c>
      <c r="D65" s="4">
        <v>0</v>
      </c>
      <c r="E65" s="4">
        <v>8</v>
      </c>
      <c r="F65" s="4">
        <v>14</v>
      </c>
      <c r="G65" s="4">
        <v>8</v>
      </c>
      <c r="H65" s="4">
        <v>9</v>
      </c>
      <c r="I65" s="4">
        <v>8</v>
      </c>
      <c r="J65" s="4">
        <v>7</v>
      </c>
      <c r="K65" s="227"/>
      <c r="L65" s="4" t="s">
        <v>16</v>
      </c>
      <c r="M65" s="4">
        <v>8</v>
      </c>
      <c r="N65" s="4">
        <v>5</v>
      </c>
      <c r="O65" s="4">
        <v>5</v>
      </c>
      <c r="P65" s="4">
        <v>7</v>
      </c>
      <c r="Q65" s="4">
        <v>5</v>
      </c>
      <c r="R65" s="4">
        <v>7</v>
      </c>
      <c r="S65" s="4">
        <v>2</v>
      </c>
      <c r="T65" s="50">
        <v>2</v>
      </c>
      <c r="U65" s="59">
        <f t="shared" si="10"/>
        <v>97</v>
      </c>
    </row>
    <row r="66" spans="1:21" ht="18.75" customHeight="1">
      <c r="A66" s="230"/>
      <c r="B66" s="4" t="s">
        <v>17</v>
      </c>
      <c r="C66" s="4">
        <v>22</v>
      </c>
      <c r="D66" s="4">
        <v>6</v>
      </c>
      <c r="E66" s="4">
        <v>8</v>
      </c>
      <c r="F66" s="4">
        <v>7</v>
      </c>
      <c r="G66" s="4">
        <v>8</v>
      </c>
      <c r="H66" s="4">
        <v>16</v>
      </c>
      <c r="I66" s="4">
        <v>13</v>
      </c>
      <c r="J66" s="4">
        <v>10</v>
      </c>
      <c r="K66" s="227"/>
      <c r="L66" s="4" t="s">
        <v>17</v>
      </c>
      <c r="M66" s="4">
        <v>5</v>
      </c>
      <c r="N66" s="4">
        <v>4</v>
      </c>
      <c r="O66" s="4">
        <v>4</v>
      </c>
      <c r="P66" s="4">
        <v>8</v>
      </c>
      <c r="Q66" s="4">
        <v>6</v>
      </c>
      <c r="R66" s="4">
        <v>3</v>
      </c>
      <c r="S66" s="4">
        <v>3</v>
      </c>
      <c r="T66" s="50">
        <v>0</v>
      </c>
      <c r="U66" s="59">
        <f t="shared" si="10"/>
        <v>123</v>
      </c>
    </row>
    <row r="67" spans="1:21" ht="18.75" customHeight="1">
      <c r="A67" s="230"/>
      <c r="B67" s="46" t="s">
        <v>18</v>
      </c>
      <c r="C67" s="46">
        <v>2</v>
      </c>
      <c r="D67" s="46">
        <v>5</v>
      </c>
      <c r="E67" s="46">
        <v>10</v>
      </c>
      <c r="F67" s="46">
        <v>10</v>
      </c>
      <c r="G67" s="46">
        <v>16</v>
      </c>
      <c r="H67" s="46">
        <v>16</v>
      </c>
      <c r="I67" s="46">
        <v>12</v>
      </c>
      <c r="J67" s="46">
        <v>12</v>
      </c>
      <c r="K67" s="227"/>
      <c r="L67" s="46" t="s">
        <v>18</v>
      </c>
      <c r="M67" s="46">
        <v>4</v>
      </c>
      <c r="N67" s="46">
        <v>7</v>
      </c>
      <c r="O67" s="46">
        <v>5</v>
      </c>
      <c r="P67" s="46">
        <v>7</v>
      </c>
      <c r="Q67" s="46">
        <v>9</v>
      </c>
      <c r="R67" s="46">
        <v>5</v>
      </c>
      <c r="S67" s="46">
        <v>7</v>
      </c>
      <c r="T67" s="69">
        <v>3</v>
      </c>
      <c r="U67" s="59">
        <f t="shared" si="10"/>
        <v>130</v>
      </c>
    </row>
    <row r="68" spans="1:21" ht="18.75" customHeight="1">
      <c r="A68" s="193" t="s">
        <v>8</v>
      </c>
      <c r="B68" s="63" t="s">
        <v>13</v>
      </c>
      <c r="C68" s="63">
        <v>19</v>
      </c>
      <c r="D68" s="63">
        <v>20</v>
      </c>
      <c r="E68" s="63">
        <v>15</v>
      </c>
      <c r="F68" s="63">
        <v>22</v>
      </c>
      <c r="G68" s="63">
        <v>33</v>
      </c>
      <c r="H68" s="63">
        <v>21</v>
      </c>
      <c r="I68" s="63">
        <v>35</v>
      </c>
      <c r="J68" s="63">
        <v>19</v>
      </c>
      <c r="K68" s="194" t="s">
        <v>8</v>
      </c>
      <c r="L68" s="63" t="s">
        <v>13</v>
      </c>
      <c r="M68" s="63">
        <v>13</v>
      </c>
      <c r="N68" s="63">
        <v>16</v>
      </c>
      <c r="O68" s="63">
        <v>24</v>
      </c>
      <c r="P68" s="63">
        <v>29</v>
      </c>
      <c r="Q68" s="63">
        <v>28</v>
      </c>
      <c r="R68" s="63">
        <v>15</v>
      </c>
      <c r="S68" s="63">
        <v>17</v>
      </c>
      <c r="T68" s="68">
        <v>13</v>
      </c>
      <c r="U68" s="59">
        <f t="shared" si="10"/>
        <v>339</v>
      </c>
    </row>
    <row r="69" spans="1:21" ht="18.75" customHeight="1">
      <c r="A69" s="230"/>
      <c r="B69" s="6" t="s">
        <v>14</v>
      </c>
      <c r="C69" s="6">
        <v>4</v>
      </c>
      <c r="D69" s="6">
        <v>6</v>
      </c>
      <c r="E69" s="6">
        <v>7</v>
      </c>
      <c r="F69" s="6">
        <v>11</v>
      </c>
      <c r="G69" s="6">
        <v>8</v>
      </c>
      <c r="H69" s="6">
        <v>16</v>
      </c>
      <c r="I69" s="6">
        <v>14</v>
      </c>
      <c r="J69" s="6">
        <v>6</v>
      </c>
      <c r="K69" s="227"/>
      <c r="L69" s="6" t="s">
        <v>14</v>
      </c>
      <c r="M69" s="6">
        <v>13</v>
      </c>
      <c r="N69" s="6">
        <v>10</v>
      </c>
      <c r="O69" s="6">
        <v>4</v>
      </c>
      <c r="P69" s="6">
        <v>10</v>
      </c>
      <c r="Q69" s="6">
        <v>8</v>
      </c>
      <c r="R69" s="6">
        <v>7</v>
      </c>
      <c r="S69" s="6">
        <v>5</v>
      </c>
      <c r="T69" s="51">
        <v>2</v>
      </c>
      <c r="U69" s="59">
        <f t="shared" si="10"/>
        <v>131</v>
      </c>
    </row>
    <row r="70" spans="1:21" ht="18.75" customHeight="1">
      <c r="A70" s="230"/>
      <c r="B70" s="6" t="s">
        <v>15</v>
      </c>
      <c r="C70" s="6">
        <v>18</v>
      </c>
      <c r="D70" s="6">
        <v>15</v>
      </c>
      <c r="E70" s="6">
        <v>16</v>
      </c>
      <c r="F70" s="6">
        <v>19</v>
      </c>
      <c r="G70" s="6">
        <v>22</v>
      </c>
      <c r="H70" s="6">
        <v>19</v>
      </c>
      <c r="I70" s="6">
        <v>20</v>
      </c>
      <c r="J70" s="6">
        <v>18</v>
      </c>
      <c r="K70" s="227"/>
      <c r="L70" s="6" t="s">
        <v>15</v>
      </c>
      <c r="M70" s="6">
        <v>18</v>
      </c>
      <c r="N70" s="6">
        <v>18</v>
      </c>
      <c r="O70" s="6">
        <v>23</v>
      </c>
      <c r="P70" s="6">
        <v>25</v>
      </c>
      <c r="Q70" s="6">
        <v>27</v>
      </c>
      <c r="R70" s="6">
        <v>19</v>
      </c>
      <c r="S70" s="6">
        <v>15</v>
      </c>
      <c r="T70" s="51">
        <v>10</v>
      </c>
      <c r="U70" s="59">
        <f t="shared" si="10"/>
        <v>302</v>
      </c>
    </row>
    <row r="71" spans="1:21" ht="18.75" customHeight="1">
      <c r="A71" s="230"/>
      <c r="B71" s="6" t="s">
        <v>16</v>
      </c>
      <c r="C71" s="6">
        <v>2</v>
      </c>
      <c r="D71" s="6">
        <v>3</v>
      </c>
      <c r="E71" s="6">
        <v>8</v>
      </c>
      <c r="F71" s="6">
        <v>7</v>
      </c>
      <c r="G71" s="6">
        <v>11</v>
      </c>
      <c r="H71" s="6">
        <v>15</v>
      </c>
      <c r="I71" s="6">
        <v>7</v>
      </c>
      <c r="J71" s="6">
        <v>3</v>
      </c>
      <c r="K71" s="227"/>
      <c r="L71" s="6" t="s">
        <v>16</v>
      </c>
      <c r="M71" s="6">
        <v>1</v>
      </c>
      <c r="N71" s="6">
        <v>6</v>
      </c>
      <c r="O71" s="6">
        <v>6</v>
      </c>
      <c r="P71" s="6">
        <v>7</v>
      </c>
      <c r="Q71" s="6">
        <v>7</v>
      </c>
      <c r="R71" s="6">
        <v>4</v>
      </c>
      <c r="S71" s="6">
        <v>5</v>
      </c>
      <c r="T71" s="51">
        <v>3</v>
      </c>
      <c r="U71" s="59">
        <f t="shared" si="10"/>
        <v>95</v>
      </c>
    </row>
    <row r="72" spans="1:21" ht="18.75" customHeight="1">
      <c r="A72" s="230"/>
      <c r="B72" s="6" t="s">
        <v>17</v>
      </c>
      <c r="C72" s="6">
        <v>10</v>
      </c>
      <c r="D72" s="6">
        <v>5</v>
      </c>
      <c r="E72" s="6">
        <v>6</v>
      </c>
      <c r="F72" s="6">
        <v>7</v>
      </c>
      <c r="G72" s="6">
        <v>10</v>
      </c>
      <c r="H72" s="6">
        <v>15</v>
      </c>
      <c r="I72" s="6">
        <v>8</v>
      </c>
      <c r="J72" s="6">
        <v>3</v>
      </c>
      <c r="K72" s="227"/>
      <c r="L72" s="6" t="s">
        <v>17</v>
      </c>
      <c r="M72" s="6">
        <v>5</v>
      </c>
      <c r="N72" s="6">
        <v>9</v>
      </c>
      <c r="O72" s="6">
        <v>6</v>
      </c>
      <c r="P72" s="6">
        <v>8</v>
      </c>
      <c r="Q72" s="6">
        <v>6</v>
      </c>
      <c r="R72" s="6">
        <v>8</v>
      </c>
      <c r="S72" s="6">
        <v>6</v>
      </c>
      <c r="T72" s="51">
        <v>4</v>
      </c>
      <c r="U72" s="59">
        <f t="shared" si="10"/>
        <v>116</v>
      </c>
    </row>
    <row r="73" spans="1:21" ht="18.75" customHeight="1">
      <c r="A73" s="230"/>
      <c r="B73" s="47" t="s">
        <v>18</v>
      </c>
      <c r="C73" s="47">
        <v>19</v>
      </c>
      <c r="D73" s="47">
        <v>9</v>
      </c>
      <c r="E73" s="47">
        <v>7</v>
      </c>
      <c r="F73" s="47">
        <v>3</v>
      </c>
      <c r="G73" s="47">
        <v>12</v>
      </c>
      <c r="H73" s="47">
        <v>9</v>
      </c>
      <c r="I73" s="47">
        <v>6</v>
      </c>
      <c r="J73" s="47">
        <v>4</v>
      </c>
      <c r="K73" s="227"/>
      <c r="L73" s="47" t="s">
        <v>18</v>
      </c>
      <c r="M73" s="47">
        <v>1</v>
      </c>
      <c r="N73" s="47">
        <v>5</v>
      </c>
      <c r="O73" s="47">
        <v>4</v>
      </c>
      <c r="P73" s="47">
        <v>8</v>
      </c>
      <c r="Q73" s="47">
        <v>6</v>
      </c>
      <c r="R73" s="47">
        <v>6</v>
      </c>
      <c r="S73" s="47">
        <v>9</v>
      </c>
      <c r="T73" s="70">
        <v>4</v>
      </c>
      <c r="U73" s="59">
        <f t="shared" si="10"/>
        <v>112</v>
      </c>
    </row>
    <row r="74" spans="1:21" ht="18.75" customHeight="1">
      <c r="A74" s="195" t="s">
        <v>9</v>
      </c>
      <c r="B74" s="56" t="s">
        <v>13</v>
      </c>
      <c r="C74" s="56">
        <v>19</v>
      </c>
      <c r="D74" s="56">
        <v>15</v>
      </c>
      <c r="E74" s="56">
        <v>20</v>
      </c>
      <c r="F74" s="56">
        <v>19</v>
      </c>
      <c r="G74" s="56">
        <v>24</v>
      </c>
      <c r="H74" s="56">
        <v>27</v>
      </c>
      <c r="I74" s="56">
        <v>24</v>
      </c>
      <c r="J74" s="56">
        <v>20</v>
      </c>
      <c r="K74" s="196" t="s">
        <v>9</v>
      </c>
      <c r="L74" s="56" t="s">
        <v>13</v>
      </c>
      <c r="M74" s="56">
        <v>15</v>
      </c>
      <c r="N74" s="56">
        <v>18</v>
      </c>
      <c r="O74" s="56">
        <v>15</v>
      </c>
      <c r="P74" s="56">
        <v>18</v>
      </c>
      <c r="Q74" s="56">
        <v>16</v>
      </c>
      <c r="R74" s="56">
        <v>13</v>
      </c>
      <c r="S74" s="56">
        <v>14</v>
      </c>
      <c r="T74" s="67">
        <v>7</v>
      </c>
      <c r="U74" s="59">
        <f t="shared" si="10"/>
        <v>284</v>
      </c>
    </row>
    <row r="75" spans="1:21" ht="18.75" customHeight="1">
      <c r="A75" s="230"/>
      <c r="B75" s="4" t="s">
        <v>14</v>
      </c>
      <c r="C75" s="4">
        <v>6</v>
      </c>
      <c r="D75" s="4">
        <v>7</v>
      </c>
      <c r="E75" s="4">
        <v>13</v>
      </c>
      <c r="F75" s="4">
        <v>13</v>
      </c>
      <c r="G75" s="4">
        <v>14</v>
      </c>
      <c r="H75" s="4">
        <v>12</v>
      </c>
      <c r="I75" s="4">
        <v>17</v>
      </c>
      <c r="J75" s="4">
        <v>18</v>
      </c>
      <c r="K75" s="227"/>
      <c r="L75" s="4" t="s">
        <v>14</v>
      </c>
      <c r="M75" s="4">
        <v>12</v>
      </c>
      <c r="N75" s="4">
        <v>12</v>
      </c>
      <c r="O75" s="4">
        <v>10</v>
      </c>
      <c r="P75" s="4">
        <v>12</v>
      </c>
      <c r="Q75" s="4">
        <v>12</v>
      </c>
      <c r="R75" s="4">
        <v>3</v>
      </c>
      <c r="S75" s="4">
        <v>4</v>
      </c>
      <c r="T75" s="50">
        <v>2</v>
      </c>
      <c r="U75" s="59">
        <f t="shared" si="10"/>
        <v>167</v>
      </c>
    </row>
    <row r="76" spans="1:21" ht="18.75" customHeight="1">
      <c r="A76" s="230"/>
      <c r="B76" s="4" t="s">
        <v>15</v>
      </c>
      <c r="C76" s="4">
        <v>28</v>
      </c>
      <c r="D76" s="4">
        <v>19</v>
      </c>
      <c r="E76" s="4">
        <v>15</v>
      </c>
      <c r="F76" s="4">
        <v>19</v>
      </c>
      <c r="G76" s="4">
        <v>25</v>
      </c>
      <c r="H76" s="4">
        <v>27</v>
      </c>
      <c r="I76" s="4">
        <v>25</v>
      </c>
      <c r="J76" s="4">
        <v>14</v>
      </c>
      <c r="K76" s="227"/>
      <c r="L76" s="4" t="s">
        <v>15</v>
      </c>
      <c r="M76" s="4">
        <v>17</v>
      </c>
      <c r="N76" s="4">
        <v>13</v>
      </c>
      <c r="O76" s="4">
        <v>10</v>
      </c>
      <c r="P76" s="4">
        <v>23</v>
      </c>
      <c r="Q76" s="4">
        <v>22</v>
      </c>
      <c r="R76" s="4">
        <v>15</v>
      </c>
      <c r="S76" s="4">
        <v>19</v>
      </c>
      <c r="T76" s="50">
        <v>14</v>
      </c>
      <c r="U76" s="59">
        <f t="shared" si="10"/>
        <v>305</v>
      </c>
    </row>
    <row r="77" spans="1:21" ht="18.75" customHeight="1">
      <c r="A77" s="230"/>
      <c r="B77" s="4" t="s">
        <v>16</v>
      </c>
      <c r="C77" s="4">
        <v>1</v>
      </c>
      <c r="D77" s="4">
        <v>3</v>
      </c>
      <c r="E77" s="4">
        <v>6</v>
      </c>
      <c r="F77" s="4">
        <v>6</v>
      </c>
      <c r="G77" s="4">
        <v>10</v>
      </c>
      <c r="H77" s="4">
        <v>9</v>
      </c>
      <c r="I77" s="4">
        <v>7</v>
      </c>
      <c r="J77" s="4">
        <v>6</v>
      </c>
      <c r="K77" s="227"/>
      <c r="L77" s="4" t="s">
        <v>16</v>
      </c>
      <c r="M77" s="4">
        <v>4</v>
      </c>
      <c r="N77" s="4">
        <v>2</v>
      </c>
      <c r="O77" s="4">
        <v>3</v>
      </c>
      <c r="P77" s="4">
        <v>6</v>
      </c>
      <c r="Q77" s="4">
        <v>8</v>
      </c>
      <c r="R77" s="4">
        <v>4</v>
      </c>
      <c r="S77" s="4">
        <v>3</v>
      </c>
      <c r="T77" s="50">
        <v>1</v>
      </c>
      <c r="U77" s="59">
        <f t="shared" si="10"/>
        <v>79</v>
      </c>
    </row>
    <row r="78" spans="1:21" ht="18.75" customHeight="1">
      <c r="A78" s="230"/>
      <c r="B78" s="4" t="s">
        <v>17</v>
      </c>
      <c r="C78" s="4">
        <v>10</v>
      </c>
      <c r="D78" s="4">
        <v>6</v>
      </c>
      <c r="E78" s="4">
        <v>4</v>
      </c>
      <c r="F78" s="4">
        <v>6</v>
      </c>
      <c r="G78" s="4">
        <v>7</v>
      </c>
      <c r="H78" s="4">
        <v>12</v>
      </c>
      <c r="I78" s="4">
        <v>7</v>
      </c>
      <c r="J78" s="4">
        <v>3</v>
      </c>
      <c r="K78" s="227"/>
      <c r="L78" s="4" t="s">
        <v>17</v>
      </c>
      <c r="M78" s="4">
        <v>6</v>
      </c>
      <c r="N78" s="4">
        <v>5</v>
      </c>
      <c r="O78" s="4">
        <v>4</v>
      </c>
      <c r="P78" s="4">
        <v>4</v>
      </c>
      <c r="Q78" s="4">
        <v>9</v>
      </c>
      <c r="R78" s="4">
        <v>7</v>
      </c>
      <c r="S78" s="4">
        <v>2</v>
      </c>
      <c r="T78" s="50">
        <v>4</v>
      </c>
      <c r="U78" s="59">
        <f t="shared" si="10"/>
        <v>96</v>
      </c>
    </row>
    <row r="79" spans="1:21" ht="18.75" customHeight="1">
      <c r="A79" s="230"/>
      <c r="B79" s="46" t="s">
        <v>18</v>
      </c>
      <c r="C79" s="46">
        <v>12</v>
      </c>
      <c r="D79" s="46">
        <v>10</v>
      </c>
      <c r="E79" s="46">
        <v>10</v>
      </c>
      <c r="F79" s="46">
        <v>4</v>
      </c>
      <c r="G79" s="46">
        <v>6</v>
      </c>
      <c r="H79" s="46">
        <v>11</v>
      </c>
      <c r="I79" s="46">
        <v>6</v>
      </c>
      <c r="J79" s="46">
        <v>7</v>
      </c>
      <c r="K79" s="227"/>
      <c r="L79" s="46" t="s">
        <v>18</v>
      </c>
      <c r="M79" s="46">
        <v>7</v>
      </c>
      <c r="N79" s="46">
        <v>8</v>
      </c>
      <c r="O79" s="46">
        <v>6</v>
      </c>
      <c r="P79" s="46">
        <v>7</v>
      </c>
      <c r="Q79" s="46">
        <v>9</v>
      </c>
      <c r="R79" s="46">
        <v>6</v>
      </c>
      <c r="S79" s="46">
        <v>7</v>
      </c>
      <c r="T79" s="69">
        <v>2</v>
      </c>
      <c r="U79" s="59">
        <f t="shared" si="10"/>
        <v>118</v>
      </c>
    </row>
    <row r="80" spans="1:21" ht="18.75" customHeight="1">
      <c r="A80" s="193" t="s">
        <v>10</v>
      </c>
      <c r="B80" s="63" t="s">
        <v>13</v>
      </c>
      <c r="C80" s="121">
        <v>28</v>
      </c>
      <c r="D80" s="121">
        <v>18</v>
      </c>
      <c r="E80" s="121">
        <v>16</v>
      </c>
      <c r="F80" s="121">
        <v>25</v>
      </c>
      <c r="G80" s="121">
        <v>30</v>
      </c>
      <c r="H80" s="121">
        <v>25</v>
      </c>
      <c r="I80" s="108" t="s">
        <v>65</v>
      </c>
      <c r="J80" s="121">
        <v>11</v>
      </c>
      <c r="K80" s="194" t="s">
        <v>10</v>
      </c>
      <c r="L80" s="63" t="s">
        <v>13</v>
      </c>
      <c r="M80" s="121">
        <v>11</v>
      </c>
      <c r="N80" s="121">
        <v>20</v>
      </c>
      <c r="O80" s="121">
        <v>7</v>
      </c>
      <c r="P80" s="121">
        <v>24</v>
      </c>
      <c r="Q80" s="121">
        <v>17</v>
      </c>
      <c r="R80" s="121">
        <v>15</v>
      </c>
      <c r="S80" s="121">
        <v>15</v>
      </c>
      <c r="T80" s="124">
        <v>12</v>
      </c>
      <c r="U80" s="59">
        <f t="shared" si="10"/>
        <v>274</v>
      </c>
    </row>
    <row r="81" spans="1:40" ht="18.75" customHeight="1">
      <c r="A81" s="230"/>
      <c r="B81" s="6" t="s">
        <v>14</v>
      </c>
      <c r="C81" s="122">
        <v>4</v>
      </c>
      <c r="D81" s="122">
        <v>6</v>
      </c>
      <c r="E81" s="122">
        <v>7</v>
      </c>
      <c r="F81" s="122">
        <v>12</v>
      </c>
      <c r="G81" s="122">
        <v>15</v>
      </c>
      <c r="H81" s="122">
        <v>15</v>
      </c>
      <c r="I81" s="122" t="s">
        <v>65</v>
      </c>
      <c r="J81" s="122">
        <v>4</v>
      </c>
      <c r="K81" s="227"/>
      <c r="L81" s="6" t="s">
        <v>14</v>
      </c>
      <c r="M81" s="122">
        <v>9</v>
      </c>
      <c r="N81" s="122">
        <v>4</v>
      </c>
      <c r="O81" s="122">
        <v>8</v>
      </c>
      <c r="P81" s="122">
        <v>6</v>
      </c>
      <c r="Q81" s="122">
        <v>5</v>
      </c>
      <c r="R81" s="122">
        <v>2</v>
      </c>
      <c r="S81" s="122">
        <v>2</v>
      </c>
      <c r="T81" s="125">
        <v>4</v>
      </c>
      <c r="U81" s="59">
        <f t="shared" si="10"/>
        <v>103</v>
      </c>
    </row>
    <row r="82" spans="1:40" ht="18.75" customHeight="1">
      <c r="A82" s="230"/>
      <c r="B82" s="6" t="s">
        <v>15</v>
      </c>
      <c r="C82" s="122">
        <v>21</v>
      </c>
      <c r="D82" s="122">
        <v>16</v>
      </c>
      <c r="E82" s="122">
        <v>18</v>
      </c>
      <c r="F82" s="122">
        <v>21</v>
      </c>
      <c r="G82" s="122">
        <v>30</v>
      </c>
      <c r="H82" s="122">
        <v>25</v>
      </c>
      <c r="I82" s="122" t="s">
        <v>65</v>
      </c>
      <c r="J82" s="122">
        <v>13</v>
      </c>
      <c r="K82" s="227"/>
      <c r="L82" s="6" t="s">
        <v>15</v>
      </c>
      <c r="M82" s="122">
        <v>16</v>
      </c>
      <c r="N82" s="122">
        <v>12</v>
      </c>
      <c r="O82" s="122">
        <v>20</v>
      </c>
      <c r="P82" s="122">
        <v>29</v>
      </c>
      <c r="Q82" s="122">
        <v>18</v>
      </c>
      <c r="R82" s="122">
        <v>15</v>
      </c>
      <c r="S82" s="122">
        <v>15</v>
      </c>
      <c r="T82" s="125">
        <v>14</v>
      </c>
      <c r="U82" s="59">
        <f t="shared" si="10"/>
        <v>283</v>
      </c>
    </row>
    <row r="83" spans="1:40" ht="18.75" customHeight="1">
      <c r="A83" s="230"/>
      <c r="B83" s="6" t="s">
        <v>16</v>
      </c>
      <c r="C83" s="122">
        <v>8</v>
      </c>
      <c r="D83" s="122">
        <v>3</v>
      </c>
      <c r="E83" s="122">
        <v>9</v>
      </c>
      <c r="F83" s="122">
        <v>8</v>
      </c>
      <c r="G83" s="122">
        <v>15</v>
      </c>
      <c r="H83" s="122">
        <v>15</v>
      </c>
      <c r="I83" s="122" t="s">
        <v>65</v>
      </c>
      <c r="J83" s="122">
        <v>3</v>
      </c>
      <c r="K83" s="227"/>
      <c r="L83" s="6" t="s">
        <v>16</v>
      </c>
      <c r="M83" s="122">
        <v>7</v>
      </c>
      <c r="N83" s="122">
        <v>5</v>
      </c>
      <c r="O83" s="122">
        <v>11</v>
      </c>
      <c r="P83" s="122">
        <v>5</v>
      </c>
      <c r="Q83" s="122">
        <v>1</v>
      </c>
      <c r="R83" s="122">
        <v>4</v>
      </c>
      <c r="S83" s="122">
        <v>4</v>
      </c>
      <c r="T83" s="125">
        <v>4</v>
      </c>
      <c r="U83" s="59">
        <f t="shared" si="10"/>
        <v>102</v>
      </c>
    </row>
    <row r="84" spans="1:40" ht="18.75" customHeight="1">
      <c r="A84" s="230"/>
      <c r="B84" s="6" t="s">
        <v>17</v>
      </c>
      <c r="C84" s="122">
        <v>6</v>
      </c>
      <c r="D84" s="122">
        <v>5</v>
      </c>
      <c r="E84" s="122">
        <v>7</v>
      </c>
      <c r="F84" s="122">
        <v>5</v>
      </c>
      <c r="G84" s="122">
        <v>10</v>
      </c>
      <c r="H84" s="122">
        <v>10</v>
      </c>
      <c r="I84" s="122" t="s">
        <v>65</v>
      </c>
      <c r="J84" s="122">
        <v>7</v>
      </c>
      <c r="K84" s="227"/>
      <c r="L84" s="6" t="s">
        <v>17</v>
      </c>
      <c r="M84" s="122">
        <v>4</v>
      </c>
      <c r="N84" s="122">
        <v>4</v>
      </c>
      <c r="O84" s="122">
        <v>6</v>
      </c>
      <c r="P84" s="122">
        <v>4</v>
      </c>
      <c r="Q84" s="122">
        <v>5</v>
      </c>
      <c r="R84" s="122">
        <v>3</v>
      </c>
      <c r="S84" s="122">
        <v>3</v>
      </c>
      <c r="T84" s="125">
        <v>2</v>
      </c>
      <c r="U84" s="59">
        <f t="shared" si="10"/>
        <v>81</v>
      </c>
    </row>
    <row r="85" spans="1:40" ht="18.75" customHeight="1">
      <c r="A85" s="230"/>
      <c r="B85" s="47" t="s">
        <v>18</v>
      </c>
      <c r="C85" s="123">
        <v>17</v>
      </c>
      <c r="D85" s="123">
        <v>9</v>
      </c>
      <c r="E85" s="123">
        <v>8</v>
      </c>
      <c r="F85" s="123">
        <v>4</v>
      </c>
      <c r="G85" s="123">
        <v>12</v>
      </c>
      <c r="H85" s="123">
        <v>10</v>
      </c>
      <c r="I85" s="123" t="s">
        <v>65</v>
      </c>
      <c r="J85" s="123">
        <v>6</v>
      </c>
      <c r="K85" s="227"/>
      <c r="L85" s="47" t="s">
        <v>18</v>
      </c>
      <c r="M85" s="123">
        <v>8</v>
      </c>
      <c r="N85" s="123">
        <v>6</v>
      </c>
      <c r="O85" s="123">
        <v>5</v>
      </c>
      <c r="P85" s="123">
        <v>4</v>
      </c>
      <c r="Q85" s="123">
        <v>7</v>
      </c>
      <c r="R85" s="123">
        <v>5</v>
      </c>
      <c r="S85" s="123">
        <v>5</v>
      </c>
      <c r="T85" s="126">
        <v>3</v>
      </c>
      <c r="U85" s="59">
        <f t="shared" si="10"/>
        <v>109</v>
      </c>
    </row>
    <row r="86" spans="1:40" ht="18.75" customHeight="1">
      <c r="A86" s="195" t="s">
        <v>11</v>
      </c>
      <c r="B86" s="56" t="s">
        <v>13</v>
      </c>
      <c r="C86" s="127">
        <v>12</v>
      </c>
      <c r="D86" s="127">
        <v>16</v>
      </c>
      <c r="E86" s="127">
        <v>19</v>
      </c>
      <c r="F86" s="127">
        <v>20</v>
      </c>
      <c r="G86" s="127">
        <v>29</v>
      </c>
      <c r="H86" s="127"/>
      <c r="I86" s="127">
        <v>25</v>
      </c>
      <c r="J86" s="127">
        <v>20</v>
      </c>
      <c r="K86" s="196" t="s">
        <v>11</v>
      </c>
      <c r="L86" s="56" t="s">
        <v>13</v>
      </c>
      <c r="M86" s="127">
        <v>17</v>
      </c>
      <c r="N86" s="127">
        <v>20</v>
      </c>
      <c r="O86" s="127">
        <v>18</v>
      </c>
      <c r="P86" s="127">
        <v>12</v>
      </c>
      <c r="Q86" s="127">
        <v>11</v>
      </c>
      <c r="R86" s="127">
        <v>13</v>
      </c>
      <c r="S86" s="127">
        <v>9</v>
      </c>
      <c r="T86" s="130">
        <v>6</v>
      </c>
      <c r="U86" s="59">
        <f t="shared" si="10"/>
        <v>247</v>
      </c>
    </row>
    <row r="87" spans="1:40" ht="18.75" customHeight="1">
      <c r="A87" s="230"/>
      <c r="B87" s="4" t="s">
        <v>14</v>
      </c>
      <c r="C87" s="128">
        <v>4</v>
      </c>
      <c r="D87" s="128">
        <v>5</v>
      </c>
      <c r="E87" s="128">
        <v>11</v>
      </c>
      <c r="F87" s="128">
        <v>9</v>
      </c>
      <c r="G87" s="128">
        <v>8</v>
      </c>
      <c r="H87" s="128"/>
      <c r="I87" s="128">
        <v>15</v>
      </c>
      <c r="J87" s="128">
        <v>7</v>
      </c>
      <c r="K87" s="227"/>
      <c r="L87" s="4" t="s">
        <v>14</v>
      </c>
      <c r="M87" s="128">
        <v>7</v>
      </c>
      <c r="N87" s="128">
        <v>5</v>
      </c>
      <c r="O87" s="128">
        <v>6</v>
      </c>
      <c r="P87" s="128">
        <v>1</v>
      </c>
      <c r="Q87" s="128">
        <v>4</v>
      </c>
      <c r="R87" s="128">
        <v>5</v>
      </c>
      <c r="S87" s="128">
        <v>5</v>
      </c>
      <c r="T87" s="131">
        <v>1</v>
      </c>
      <c r="U87" s="59">
        <f t="shared" si="10"/>
        <v>93</v>
      </c>
    </row>
    <row r="88" spans="1:40" ht="18.75" customHeight="1">
      <c r="A88" s="230"/>
      <c r="B88" s="4" t="s">
        <v>15</v>
      </c>
      <c r="C88" s="128">
        <v>15</v>
      </c>
      <c r="D88" s="128">
        <v>11</v>
      </c>
      <c r="E88" s="128">
        <v>8</v>
      </c>
      <c r="F88" s="128">
        <v>10</v>
      </c>
      <c r="G88" s="128">
        <v>25</v>
      </c>
      <c r="H88" s="128"/>
      <c r="I88" s="128">
        <v>17</v>
      </c>
      <c r="J88" s="128">
        <v>17</v>
      </c>
      <c r="K88" s="227"/>
      <c r="L88" s="4" t="s">
        <v>15</v>
      </c>
      <c r="M88" s="128">
        <v>15</v>
      </c>
      <c r="N88" s="128">
        <v>18</v>
      </c>
      <c r="O88" s="128">
        <v>11</v>
      </c>
      <c r="P88" s="128">
        <v>14</v>
      </c>
      <c r="Q88" s="128">
        <v>21</v>
      </c>
      <c r="R88" s="128">
        <v>17</v>
      </c>
      <c r="S88" s="128">
        <v>18</v>
      </c>
      <c r="T88" s="131">
        <v>12</v>
      </c>
      <c r="U88" s="59">
        <f t="shared" si="10"/>
        <v>229</v>
      </c>
    </row>
    <row r="89" spans="1:40" ht="18.75" customHeight="1">
      <c r="A89" s="230"/>
      <c r="B89" s="4" t="s">
        <v>16</v>
      </c>
      <c r="C89" s="128">
        <v>4</v>
      </c>
      <c r="D89" s="128">
        <v>2</v>
      </c>
      <c r="E89" s="128">
        <v>4</v>
      </c>
      <c r="F89" s="128">
        <v>5</v>
      </c>
      <c r="G89" s="128">
        <v>8</v>
      </c>
      <c r="H89" s="128"/>
      <c r="I89" s="128">
        <v>5</v>
      </c>
      <c r="J89" s="128">
        <v>5</v>
      </c>
      <c r="K89" s="227"/>
      <c r="L89" s="4" t="s">
        <v>16</v>
      </c>
      <c r="M89" s="128">
        <v>4</v>
      </c>
      <c r="N89" s="128">
        <v>2</v>
      </c>
      <c r="O89" s="128">
        <v>3</v>
      </c>
      <c r="P89" s="128">
        <v>1</v>
      </c>
      <c r="Q89" s="128">
        <v>2</v>
      </c>
      <c r="R89" s="128">
        <v>2</v>
      </c>
      <c r="S89" s="128">
        <v>2</v>
      </c>
      <c r="T89" s="131">
        <v>1</v>
      </c>
      <c r="U89" s="59">
        <f t="shared" si="10"/>
        <v>50</v>
      </c>
    </row>
    <row r="90" spans="1:40" ht="15.75" customHeight="1">
      <c r="A90" s="230"/>
      <c r="B90" s="4" t="s">
        <v>17</v>
      </c>
      <c r="C90" s="128">
        <v>9</v>
      </c>
      <c r="D90" s="128">
        <v>9</v>
      </c>
      <c r="E90" s="128">
        <v>8</v>
      </c>
      <c r="F90" s="128">
        <v>6</v>
      </c>
      <c r="G90" s="128">
        <v>11</v>
      </c>
      <c r="H90" s="128"/>
      <c r="I90" s="128">
        <v>3</v>
      </c>
      <c r="J90" s="128">
        <v>2</v>
      </c>
      <c r="K90" s="227"/>
      <c r="L90" s="4" t="s">
        <v>17</v>
      </c>
      <c r="M90" s="128">
        <v>6</v>
      </c>
      <c r="N90" s="128">
        <v>3</v>
      </c>
      <c r="O90" s="128">
        <v>5</v>
      </c>
      <c r="P90" s="128">
        <v>4</v>
      </c>
      <c r="Q90" s="128">
        <v>5</v>
      </c>
      <c r="R90" s="128">
        <v>3</v>
      </c>
      <c r="S90" s="128">
        <v>4</v>
      </c>
      <c r="T90" s="131">
        <v>1</v>
      </c>
      <c r="U90" s="59">
        <f t="shared" si="10"/>
        <v>79</v>
      </c>
    </row>
    <row r="91" spans="1:40" ht="15.75" customHeight="1">
      <c r="A91" s="231"/>
      <c r="B91" s="61" t="s">
        <v>18</v>
      </c>
      <c r="C91" s="129">
        <v>6</v>
      </c>
      <c r="D91" s="129">
        <v>3</v>
      </c>
      <c r="E91" s="129">
        <v>6</v>
      </c>
      <c r="F91" s="129">
        <v>8</v>
      </c>
      <c r="G91" s="129">
        <v>12</v>
      </c>
      <c r="H91" s="129"/>
      <c r="I91" s="129">
        <v>9</v>
      </c>
      <c r="J91" s="129">
        <v>6</v>
      </c>
      <c r="K91" s="232"/>
      <c r="L91" s="61" t="s">
        <v>18</v>
      </c>
      <c r="M91" s="129">
        <v>6</v>
      </c>
      <c r="N91" s="129">
        <v>3</v>
      </c>
      <c r="O91" s="129">
        <v>4</v>
      </c>
      <c r="P91" s="129">
        <v>6</v>
      </c>
      <c r="Q91" s="129">
        <v>2</v>
      </c>
      <c r="R91" s="129">
        <v>1</v>
      </c>
      <c r="S91" s="129">
        <v>1</v>
      </c>
      <c r="T91" s="132">
        <v>1</v>
      </c>
      <c r="U91" s="59">
        <f t="shared" si="10"/>
        <v>74</v>
      </c>
    </row>
    <row r="93" spans="1:40" ht="15.75" customHeight="1">
      <c r="A93" s="1"/>
      <c r="B93" s="1"/>
      <c r="C93" s="183" t="s">
        <v>0</v>
      </c>
      <c r="D93" s="225"/>
      <c r="E93" s="225"/>
      <c r="F93" s="225"/>
      <c r="G93" s="226"/>
      <c r="H93" s="2"/>
      <c r="I93" s="1"/>
    </row>
    <row r="94" spans="1:40" ht="15.75" customHeight="1">
      <c r="A94" s="1"/>
      <c r="B94" s="183" t="s">
        <v>1</v>
      </c>
      <c r="C94" s="225"/>
      <c r="D94" s="226"/>
      <c r="E94" s="1"/>
      <c r="F94" s="184" t="s">
        <v>120</v>
      </c>
      <c r="G94" s="225"/>
      <c r="H94" s="226"/>
      <c r="I94" s="1"/>
      <c r="K94" s="1"/>
      <c r="L94" s="183" t="s">
        <v>26</v>
      </c>
      <c r="M94" s="225"/>
      <c r="N94" s="226"/>
      <c r="O94" s="1"/>
      <c r="P94" s="184" t="s">
        <v>2</v>
      </c>
      <c r="Q94" s="225"/>
      <c r="R94" s="226"/>
      <c r="S94" s="1"/>
    </row>
    <row r="95" spans="1:40" ht="15.75" customHeight="1">
      <c r="A95" s="54" t="s">
        <v>35</v>
      </c>
      <c r="B95" s="54" t="s">
        <v>4</v>
      </c>
      <c r="C95" s="54" t="s">
        <v>12</v>
      </c>
      <c r="D95" s="54" t="s">
        <v>19</v>
      </c>
      <c r="E95" s="54" t="s">
        <v>20</v>
      </c>
      <c r="F95" s="54" t="s">
        <v>21</v>
      </c>
      <c r="G95" s="54" t="s">
        <v>22</v>
      </c>
      <c r="H95" s="54" t="s">
        <v>23</v>
      </c>
      <c r="I95" s="54" t="s">
        <v>24</v>
      </c>
      <c r="J95" s="54" t="s">
        <v>25</v>
      </c>
      <c r="K95" s="54" t="s">
        <v>35</v>
      </c>
      <c r="L95" s="54" t="s">
        <v>4</v>
      </c>
      <c r="M95" s="54" t="s">
        <v>27</v>
      </c>
      <c r="N95" s="54" t="s">
        <v>28</v>
      </c>
      <c r="O95" s="54" t="s">
        <v>29</v>
      </c>
      <c r="P95" s="54" t="s">
        <v>30</v>
      </c>
      <c r="Q95" s="54" t="s">
        <v>31</v>
      </c>
      <c r="R95" s="54" t="s">
        <v>32</v>
      </c>
      <c r="S95" s="54" t="s">
        <v>33</v>
      </c>
      <c r="T95" s="54" t="s">
        <v>34</v>
      </c>
      <c r="U95" s="54" t="s">
        <v>55</v>
      </c>
    </row>
    <row r="96" spans="1:40" ht="15.75" customHeight="1">
      <c r="A96" s="195" t="s">
        <v>5</v>
      </c>
      <c r="B96" s="56" t="s">
        <v>13</v>
      </c>
      <c r="C96" s="57"/>
      <c r="D96" s="57"/>
      <c r="E96" s="56">
        <v>7</v>
      </c>
      <c r="F96" s="56">
        <v>19</v>
      </c>
      <c r="G96" s="56">
        <v>30</v>
      </c>
      <c r="H96" s="56">
        <v>29</v>
      </c>
      <c r="I96" s="56">
        <v>26</v>
      </c>
      <c r="J96" s="56">
        <v>7</v>
      </c>
      <c r="K96" s="196" t="s">
        <v>5</v>
      </c>
      <c r="L96" s="56" t="s">
        <v>13</v>
      </c>
      <c r="M96" s="56">
        <v>14</v>
      </c>
      <c r="N96" s="56">
        <v>12</v>
      </c>
      <c r="O96" s="56">
        <v>15</v>
      </c>
      <c r="P96" s="56">
        <v>13</v>
      </c>
      <c r="Q96" s="56">
        <v>11</v>
      </c>
      <c r="R96" s="57"/>
      <c r="S96" s="57"/>
      <c r="T96" s="58"/>
      <c r="U96" s="59">
        <f>SUM(M96:T96,C96:J96)</f>
        <v>183</v>
      </c>
      <c r="W96" s="197" t="s">
        <v>2</v>
      </c>
      <c r="X96" s="198"/>
      <c r="AG96" s="190" t="s">
        <v>58</v>
      </c>
      <c r="AH96" s="191"/>
      <c r="AI96" s="191"/>
      <c r="AJ96" s="191"/>
      <c r="AK96" s="191"/>
      <c r="AL96" s="191"/>
      <c r="AM96" s="191"/>
      <c r="AN96" s="192"/>
    </row>
    <row r="97" spans="1:40" ht="15.75" customHeight="1">
      <c r="A97" s="230"/>
      <c r="B97" s="4" t="s">
        <v>14</v>
      </c>
      <c r="C97" s="5"/>
      <c r="D97" s="5"/>
      <c r="E97" s="4">
        <v>7</v>
      </c>
      <c r="F97" s="4">
        <v>4</v>
      </c>
      <c r="G97" s="4">
        <v>3</v>
      </c>
      <c r="H97" s="4">
        <v>8</v>
      </c>
      <c r="I97" s="4">
        <v>8</v>
      </c>
      <c r="J97" s="4">
        <v>10</v>
      </c>
      <c r="K97" s="227"/>
      <c r="L97" s="4" t="s">
        <v>14</v>
      </c>
      <c r="M97" s="4">
        <v>8</v>
      </c>
      <c r="N97" s="4">
        <v>5</v>
      </c>
      <c r="O97" s="4">
        <v>6</v>
      </c>
      <c r="P97" s="4">
        <v>3</v>
      </c>
      <c r="Q97" s="4">
        <v>0</v>
      </c>
      <c r="R97" s="5"/>
      <c r="S97" s="5"/>
      <c r="T97" s="49"/>
      <c r="U97" s="59">
        <f t="shared" ref="U97:U137" si="18">SUM(M97:T97,C97:J97)</f>
        <v>62</v>
      </c>
      <c r="W97" s="55" t="s">
        <v>5</v>
      </c>
      <c r="X97" s="48">
        <f>SUM(U96:U101)</f>
        <v>638</v>
      </c>
      <c r="AG97" s="98" t="s">
        <v>4</v>
      </c>
      <c r="AH97" s="98" t="s">
        <v>5</v>
      </c>
      <c r="AI97" s="98" t="s">
        <v>6</v>
      </c>
      <c r="AJ97" s="98" t="s">
        <v>7</v>
      </c>
      <c r="AK97" s="98" t="s">
        <v>8</v>
      </c>
      <c r="AL97" s="98" t="s">
        <v>9</v>
      </c>
      <c r="AM97" s="98" t="s">
        <v>10</v>
      </c>
      <c r="AN97" s="98" t="s">
        <v>11</v>
      </c>
    </row>
    <row r="98" spans="1:40" ht="15.75" customHeight="1">
      <c r="A98" s="230"/>
      <c r="B98" s="4" t="s">
        <v>15</v>
      </c>
      <c r="C98" s="5"/>
      <c r="D98" s="5"/>
      <c r="E98" s="4">
        <v>12</v>
      </c>
      <c r="F98" s="4">
        <v>18</v>
      </c>
      <c r="G98" s="4">
        <v>22</v>
      </c>
      <c r="H98" s="4">
        <v>19</v>
      </c>
      <c r="I98" s="4">
        <v>19</v>
      </c>
      <c r="J98" s="4">
        <v>24</v>
      </c>
      <c r="K98" s="227"/>
      <c r="L98" s="4" t="s">
        <v>15</v>
      </c>
      <c r="M98" s="4">
        <v>19</v>
      </c>
      <c r="N98" s="4">
        <v>16</v>
      </c>
      <c r="O98" s="4">
        <v>14</v>
      </c>
      <c r="P98" s="4">
        <v>17</v>
      </c>
      <c r="Q98" s="4">
        <v>15</v>
      </c>
      <c r="R98" s="5"/>
      <c r="S98" s="5"/>
      <c r="T98" s="49"/>
      <c r="U98" s="59">
        <f t="shared" si="18"/>
        <v>195</v>
      </c>
      <c r="W98" s="55" t="s">
        <v>6</v>
      </c>
      <c r="X98" s="48">
        <f>SUM(U102:U107)</f>
        <v>410</v>
      </c>
      <c r="AG98" s="79" t="s">
        <v>13</v>
      </c>
      <c r="AH98" s="79">
        <f t="shared" ref="AH98:AH103" si="19">U96</f>
        <v>183</v>
      </c>
      <c r="AI98" s="79">
        <f t="shared" ref="AI98:AI103" si="20">U102</f>
        <v>131</v>
      </c>
      <c r="AJ98" s="79">
        <f t="shared" ref="AJ98:AJ103" si="21">U108</f>
        <v>373</v>
      </c>
      <c r="AK98" s="79">
        <f t="shared" ref="AK98:AK103" si="22">U114</f>
        <v>324</v>
      </c>
      <c r="AL98" s="79">
        <f t="shared" ref="AL98:AL103" si="23">U120</f>
        <v>271</v>
      </c>
      <c r="AM98" s="79">
        <f t="shared" ref="AM98:AM103" si="24">U126</f>
        <v>282</v>
      </c>
      <c r="AN98" s="79">
        <f t="shared" ref="AN98:AN103" si="25">U132</f>
        <v>250</v>
      </c>
    </row>
    <row r="99" spans="1:40" ht="15.75" customHeight="1">
      <c r="A99" s="230"/>
      <c r="B99" s="4" t="s">
        <v>16</v>
      </c>
      <c r="C99" s="5"/>
      <c r="D99" s="5"/>
      <c r="E99" s="4">
        <v>2</v>
      </c>
      <c r="F99" s="4">
        <v>1</v>
      </c>
      <c r="G99" s="4">
        <v>10</v>
      </c>
      <c r="H99" s="4">
        <v>8</v>
      </c>
      <c r="I99" s="4">
        <v>8</v>
      </c>
      <c r="J99" s="4">
        <v>6</v>
      </c>
      <c r="K99" s="227"/>
      <c r="L99" s="4" t="s">
        <v>16</v>
      </c>
      <c r="M99" s="4">
        <v>6</v>
      </c>
      <c r="N99" s="4">
        <v>4</v>
      </c>
      <c r="O99" s="4">
        <v>2</v>
      </c>
      <c r="P99" s="4">
        <v>5</v>
      </c>
      <c r="Q99" s="4">
        <v>4</v>
      </c>
      <c r="R99" s="5"/>
      <c r="S99" s="5"/>
      <c r="T99" s="49"/>
      <c r="U99" s="59">
        <f t="shared" si="18"/>
        <v>56</v>
      </c>
      <c r="W99" s="55" t="s">
        <v>7</v>
      </c>
      <c r="X99" s="48">
        <f>SUM(U108:U113)</f>
        <v>1266</v>
      </c>
      <c r="AG99" s="97" t="s">
        <v>14</v>
      </c>
      <c r="AH99" s="97">
        <f t="shared" si="19"/>
        <v>62</v>
      </c>
      <c r="AI99" s="97">
        <f t="shared" si="20"/>
        <v>46</v>
      </c>
      <c r="AJ99" s="97">
        <f t="shared" si="21"/>
        <v>170</v>
      </c>
      <c r="AK99" s="97">
        <f t="shared" si="22"/>
        <v>117</v>
      </c>
      <c r="AL99" s="97">
        <f t="shared" si="23"/>
        <v>149</v>
      </c>
      <c r="AM99" s="97">
        <f t="shared" si="24"/>
        <v>125</v>
      </c>
      <c r="AN99" s="97">
        <f t="shared" si="25"/>
        <v>145</v>
      </c>
    </row>
    <row r="100" spans="1:40" ht="15.75" customHeight="1">
      <c r="A100" s="230"/>
      <c r="B100" s="4" t="s">
        <v>17</v>
      </c>
      <c r="C100" s="5"/>
      <c r="D100" s="5"/>
      <c r="E100" s="4">
        <v>4</v>
      </c>
      <c r="F100" s="4">
        <v>9</v>
      </c>
      <c r="G100" s="4">
        <v>10</v>
      </c>
      <c r="H100" s="4">
        <v>9</v>
      </c>
      <c r="I100" s="4">
        <v>9</v>
      </c>
      <c r="J100" s="4">
        <v>4</v>
      </c>
      <c r="K100" s="227"/>
      <c r="L100" s="4" t="s">
        <v>17</v>
      </c>
      <c r="M100" s="4">
        <v>5</v>
      </c>
      <c r="N100" s="4">
        <v>5</v>
      </c>
      <c r="O100" s="4">
        <v>7</v>
      </c>
      <c r="P100" s="4">
        <v>5</v>
      </c>
      <c r="Q100" s="4">
        <v>2</v>
      </c>
      <c r="R100" s="5"/>
      <c r="S100" s="5"/>
      <c r="T100" s="49"/>
      <c r="U100" s="59">
        <f t="shared" si="18"/>
        <v>69</v>
      </c>
      <c r="W100" s="55" t="s">
        <v>61</v>
      </c>
      <c r="X100" s="48">
        <f>SUM(U114:U119)</f>
        <v>1037</v>
      </c>
      <c r="AG100" s="79" t="s">
        <v>15</v>
      </c>
      <c r="AH100" s="79">
        <f t="shared" si="19"/>
        <v>195</v>
      </c>
      <c r="AI100" s="79">
        <f t="shared" si="20"/>
        <v>117</v>
      </c>
      <c r="AJ100" s="79">
        <f t="shared" si="21"/>
        <v>352</v>
      </c>
      <c r="AK100" s="79">
        <f t="shared" si="22"/>
        <v>305</v>
      </c>
      <c r="AL100" s="79">
        <f t="shared" si="23"/>
        <v>289</v>
      </c>
      <c r="AM100" s="79">
        <f t="shared" si="24"/>
        <v>324</v>
      </c>
      <c r="AN100" s="79">
        <f t="shared" si="25"/>
        <v>255</v>
      </c>
    </row>
    <row r="101" spans="1:40" ht="15.75" customHeight="1">
      <c r="A101" s="230"/>
      <c r="B101" s="46" t="s">
        <v>18</v>
      </c>
      <c r="C101" s="64"/>
      <c r="D101" s="64"/>
      <c r="E101" s="46">
        <v>11</v>
      </c>
      <c r="F101" s="46">
        <v>4</v>
      </c>
      <c r="G101" s="46">
        <v>5</v>
      </c>
      <c r="H101" s="46">
        <v>8</v>
      </c>
      <c r="I101" s="46">
        <v>8</v>
      </c>
      <c r="J101" s="46">
        <v>6</v>
      </c>
      <c r="K101" s="227"/>
      <c r="L101" s="46" t="s">
        <v>18</v>
      </c>
      <c r="M101" s="46">
        <v>8</v>
      </c>
      <c r="N101" s="46">
        <v>6</v>
      </c>
      <c r="O101" s="46">
        <v>5</v>
      </c>
      <c r="P101" s="46">
        <v>8</v>
      </c>
      <c r="Q101" s="46">
        <v>4</v>
      </c>
      <c r="R101" s="64"/>
      <c r="S101" s="64"/>
      <c r="T101" s="65"/>
      <c r="U101" s="59">
        <f t="shared" si="18"/>
        <v>73</v>
      </c>
      <c r="W101" s="55" t="s">
        <v>9</v>
      </c>
      <c r="X101" s="48">
        <f>SUM(U120:U125)</f>
        <v>980</v>
      </c>
      <c r="AG101" s="97" t="s">
        <v>16</v>
      </c>
      <c r="AH101" s="97">
        <f t="shared" si="19"/>
        <v>56</v>
      </c>
      <c r="AI101" s="97">
        <f t="shared" si="20"/>
        <v>43</v>
      </c>
      <c r="AJ101" s="97">
        <f t="shared" si="21"/>
        <v>115</v>
      </c>
      <c r="AK101" s="97">
        <f t="shared" si="22"/>
        <v>100</v>
      </c>
      <c r="AL101" s="97">
        <f t="shared" si="23"/>
        <v>86</v>
      </c>
      <c r="AM101" s="97">
        <f t="shared" si="24"/>
        <v>86</v>
      </c>
      <c r="AN101" s="97">
        <f t="shared" si="25"/>
        <v>89</v>
      </c>
    </row>
    <row r="102" spans="1:40" ht="15.75" customHeight="1">
      <c r="A102" s="193" t="s">
        <v>6</v>
      </c>
      <c r="B102" s="63" t="s">
        <v>13</v>
      </c>
      <c r="C102" s="57"/>
      <c r="D102" s="57"/>
      <c r="E102" s="57"/>
      <c r="F102" s="63">
        <v>14</v>
      </c>
      <c r="G102" s="63">
        <v>21</v>
      </c>
      <c r="H102" s="63">
        <v>23</v>
      </c>
      <c r="I102" s="63">
        <v>21</v>
      </c>
      <c r="J102" s="63">
        <v>14</v>
      </c>
      <c r="K102" s="194" t="s">
        <v>6</v>
      </c>
      <c r="L102" s="63" t="s">
        <v>13</v>
      </c>
      <c r="M102" s="63">
        <v>10</v>
      </c>
      <c r="N102" s="63">
        <v>12</v>
      </c>
      <c r="O102" s="63">
        <v>8</v>
      </c>
      <c r="P102" s="63">
        <v>8</v>
      </c>
      <c r="Q102" s="57"/>
      <c r="R102" s="57"/>
      <c r="S102" s="57"/>
      <c r="T102" s="58"/>
      <c r="U102" s="59">
        <f t="shared" si="18"/>
        <v>131</v>
      </c>
      <c r="W102" s="55" t="s">
        <v>10</v>
      </c>
      <c r="X102" s="48">
        <f>SUM(U126:U131)</f>
        <v>1024</v>
      </c>
      <c r="AG102" s="79" t="s">
        <v>17</v>
      </c>
      <c r="AH102" s="79">
        <f t="shared" si="19"/>
        <v>69</v>
      </c>
      <c r="AI102" s="79">
        <f t="shared" si="20"/>
        <v>40</v>
      </c>
      <c r="AJ102" s="79">
        <f t="shared" si="21"/>
        <v>113</v>
      </c>
      <c r="AK102" s="79">
        <f t="shared" si="22"/>
        <v>85</v>
      </c>
      <c r="AL102" s="79">
        <f t="shared" si="23"/>
        <v>87</v>
      </c>
      <c r="AM102" s="79">
        <f t="shared" si="24"/>
        <v>100</v>
      </c>
      <c r="AN102" s="79">
        <f t="shared" si="25"/>
        <v>84</v>
      </c>
    </row>
    <row r="103" spans="1:40" ht="15.75" customHeight="1">
      <c r="A103" s="230"/>
      <c r="B103" s="6" t="s">
        <v>14</v>
      </c>
      <c r="C103" s="5"/>
      <c r="D103" s="5"/>
      <c r="E103" s="5"/>
      <c r="F103" s="6">
        <v>4</v>
      </c>
      <c r="G103" s="6">
        <v>8</v>
      </c>
      <c r="H103" s="6">
        <v>3</v>
      </c>
      <c r="I103" s="6">
        <v>5</v>
      </c>
      <c r="J103" s="6">
        <v>2</v>
      </c>
      <c r="K103" s="227"/>
      <c r="L103" s="6" t="s">
        <v>14</v>
      </c>
      <c r="M103" s="6">
        <v>5</v>
      </c>
      <c r="N103" s="6">
        <v>5</v>
      </c>
      <c r="O103" s="6">
        <v>6</v>
      </c>
      <c r="P103" s="6">
        <v>8</v>
      </c>
      <c r="Q103" s="5"/>
      <c r="R103" s="5"/>
      <c r="S103" s="5"/>
      <c r="T103" s="49"/>
      <c r="U103" s="59">
        <f t="shared" si="18"/>
        <v>46</v>
      </c>
      <c r="W103" s="81" t="s">
        <v>11</v>
      </c>
      <c r="X103" s="80">
        <f>SUM(U132:U137)</f>
        <v>967</v>
      </c>
      <c r="AG103" s="97" t="s">
        <v>18</v>
      </c>
      <c r="AH103" s="97">
        <f t="shared" si="19"/>
        <v>73</v>
      </c>
      <c r="AI103" s="97">
        <f t="shared" si="20"/>
        <v>33</v>
      </c>
      <c r="AJ103" s="97">
        <f t="shared" si="21"/>
        <v>143</v>
      </c>
      <c r="AK103" s="97">
        <f t="shared" si="22"/>
        <v>106</v>
      </c>
      <c r="AL103" s="97">
        <f t="shared" si="23"/>
        <v>98</v>
      </c>
      <c r="AM103" s="97">
        <f t="shared" si="24"/>
        <v>107</v>
      </c>
      <c r="AN103" s="97">
        <f t="shared" si="25"/>
        <v>144</v>
      </c>
    </row>
    <row r="104" spans="1:40" ht="15.75" customHeight="1">
      <c r="A104" s="230"/>
      <c r="B104" s="6" t="s">
        <v>15</v>
      </c>
      <c r="C104" s="5"/>
      <c r="D104" s="5"/>
      <c r="E104" s="5"/>
      <c r="F104" s="6">
        <v>12</v>
      </c>
      <c r="G104" s="6">
        <v>19</v>
      </c>
      <c r="H104" s="6">
        <v>23</v>
      </c>
      <c r="I104" s="6">
        <v>18</v>
      </c>
      <c r="J104" s="6">
        <v>10</v>
      </c>
      <c r="K104" s="227"/>
      <c r="L104" s="6" t="s">
        <v>15</v>
      </c>
      <c r="M104" s="6">
        <v>7</v>
      </c>
      <c r="N104" s="6">
        <v>11</v>
      </c>
      <c r="O104" s="6">
        <v>11</v>
      </c>
      <c r="P104" s="6">
        <v>6</v>
      </c>
      <c r="Q104" s="5"/>
      <c r="R104" s="5"/>
      <c r="S104" s="5"/>
      <c r="T104" s="49"/>
      <c r="U104" s="59">
        <f t="shared" si="18"/>
        <v>117</v>
      </c>
      <c r="W104" s="79" t="s">
        <v>63</v>
      </c>
      <c r="X104" s="82">
        <f>SUM(X97:X103)</f>
        <v>6322</v>
      </c>
    </row>
    <row r="105" spans="1:40" ht="15.75" customHeight="1">
      <c r="A105" s="230"/>
      <c r="B105" s="6" t="s">
        <v>16</v>
      </c>
      <c r="C105" s="5"/>
      <c r="D105" s="5"/>
      <c r="E105" s="5"/>
      <c r="F105" s="6">
        <v>1</v>
      </c>
      <c r="G105" s="6">
        <v>7</v>
      </c>
      <c r="H105" s="6">
        <v>4</v>
      </c>
      <c r="I105" s="6">
        <v>6</v>
      </c>
      <c r="J105" s="6">
        <v>7</v>
      </c>
      <c r="K105" s="227"/>
      <c r="L105" s="6" t="s">
        <v>16</v>
      </c>
      <c r="M105" s="6">
        <v>4</v>
      </c>
      <c r="N105" s="6">
        <v>7</v>
      </c>
      <c r="O105" s="6">
        <v>0</v>
      </c>
      <c r="P105" s="6">
        <v>7</v>
      </c>
      <c r="Q105" s="5"/>
      <c r="R105" s="5"/>
      <c r="S105" s="5"/>
      <c r="T105" s="49"/>
      <c r="U105" s="59">
        <f t="shared" si="18"/>
        <v>43</v>
      </c>
    </row>
    <row r="106" spans="1:40" ht="15.75" customHeight="1">
      <c r="A106" s="230"/>
      <c r="B106" s="6" t="s">
        <v>17</v>
      </c>
      <c r="C106" s="5"/>
      <c r="D106" s="5"/>
      <c r="E106" s="5"/>
      <c r="F106" s="6">
        <v>6</v>
      </c>
      <c r="G106" s="6">
        <v>8</v>
      </c>
      <c r="H106" s="6">
        <v>5</v>
      </c>
      <c r="I106" s="6">
        <v>8</v>
      </c>
      <c r="J106" s="6">
        <v>5</v>
      </c>
      <c r="K106" s="227"/>
      <c r="L106" s="6" t="s">
        <v>17</v>
      </c>
      <c r="M106" s="6">
        <v>2</v>
      </c>
      <c r="N106" s="6">
        <v>2</v>
      </c>
      <c r="O106" s="6">
        <v>2</v>
      </c>
      <c r="P106" s="6">
        <v>2</v>
      </c>
      <c r="Q106" s="5"/>
      <c r="R106" s="5"/>
      <c r="S106" s="5"/>
      <c r="T106" s="49"/>
      <c r="U106" s="59">
        <f t="shared" si="18"/>
        <v>40</v>
      </c>
    </row>
    <row r="107" spans="1:40" ht="15.75" customHeight="1">
      <c r="A107" s="230"/>
      <c r="B107" s="47" t="s">
        <v>18</v>
      </c>
      <c r="C107" s="64"/>
      <c r="D107" s="64"/>
      <c r="E107" s="64"/>
      <c r="F107" s="47">
        <v>2</v>
      </c>
      <c r="G107" s="47">
        <v>3</v>
      </c>
      <c r="H107" s="47">
        <v>5</v>
      </c>
      <c r="I107" s="47">
        <v>4</v>
      </c>
      <c r="J107" s="47">
        <v>7</v>
      </c>
      <c r="K107" s="227"/>
      <c r="L107" s="47" t="s">
        <v>18</v>
      </c>
      <c r="M107" s="47">
        <v>1</v>
      </c>
      <c r="N107" s="47">
        <v>1</v>
      </c>
      <c r="O107" s="47">
        <v>5</v>
      </c>
      <c r="P107" s="47">
        <v>5</v>
      </c>
      <c r="Q107" s="64"/>
      <c r="R107" s="64"/>
      <c r="S107" s="64"/>
      <c r="T107" s="65"/>
      <c r="U107" s="59">
        <f t="shared" si="18"/>
        <v>33</v>
      </c>
    </row>
    <row r="108" spans="1:40" ht="15.75" customHeight="1">
      <c r="A108" s="195" t="s">
        <v>7</v>
      </c>
      <c r="B108" s="56" t="s">
        <v>13</v>
      </c>
      <c r="C108" s="56">
        <v>6</v>
      </c>
      <c r="D108" s="56">
        <v>7</v>
      </c>
      <c r="E108" s="56">
        <v>19</v>
      </c>
      <c r="F108" s="56">
        <v>14</v>
      </c>
      <c r="G108" s="56">
        <v>29</v>
      </c>
      <c r="H108" s="56">
        <v>43</v>
      </c>
      <c r="I108" s="56">
        <v>39</v>
      </c>
      <c r="J108" s="56">
        <v>27</v>
      </c>
      <c r="K108" s="196" t="s">
        <v>7</v>
      </c>
      <c r="L108" s="56" t="s">
        <v>13</v>
      </c>
      <c r="M108" s="56">
        <v>32</v>
      </c>
      <c r="N108" s="56">
        <v>25</v>
      </c>
      <c r="O108" s="56">
        <v>15</v>
      </c>
      <c r="P108" s="56">
        <v>24</v>
      </c>
      <c r="Q108" s="56">
        <v>30</v>
      </c>
      <c r="R108" s="56">
        <v>24</v>
      </c>
      <c r="S108" s="56">
        <v>22</v>
      </c>
      <c r="T108" s="67">
        <v>17</v>
      </c>
      <c r="U108" s="59">
        <f t="shared" si="18"/>
        <v>373</v>
      </c>
    </row>
    <row r="109" spans="1:40" ht="15.75" customHeight="1">
      <c r="A109" s="230"/>
      <c r="B109" s="4" t="s">
        <v>14</v>
      </c>
      <c r="C109" s="4">
        <v>6</v>
      </c>
      <c r="D109" s="4">
        <v>5</v>
      </c>
      <c r="E109" s="4">
        <v>10</v>
      </c>
      <c r="F109" s="4">
        <v>13</v>
      </c>
      <c r="G109" s="4">
        <v>11</v>
      </c>
      <c r="H109" s="4">
        <v>14</v>
      </c>
      <c r="I109" s="4">
        <v>12</v>
      </c>
      <c r="J109" s="4">
        <v>10</v>
      </c>
      <c r="K109" s="227"/>
      <c r="L109" s="4" t="s">
        <v>14</v>
      </c>
      <c r="M109" s="4">
        <v>15</v>
      </c>
      <c r="N109" s="4">
        <v>12</v>
      </c>
      <c r="O109" s="4">
        <v>14</v>
      </c>
      <c r="P109" s="4">
        <v>12</v>
      </c>
      <c r="Q109" s="4">
        <v>10</v>
      </c>
      <c r="R109" s="4">
        <v>14</v>
      </c>
      <c r="S109" s="4">
        <v>8</v>
      </c>
      <c r="T109" s="50">
        <v>4</v>
      </c>
      <c r="U109" s="59">
        <f t="shared" si="18"/>
        <v>170</v>
      </c>
    </row>
    <row r="110" spans="1:40" ht="15.75" customHeight="1">
      <c r="A110" s="230"/>
      <c r="B110" s="4" t="s">
        <v>15</v>
      </c>
      <c r="C110" s="4">
        <v>20</v>
      </c>
      <c r="D110" s="4">
        <v>22</v>
      </c>
      <c r="E110" s="4">
        <v>24</v>
      </c>
      <c r="F110" s="4">
        <v>15</v>
      </c>
      <c r="G110" s="4">
        <v>29</v>
      </c>
      <c r="H110" s="4">
        <v>23</v>
      </c>
      <c r="I110" s="4">
        <v>38</v>
      </c>
      <c r="J110" s="4">
        <v>18</v>
      </c>
      <c r="K110" s="227"/>
      <c r="L110" s="4" t="s">
        <v>15</v>
      </c>
      <c r="M110" s="4">
        <v>25</v>
      </c>
      <c r="N110" s="4">
        <v>27</v>
      </c>
      <c r="O110" s="4">
        <v>25</v>
      </c>
      <c r="P110" s="4">
        <v>2</v>
      </c>
      <c r="Q110" s="4">
        <v>34</v>
      </c>
      <c r="R110" s="4">
        <v>34</v>
      </c>
      <c r="S110" s="4">
        <v>11</v>
      </c>
      <c r="T110" s="50">
        <v>5</v>
      </c>
      <c r="U110" s="59">
        <f t="shared" si="18"/>
        <v>352</v>
      </c>
    </row>
    <row r="111" spans="1:40" ht="15.75" customHeight="1">
      <c r="A111" s="230"/>
      <c r="B111" s="4" t="s">
        <v>16</v>
      </c>
      <c r="C111" s="4">
        <v>3</v>
      </c>
      <c r="D111" s="4">
        <v>5</v>
      </c>
      <c r="E111" s="4">
        <v>4</v>
      </c>
      <c r="F111" s="4">
        <v>11</v>
      </c>
      <c r="G111" s="4">
        <v>9</v>
      </c>
      <c r="H111" s="4">
        <v>15</v>
      </c>
      <c r="I111" s="4">
        <v>11</v>
      </c>
      <c r="J111" s="4">
        <v>11</v>
      </c>
      <c r="K111" s="227"/>
      <c r="L111" s="4" t="s">
        <v>16</v>
      </c>
      <c r="M111" s="4">
        <v>10</v>
      </c>
      <c r="N111" s="4">
        <v>7</v>
      </c>
      <c r="O111" s="4">
        <v>5</v>
      </c>
      <c r="P111" s="4">
        <v>7</v>
      </c>
      <c r="Q111" s="4">
        <v>4</v>
      </c>
      <c r="R111" s="4">
        <v>5</v>
      </c>
      <c r="S111" s="4">
        <v>3</v>
      </c>
      <c r="T111" s="50">
        <v>5</v>
      </c>
      <c r="U111" s="59">
        <f t="shared" si="18"/>
        <v>115</v>
      </c>
    </row>
    <row r="112" spans="1:40" ht="15.75" customHeight="1">
      <c r="A112" s="230"/>
      <c r="B112" s="4" t="s">
        <v>17</v>
      </c>
      <c r="C112" s="4">
        <v>5</v>
      </c>
      <c r="D112" s="4">
        <v>4</v>
      </c>
      <c r="E112" s="4">
        <v>5</v>
      </c>
      <c r="F112" s="4">
        <v>7</v>
      </c>
      <c r="G112" s="4">
        <v>12</v>
      </c>
      <c r="H112" s="4">
        <v>23</v>
      </c>
      <c r="I112" s="4">
        <v>6</v>
      </c>
      <c r="J112" s="4">
        <v>6</v>
      </c>
      <c r="K112" s="227"/>
      <c r="L112" s="4" t="s">
        <v>17</v>
      </c>
      <c r="M112" s="4">
        <v>8</v>
      </c>
      <c r="N112" s="4">
        <v>5</v>
      </c>
      <c r="O112" s="4">
        <v>4</v>
      </c>
      <c r="P112" s="4">
        <v>8</v>
      </c>
      <c r="Q112" s="4">
        <v>7</v>
      </c>
      <c r="R112" s="4">
        <v>8</v>
      </c>
      <c r="S112" s="4">
        <v>4</v>
      </c>
      <c r="T112" s="50">
        <v>1</v>
      </c>
      <c r="U112" s="59">
        <f t="shared" si="18"/>
        <v>113</v>
      </c>
    </row>
    <row r="113" spans="1:21" ht="15.75" customHeight="1">
      <c r="A113" s="230"/>
      <c r="B113" s="46" t="s">
        <v>18</v>
      </c>
      <c r="C113" s="46">
        <v>11</v>
      </c>
      <c r="D113" s="46">
        <v>8</v>
      </c>
      <c r="E113" s="46">
        <v>14</v>
      </c>
      <c r="F113" s="46">
        <v>3</v>
      </c>
      <c r="G113" s="46">
        <v>15</v>
      </c>
      <c r="H113" s="46">
        <v>14</v>
      </c>
      <c r="I113" s="46">
        <v>22</v>
      </c>
      <c r="J113" s="46">
        <v>15</v>
      </c>
      <c r="K113" s="227"/>
      <c r="L113" s="46" t="s">
        <v>18</v>
      </c>
      <c r="M113" s="46">
        <v>5</v>
      </c>
      <c r="N113" s="46">
        <v>4</v>
      </c>
      <c r="O113" s="46">
        <v>5</v>
      </c>
      <c r="P113" s="46">
        <v>7</v>
      </c>
      <c r="Q113" s="46">
        <v>7</v>
      </c>
      <c r="R113" s="46">
        <v>7</v>
      </c>
      <c r="S113" s="46">
        <v>5</v>
      </c>
      <c r="T113" s="69">
        <v>1</v>
      </c>
      <c r="U113" s="59">
        <f t="shared" si="18"/>
        <v>143</v>
      </c>
    </row>
    <row r="114" spans="1:21" ht="15.75" customHeight="1">
      <c r="A114" s="193" t="s">
        <v>8</v>
      </c>
      <c r="B114" s="63" t="s">
        <v>13</v>
      </c>
      <c r="C114" s="63">
        <v>19</v>
      </c>
      <c r="D114" s="63">
        <v>17</v>
      </c>
      <c r="E114" s="63">
        <v>26</v>
      </c>
      <c r="F114" s="63">
        <v>28</v>
      </c>
      <c r="G114" s="63">
        <v>27</v>
      </c>
      <c r="H114" s="63">
        <v>30</v>
      </c>
      <c r="I114" s="63">
        <v>22</v>
      </c>
      <c r="J114" s="63">
        <v>20</v>
      </c>
      <c r="K114" s="194" t="s">
        <v>8</v>
      </c>
      <c r="L114" s="63" t="s">
        <v>13</v>
      </c>
      <c r="M114" s="63">
        <v>9</v>
      </c>
      <c r="N114" s="63">
        <v>12</v>
      </c>
      <c r="O114" s="63">
        <v>16</v>
      </c>
      <c r="P114" s="63">
        <v>18</v>
      </c>
      <c r="Q114" s="63">
        <v>24</v>
      </c>
      <c r="R114" s="63">
        <v>25</v>
      </c>
      <c r="S114" s="63">
        <v>20</v>
      </c>
      <c r="T114" s="68">
        <v>11</v>
      </c>
      <c r="U114" s="59">
        <f t="shared" si="18"/>
        <v>324</v>
      </c>
    </row>
    <row r="115" spans="1:21" ht="15.75" customHeight="1">
      <c r="A115" s="230"/>
      <c r="B115" s="6" t="s">
        <v>14</v>
      </c>
      <c r="C115" s="6">
        <v>6</v>
      </c>
      <c r="D115" s="6">
        <v>6</v>
      </c>
      <c r="E115" s="6">
        <v>10</v>
      </c>
      <c r="F115" s="6">
        <v>9</v>
      </c>
      <c r="G115" s="6">
        <v>18</v>
      </c>
      <c r="H115" s="6">
        <v>13</v>
      </c>
      <c r="I115" s="6">
        <v>7</v>
      </c>
      <c r="J115" s="6">
        <v>14</v>
      </c>
      <c r="K115" s="227"/>
      <c r="L115" s="6" t="s">
        <v>14</v>
      </c>
      <c r="M115" s="6">
        <v>6</v>
      </c>
      <c r="N115" s="6">
        <v>4</v>
      </c>
      <c r="O115" s="6">
        <v>6</v>
      </c>
      <c r="P115" s="6">
        <v>3</v>
      </c>
      <c r="Q115" s="6">
        <v>4</v>
      </c>
      <c r="R115" s="6">
        <v>5</v>
      </c>
      <c r="S115" s="6">
        <v>4</v>
      </c>
      <c r="T115" s="51">
        <v>2</v>
      </c>
      <c r="U115" s="59">
        <f t="shared" si="18"/>
        <v>117</v>
      </c>
    </row>
    <row r="116" spans="1:21" ht="15.75" customHeight="1">
      <c r="A116" s="230"/>
      <c r="B116" s="6" t="s">
        <v>15</v>
      </c>
      <c r="C116" s="6">
        <v>25</v>
      </c>
      <c r="D116" s="6">
        <v>21</v>
      </c>
      <c r="E116" s="6">
        <v>19</v>
      </c>
      <c r="F116" s="6">
        <v>21</v>
      </c>
      <c r="G116" s="6">
        <v>20</v>
      </c>
      <c r="H116" s="6">
        <v>14</v>
      </c>
      <c r="I116" s="6">
        <v>11</v>
      </c>
      <c r="J116" s="6">
        <v>18</v>
      </c>
      <c r="K116" s="227"/>
      <c r="L116" s="6" t="s">
        <v>15</v>
      </c>
      <c r="M116" s="6">
        <v>13</v>
      </c>
      <c r="N116" s="6">
        <v>10</v>
      </c>
      <c r="O116" s="6">
        <v>21</v>
      </c>
      <c r="P116" s="6">
        <v>32</v>
      </c>
      <c r="Q116" s="6">
        <v>27</v>
      </c>
      <c r="R116" s="6">
        <v>27</v>
      </c>
      <c r="S116" s="6">
        <v>4</v>
      </c>
      <c r="T116" s="51">
        <v>22</v>
      </c>
      <c r="U116" s="59">
        <f t="shared" si="18"/>
        <v>305</v>
      </c>
    </row>
    <row r="117" spans="1:21" ht="15.75" customHeight="1">
      <c r="A117" s="230"/>
      <c r="B117" s="6" t="s">
        <v>16</v>
      </c>
      <c r="C117" s="6">
        <v>4</v>
      </c>
      <c r="D117" s="6">
        <v>3</v>
      </c>
      <c r="E117" s="6">
        <v>5</v>
      </c>
      <c r="F117" s="6">
        <v>10</v>
      </c>
      <c r="G117" s="6">
        <v>10</v>
      </c>
      <c r="H117" s="6">
        <v>18</v>
      </c>
      <c r="I117" s="6">
        <v>6</v>
      </c>
      <c r="J117" s="6">
        <v>7</v>
      </c>
      <c r="K117" s="227"/>
      <c r="L117" s="6" t="s">
        <v>16</v>
      </c>
      <c r="M117" s="6">
        <v>4</v>
      </c>
      <c r="N117" s="6">
        <v>3</v>
      </c>
      <c r="O117" s="6">
        <v>2</v>
      </c>
      <c r="P117" s="6">
        <v>3</v>
      </c>
      <c r="Q117" s="6">
        <v>3</v>
      </c>
      <c r="R117" s="6">
        <v>10</v>
      </c>
      <c r="S117" s="6">
        <v>8</v>
      </c>
      <c r="T117" s="51">
        <v>4</v>
      </c>
      <c r="U117" s="59">
        <f t="shared" si="18"/>
        <v>100</v>
      </c>
    </row>
    <row r="118" spans="1:21" ht="15.75" customHeight="1">
      <c r="A118" s="230"/>
      <c r="B118" s="6" t="s">
        <v>17</v>
      </c>
      <c r="C118" s="6">
        <v>5</v>
      </c>
      <c r="D118" s="6">
        <v>6</v>
      </c>
      <c r="E118" s="6">
        <v>7</v>
      </c>
      <c r="F118" s="6">
        <v>6</v>
      </c>
      <c r="G118" s="6">
        <v>6</v>
      </c>
      <c r="H118" s="6">
        <v>4</v>
      </c>
      <c r="I118" s="6">
        <v>7</v>
      </c>
      <c r="J118" s="6">
        <v>3</v>
      </c>
      <c r="K118" s="227"/>
      <c r="L118" s="6" t="s">
        <v>17</v>
      </c>
      <c r="M118" s="6">
        <v>3</v>
      </c>
      <c r="N118" s="6">
        <v>5</v>
      </c>
      <c r="O118" s="6">
        <v>5</v>
      </c>
      <c r="P118" s="6">
        <v>3</v>
      </c>
      <c r="Q118" s="6">
        <v>7</v>
      </c>
      <c r="R118" s="6">
        <v>5</v>
      </c>
      <c r="S118" s="6">
        <v>10</v>
      </c>
      <c r="T118" s="51">
        <v>3</v>
      </c>
      <c r="U118" s="59">
        <f t="shared" si="18"/>
        <v>85</v>
      </c>
    </row>
    <row r="119" spans="1:21" ht="15.75" customHeight="1">
      <c r="A119" s="230"/>
      <c r="B119" s="47" t="s">
        <v>18</v>
      </c>
      <c r="C119" s="47">
        <v>16</v>
      </c>
      <c r="D119" s="47">
        <v>4</v>
      </c>
      <c r="E119" s="47">
        <v>6</v>
      </c>
      <c r="F119" s="47">
        <v>8</v>
      </c>
      <c r="G119" s="47">
        <v>7</v>
      </c>
      <c r="H119" s="47">
        <v>7</v>
      </c>
      <c r="I119" s="47">
        <v>8</v>
      </c>
      <c r="J119" s="47">
        <v>4</v>
      </c>
      <c r="K119" s="227"/>
      <c r="L119" s="47" t="s">
        <v>18</v>
      </c>
      <c r="M119" s="47">
        <v>5</v>
      </c>
      <c r="N119" s="47">
        <v>2</v>
      </c>
      <c r="O119" s="47">
        <v>4</v>
      </c>
      <c r="P119" s="47">
        <v>4</v>
      </c>
      <c r="Q119" s="47">
        <v>10</v>
      </c>
      <c r="R119" s="47">
        <v>6</v>
      </c>
      <c r="S119" s="47">
        <v>13</v>
      </c>
      <c r="T119" s="70">
        <v>2</v>
      </c>
      <c r="U119" s="59">
        <f t="shared" si="18"/>
        <v>106</v>
      </c>
    </row>
    <row r="120" spans="1:21" ht="15.75" customHeight="1">
      <c r="A120" s="195" t="s">
        <v>9</v>
      </c>
      <c r="B120" s="56" t="s">
        <v>13</v>
      </c>
      <c r="C120" s="56">
        <v>16</v>
      </c>
      <c r="D120" s="56">
        <v>16</v>
      </c>
      <c r="E120" s="56">
        <v>17</v>
      </c>
      <c r="F120" s="56">
        <v>21</v>
      </c>
      <c r="G120" s="56">
        <v>34</v>
      </c>
      <c r="H120" s="56">
        <v>31</v>
      </c>
      <c r="I120" s="56">
        <v>28</v>
      </c>
      <c r="J120" s="56">
        <v>13</v>
      </c>
      <c r="K120" s="196" t="s">
        <v>9</v>
      </c>
      <c r="L120" s="56" t="s">
        <v>13</v>
      </c>
      <c r="M120" s="56">
        <v>11</v>
      </c>
      <c r="N120" s="56">
        <v>8</v>
      </c>
      <c r="O120" s="56"/>
      <c r="P120" s="56">
        <v>15</v>
      </c>
      <c r="Q120" s="56">
        <v>23</v>
      </c>
      <c r="R120" s="56">
        <v>17</v>
      </c>
      <c r="S120" s="56">
        <v>13</v>
      </c>
      <c r="T120" s="67">
        <v>8</v>
      </c>
      <c r="U120" s="59">
        <f t="shared" si="18"/>
        <v>271</v>
      </c>
    </row>
    <row r="121" spans="1:21" ht="15.75" customHeight="1">
      <c r="A121" s="230"/>
      <c r="B121" s="4" t="s">
        <v>14</v>
      </c>
      <c r="C121" s="4">
        <v>10</v>
      </c>
      <c r="D121" s="4">
        <v>9</v>
      </c>
      <c r="E121" s="4">
        <v>11</v>
      </c>
      <c r="F121" s="4">
        <v>15</v>
      </c>
      <c r="G121" s="4">
        <v>20</v>
      </c>
      <c r="H121" s="4">
        <v>12</v>
      </c>
      <c r="I121" s="4">
        <v>11</v>
      </c>
      <c r="J121" s="4">
        <v>10</v>
      </c>
      <c r="K121" s="227"/>
      <c r="L121" s="4" t="s">
        <v>14</v>
      </c>
      <c r="M121" s="4">
        <v>9</v>
      </c>
      <c r="N121" s="4">
        <v>9</v>
      </c>
      <c r="O121" s="4"/>
      <c r="P121" s="4">
        <v>8</v>
      </c>
      <c r="Q121" s="4">
        <v>9</v>
      </c>
      <c r="R121" s="4">
        <v>10</v>
      </c>
      <c r="S121" s="4">
        <v>4</v>
      </c>
      <c r="T121" s="50">
        <v>2</v>
      </c>
      <c r="U121" s="59">
        <f t="shared" si="18"/>
        <v>149</v>
      </c>
    </row>
    <row r="122" spans="1:21" ht="15.75" customHeight="1">
      <c r="A122" s="230"/>
      <c r="B122" s="4" t="s">
        <v>15</v>
      </c>
      <c r="C122" s="4">
        <v>17</v>
      </c>
      <c r="D122" s="4">
        <v>16</v>
      </c>
      <c r="E122" s="4">
        <v>17</v>
      </c>
      <c r="F122" s="4">
        <v>21</v>
      </c>
      <c r="G122" s="4">
        <v>24</v>
      </c>
      <c r="H122" s="4">
        <v>13</v>
      </c>
      <c r="I122" s="4">
        <v>24</v>
      </c>
      <c r="J122" s="4">
        <v>13</v>
      </c>
      <c r="K122" s="227"/>
      <c r="L122" s="4" t="s">
        <v>15</v>
      </c>
      <c r="M122" s="4">
        <v>17</v>
      </c>
      <c r="N122" s="4">
        <v>13</v>
      </c>
      <c r="O122" s="4"/>
      <c r="P122" s="4">
        <v>31</v>
      </c>
      <c r="Q122" s="4">
        <v>18</v>
      </c>
      <c r="R122" s="4">
        <v>25</v>
      </c>
      <c r="S122" s="4">
        <v>20</v>
      </c>
      <c r="T122" s="50">
        <v>20</v>
      </c>
      <c r="U122" s="59">
        <f t="shared" si="18"/>
        <v>289</v>
      </c>
    </row>
    <row r="123" spans="1:21" ht="15.75" customHeight="1">
      <c r="A123" s="230"/>
      <c r="B123" s="4" t="s">
        <v>16</v>
      </c>
      <c r="C123" s="4">
        <v>2</v>
      </c>
      <c r="D123" s="4">
        <v>2</v>
      </c>
      <c r="E123" s="4">
        <v>4</v>
      </c>
      <c r="F123" s="4">
        <v>13</v>
      </c>
      <c r="G123" s="4">
        <v>8</v>
      </c>
      <c r="H123" s="4">
        <v>9</v>
      </c>
      <c r="I123" s="4">
        <v>6</v>
      </c>
      <c r="J123" s="4">
        <v>3</v>
      </c>
      <c r="K123" s="227"/>
      <c r="L123" s="4" t="s">
        <v>16</v>
      </c>
      <c r="M123" s="4">
        <v>3</v>
      </c>
      <c r="N123" s="4">
        <v>4</v>
      </c>
      <c r="O123" s="4"/>
      <c r="P123" s="4">
        <v>5</v>
      </c>
      <c r="Q123" s="4">
        <v>14</v>
      </c>
      <c r="R123" s="4">
        <v>5</v>
      </c>
      <c r="S123" s="4">
        <v>5</v>
      </c>
      <c r="T123" s="50">
        <v>3</v>
      </c>
      <c r="U123" s="59">
        <f t="shared" si="18"/>
        <v>86</v>
      </c>
    </row>
    <row r="124" spans="1:21" ht="15.75" customHeight="1">
      <c r="A124" s="230"/>
      <c r="B124" s="4" t="s">
        <v>17</v>
      </c>
      <c r="C124" s="4">
        <v>12</v>
      </c>
      <c r="D124" s="4">
        <v>3</v>
      </c>
      <c r="E124" s="4">
        <v>3</v>
      </c>
      <c r="F124" s="4">
        <v>7</v>
      </c>
      <c r="G124" s="4">
        <v>6</v>
      </c>
      <c r="H124" s="4">
        <v>12</v>
      </c>
      <c r="I124" s="4">
        <v>3</v>
      </c>
      <c r="J124" s="4">
        <v>7</v>
      </c>
      <c r="K124" s="227"/>
      <c r="L124" s="4" t="s">
        <v>17</v>
      </c>
      <c r="M124" s="4">
        <v>2</v>
      </c>
      <c r="N124" s="4">
        <v>4</v>
      </c>
      <c r="O124" s="4"/>
      <c r="P124" s="4">
        <v>5</v>
      </c>
      <c r="Q124" s="4">
        <v>8</v>
      </c>
      <c r="R124" s="4">
        <v>8</v>
      </c>
      <c r="S124" s="4">
        <v>3</v>
      </c>
      <c r="T124" s="50">
        <v>4</v>
      </c>
      <c r="U124" s="59">
        <f t="shared" si="18"/>
        <v>87</v>
      </c>
    </row>
    <row r="125" spans="1:21" ht="15.75" customHeight="1">
      <c r="A125" s="230"/>
      <c r="B125" s="46" t="s">
        <v>18</v>
      </c>
      <c r="C125" s="46">
        <v>16</v>
      </c>
      <c r="D125" s="46">
        <v>4</v>
      </c>
      <c r="E125" s="46">
        <v>2</v>
      </c>
      <c r="F125" s="46">
        <v>11</v>
      </c>
      <c r="G125" s="46">
        <v>8</v>
      </c>
      <c r="H125" s="46">
        <v>14</v>
      </c>
      <c r="I125" s="46">
        <v>13</v>
      </c>
      <c r="J125" s="46">
        <v>6</v>
      </c>
      <c r="K125" s="227"/>
      <c r="L125" s="46" t="s">
        <v>18</v>
      </c>
      <c r="M125" s="46">
        <v>0</v>
      </c>
      <c r="N125" s="46">
        <v>0</v>
      </c>
      <c r="O125" s="46"/>
      <c r="P125" s="46">
        <v>3</v>
      </c>
      <c r="Q125" s="46">
        <v>5</v>
      </c>
      <c r="R125" s="46">
        <v>5</v>
      </c>
      <c r="S125" s="46">
        <v>7</v>
      </c>
      <c r="T125" s="69">
        <v>4</v>
      </c>
      <c r="U125" s="59">
        <f t="shared" si="18"/>
        <v>98</v>
      </c>
    </row>
    <row r="126" spans="1:21" ht="15.75" customHeight="1">
      <c r="A126" s="193" t="s">
        <v>10</v>
      </c>
      <c r="B126" s="63" t="s">
        <v>13</v>
      </c>
      <c r="C126" s="121">
        <v>18</v>
      </c>
      <c r="D126" s="121">
        <v>19</v>
      </c>
      <c r="E126" s="121">
        <v>20</v>
      </c>
      <c r="F126" s="121">
        <v>27</v>
      </c>
      <c r="G126" s="121">
        <v>25</v>
      </c>
      <c r="H126" s="121">
        <v>21</v>
      </c>
      <c r="I126" s="121">
        <v>20</v>
      </c>
      <c r="J126" s="121">
        <v>12</v>
      </c>
      <c r="K126" s="194" t="s">
        <v>10</v>
      </c>
      <c r="L126" s="63" t="s">
        <v>13</v>
      </c>
      <c r="M126" s="121">
        <v>16</v>
      </c>
      <c r="N126" s="121">
        <v>13</v>
      </c>
      <c r="O126" s="121">
        <v>11</v>
      </c>
      <c r="P126" s="121">
        <v>15</v>
      </c>
      <c r="Q126" s="121">
        <v>22</v>
      </c>
      <c r="R126" s="121">
        <v>16</v>
      </c>
      <c r="S126" s="121">
        <v>20</v>
      </c>
      <c r="T126" s="124">
        <v>7</v>
      </c>
      <c r="U126" s="59">
        <f t="shared" si="18"/>
        <v>282</v>
      </c>
    </row>
    <row r="127" spans="1:21" ht="15.75" customHeight="1">
      <c r="A127" s="230"/>
      <c r="B127" s="6" t="s">
        <v>14</v>
      </c>
      <c r="C127" s="122">
        <v>6</v>
      </c>
      <c r="D127" s="122">
        <v>5</v>
      </c>
      <c r="E127" s="122">
        <v>11</v>
      </c>
      <c r="F127" s="122">
        <v>12</v>
      </c>
      <c r="G127" s="122">
        <v>15</v>
      </c>
      <c r="H127" s="122">
        <v>14</v>
      </c>
      <c r="I127" s="122">
        <v>12</v>
      </c>
      <c r="J127" s="122">
        <v>6</v>
      </c>
      <c r="K127" s="227"/>
      <c r="L127" s="6" t="s">
        <v>14</v>
      </c>
      <c r="M127" s="122">
        <v>7</v>
      </c>
      <c r="N127" s="122">
        <v>5</v>
      </c>
      <c r="O127" s="122">
        <v>6</v>
      </c>
      <c r="P127" s="122">
        <v>5</v>
      </c>
      <c r="Q127" s="122">
        <v>8</v>
      </c>
      <c r="R127" s="122">
        <v>2</v>
      </c>
      <c r="S127" s="122">
        <v>4</v>
      </c>
      <c r="T127" s="125">
        <v>7</v>
      </c>
      <c r="U127" s="59">
        <f t="shared" si="18"/>
        <v>125</v>
      </c>
    </row>
    <row r="128" spans="1:21" ht="15.75" customHeight="1">
      <c r="A128" s="230"/>
      <c r="B128" s="6" t="s">
        <v>15</v>
      </c>
      <c r="C128" s="122">
        <v>19</v>
      </c>
      <c r="D128" s="122">
        <v>16</v>
      </c>
      <c r="E128" s="122">
        <v>18</v>
      </c>
      <c r="F128" s="122">
        <v>15</v>
      </c>
      <c r="G128" s="122">
        <v>20</v>
      </c>
      <c r="H128" s="122">
        <v>25</v>
      </c>
      <c r="I128" s="122">
        <v>21</v>
      </c>
      <c r="J128" s="122">
        <v>19</v>
      </c>
      <c r="K128" s="227"/>
      <c r="L128" s="6" t="s">
        <v>15</v>
      </c>
      <c r="M128" s="122">
        <v>19</v>
      </c>
      <c r="N128" s="122">
        <v>19</v>
      </c>
      <c r="O128" s="122">
        <v>11</v>
      </c>
      <c r="P128" s="122">
        <v>20</v>
      </c>
      <c r="Q128" s="122">
        <v>29</v>
      </c>
      <c r="R128" s="122">
        <v>31</v>
      </c>
      <c r="S128" s="122">
        <v>28</v>
      </c>
      <c r="T128" s="125">
        <v>14</v>
      </c>
      <c r="U128" s="59">
        <f t="shared" si="18"/>
        <v>324</v>
      </c>
    </row>
    <row r="129" spans="1:40" ht="15.75" customHeight="1">
      <c r="A129" s="230"/>
      <c r="B129" s="6" t="s">
        <v>16</v>
      </c>
      <c r="C129" s="122">
        <v>7</v>
      </c>
      <c r="D129" s="122">
        <v>5</v>
      </c>
      <c r="E129" s="122">
        <v>6</v>
      </c>
      <c r="F129" s="122">
        <v>10</v>
      </c>
      <c r="G129" s="122">
        <v>7</v>
      </c>
      <c r="H129" s="122">
        <v>15</v>
      </c>
      <c r="I129" s="122">
        <v>7</v>
      </c>
      <c r="J129" s="122">
        <v>5</v>
      </c>
      <c r="K129" s="227"/>
      <c r="L129" s="6" t="s">
        <v>16</v>
      </c>
      <c r="M129" s="122">
        <v>1</v>
      </c>
      <c r="N129" s="122">
        <v>2</v>
      </c>
      <c r="O129" s="122">
        <v>4</v>
      </c>
      <c r="P129" s="122">
        <v>5</v>
      </c>
      <c r="Q129" s="122">
        <v>3</v>
      </c>
      <c r="R129" s="122">
        <v>3</v>
      </c>
      <c r="S129" s="122">
        <v>4</v>
      </c>
      <c r="T129" s="125">
        <v>2</v>
      </c>
      <c r="U129" s="59">
        <f t="shared" si="18"/>
        <v>86</v>
      </c>
    </row>
    <row r="130" spans="1:40" ht="15.75" customHeight="1">
      <c r="A130" s="230"/>
      <c r="B130" s="6" t="s">
        <v>17</v>
      </c>
      <c r="C130" s="122">
        <v>8</v>
      </c>
      <c r="D130" s="122">
        <v>7</v>
      </c>
      <c r="E130" s="122">
        <v>5</v>
      </c>
      <c r="F130" s="122">
        <v>8</v>
      </c>
      <c r="G130" s="122">
        <v>12</v>
      </c>
      <c r="H130" s="122">
        <v>12</v>
      </c>
      <c r="I130" s="122">
        <v>4</v>
      </c>
      <c r="J130" s="122">
        <v>2</v>
      </c>
      <c r="K130" s="227"/>
      <c r="L130" s="6" t="s">
        <v>17</v>
      </c>
      <c r="M130" s="122">
        <v>5</v>
      </c>
      <c r="N130" s="122">
        <v>8</v>
      </c>
      <c r="O130" s="122">
        <v>3</v>
      </c>
      <c r="P130" s="122">
        <v>4</v>
      </c>
      <c r="Q130" s="122">
        <v>5</v>
      </c>
      <c r="R130" s="122">
        <v>8</v>
      </c>
      <c r="S130" s="122">
        <v>9</v>
      </c>
      <c r="T130" s="125">
        <v>0</v>
      </c>
      <c r="U130" s="59">
        <f t="shared" si="18"/>
        <v>100</v>
      </c>
    </row>
    <row r="131" spans="1:40" ht="15.75" customHeight="1">
      <c r="A131" s="230"/>
      <c r="B131" s="47" t="s">
        <v>18</v>
      </c>
      <c r="C131" s="123">
        <v>12</v>
      </c>
      <c r="D131" s="123">
        <v>8</v>
      </c>
      <c r="E131" s="123">
        <v>6</v>
      </c>
      <c r="F131" s="123">
        <v>9</v>
      </c>
      <c r="G131" s="123">
        <v>10</v>
      </c>
      <c r="H131" s="123">
        <v>10</v>
      </c>
      <c r="I131" s="123">
        <v>6</v>
      </c>
      <c r="J131" s="123">
        <v>4</v>
      </c>
      <c r="K131" s="227"/>
      <c r="L131" s="47" t="s">
        <v>18</v>
      </c>
      <c r="M131" s="123">
        <v>4</v>
      </c>
      <c r="N131" s="123">
        <v>2</v>
      </c>
      <c r="O131" s="123">
        <v>0</v>
      </c>
      <c r="P131" s="123">
        <v>3</v>
      </c>
      <c r="Q131" s="123">
        <v>7</v>
      </c>
      <c r="R131" s="123">
        <v>12</v>
      </c>
      <c r="S131" s="123">
        <v>12</v>
      </c>
      <c r="T131" s="126">
        <v>2</v>
      </c>
      <c r="U131" s="59">
        <f t="shared" si="18"/>
        <v>107</v>
      </c>
    </row>
    <row r="132" spans="1:40" ht="15.75" customHeight="1">
      <c r="A132" s="195" t="s">
        <v>11</v>
      </c>
      <c r="B132" s="56" t="s">
        <v>13</v>
      </c>
      <c r="C132" s="73">
        <v>11</v>
      </c>
      <c r="D132" s="73">
        <v>13</v>
      </c>
      <c r="E132" s="73">
        <v>18</v>
      </c>
      <c r="F132" s="73">
        <v>11</v>
      </c>
      <c r="G132" s="73">
        <v>27</v>
      </c>
      <c r="H132" s="73">
        <v>21</v>
      </c>
      <c r="I132" s="73">
        <v>17</v>
      </c>
      <c r="J132" s="73">
        <v>16</v>
      </c>
      <c r="K132" s="196" t="s">
        <v>11</v>
      </c>
      <c r="L132" s="56" t="s">
        <v>13</v>
      </c>
      <c r="M132" s="127">
        <v>24</v>
      </c>
      <c r="N132" s="127">
        <v>20</v>
      </c>
      <c r="O132" s="127">
        <v>19</v>
      </c>
      <c r="P132" s="127">
        <v>14</v>
      </c>
      <c r="Q132" s="127">
        <v>12</v>
      </c>
      <c r="R132" s="127">
        <v>15</v>
      </c>
      <c r="S132" s="127">
        <v>8</v>
      </c>
      <c r="T132" s="130">
        <v>4</v>
      </c>
      <c r="U132" s="59">
        <f t="shared" si="18"/>
        <v>250</v>
      </c>
    </row>
    <row r="133" spans="1:40" ht="15.75" customHeight="1">
      <c r="A133" s="230"/>
      <c r="B133" s="4" t="s">
        <v>14</v>
      </c>
      <c r="C133" s="9">
        <v>7</v>
      </c>
      <c r="D133" s="9">
        <v>8</v>
      </c>
      <c r="E133" s="9">
        <v>12</v>
      </c>
      <c r="F133" s="9">
        <v>13</v>
      </c>
      <c r="G133" s="9">
        <v>6</v>
      </c>
      <c r="H133" s="9">
        <v>14</v>
      </c>
      <c r="I133" s="9">
        <v>11</v>
      </c>
      <c r="J133" s="9">
        <v>14</v>
      </c>
      <c r="K133" s="227"/>
      <c r="L133" s="4" t="s">
        <v>14</v>
      </c>
      <c r="M133" s="128">
        <v>10</v>
      </c>
      <c r="N133" s="128">
        <v>14</v>
      </c>
      <c r="O133" s="128">
        <v>7</v>
      </c>
      <c r="P133" s="128">
        <v>9</v>
      </c>
      <c r="Q133" s="128">
        <v>5</v>
      </c>
      <c r="R133" s="128">
        <v>8</v>
      </c>
      <c r="S133" s="128">
        <v>4</v>
      </c>
      <c r="T133" s="131">
        <v>3</v>
      </c>
      <c r="U133" s="59">
        <f t="shared" si="18"/>
        <v>145</v>
      </c>
    </row>
    <row r="134" spans="1:40" ht="15.75" customHeight="1">
      <c r="A134" s="230"/>
      <c r="B134" s="4" t="s">
        <v>15</v>
      </c>
      <c r="C134" s="9">
        <v>10</v>
      </c>
      <c r="D134" s="9">
        <v>15</v>
      </c>
      <c r="E134" s="9">
        <v>13</v>
      </c>
      <c r="F134" s="9">
        <v>8</v>
      </c>
      <c r="G134" s="9">
        <v>25</v>
      </c>
      <c r="H134" s="9">
        <v>14</v>
      </c>
      <c r="I134" s="9">
        <v>10</v>
      </c>
      <c r="J134" s="9">
        <v>16</v>
      </c>
      <c r="K134" s="227"/>
      <c r="L134" s="4" t="s">
        <v>15</v>
      </c>
      <c r="M134" s="128">
        <v>23</v>
      </c>
      <c r="N134" s="128">
        <v>20</v>
      </c>
      <c r="O134" s="128">
        <v>20</v>
      </c>
      <c r="P134" s="128">
        <v>17</v>
      </c>
      <c r="Q134" s="128">
        <v>12</v>
      </c>
      <c r="R134" s="128">
        <v>22</v>
      </c>
      <c r="S134" s="128">
        <v>21</v>
      </c>
      <c r="T134" s="131">
        <v>9</v>
      </c>
      <c r="U134" s="59">
        <f t="shared" si="18"/>
        <v>255</v>
      </c>
    </row>
    <row r="135" spans="1:40" ht="15.75" customHeight="1">
      <c r="A135" s="230"/>
      <c r="B135" s="4" t="s">
        <v>16</v>
      </c>
      <c r="C135" s="9">
        <v>1</v>
      </c>
      <c r="D135" s="9">
        <v>1</v>
      </c>
      <c r="E135" s="9">
        <v>4</v>
      </c>
      <c r="F135" s="9">
        <v>13</v>
      </c>
      <c r="G135" s="9">
        <v>11</v>
      </c>
      <c r="H135" s="9">
        <v>11</v>
      </c>
      <c r="I135" s="9">
        <v>8</v>
      </c>
      <c r="J135" s="9">
        <v>12</v>
      </c>
      <c r="K135" s="227"/>
      <c r="L135" s="4" t="s">
        <v>16</v>
      </c>
      <c r="M135" s="128">
        <v>2</v>
      </c>
      <c r="N135" s="128">
        <v>6</v>
      </c>
      <c r="O135" s="128">
        <v>4</v>
      </c>
      <c r="P135" s="128">
        <v>5</v>
      </c>
      <c r="Q135" s="128">
        <v>2</v>
      </c>
      <c r="R135" s="128">
        <v>2</v>
      </c>
      <c r="S135" s="128">
        <v>5</v>
      </c>
      <c r="T135" s="131">
        <v>2</v>
      </c>
      <c r="U135" s="59">
        <f t="shared" si="18"/>
        <v>89</v>
      </c>
    </row>
    <row r="136" spans="1:40" ht="15.75" customHeight="1">
      <c r="A136" s="230"/>
      <c r="B136" s="4" t="s">
        <v>17</v>
      </c>
      <c r="C136" s="9">
        <v>0</v>
      </c>
      <c r="D136" s="9">
        <v>5</v>
      </c>
      <c r="E136" s="9">
        <v>4</v>
      </c>
      <c r="F136" s="9">
        <v>11</v>
      </c>
      <c r="G136" s="9">
        <v>8</v>
      </c>
      <c r="H136" s="9">
        <v>11</v>
      </c>
      <c r="I136" s="9">
        <v>6</v>
      </c>
      <c r="J136" s="9">
        <v>5</v>
      </c>
      <c r="K136" s="227"/>
      <c r="L136" s="4" t="s">
        <v>17</v>
      </c>
      <c r="M136" s="128">
        <v>4</v>
      </c>
      <c r="N136" s="128">
        <v>5</v>
      </c>
      <c r="O136" s="128">
        <v>2</v>
      </c>
      <c r="P136" s="128">
        <v>6</v>
      </c>
      <c r="Q136" s="128">
        <v>5</v>
      </c>
      <c r="R136" s="128">
        <v>7</v>
      </c>
      <c r="S136" s="128">
        <v>4</v>
      </c>
      <c r="T136" s="131">
        <v>1</v>
      </c>
      <c r="U136" s="59">
        <f t="shared" si="18"/>
        <v>84</v>
      </c>
    </row>
    <row r="137" spans="1:40" ht="15.75" customHeight="1">
      <c r="A137" s="231"/>
      <c r="B137" s="61" t="s">
        <v>18</v>
      </c>
      <c r="C137" s="75">
        <v>6</v>
      </c>
      <c r="D137" s="75">
        <v>3</v>
      </c>
      <c r="E137" s="75">
        <v>2</v>
      </c>
      <c r="F137" s="75">
        <v>7</v>
      </c>
      <c r="G137" s="75">
        <v>12</v>
      </c>
      <c r="H137" s="75">
        <v>15</v>
      </c>
      <c r="I137" s="75">
        <v>5</v>
      </c>
      <c r="J137" s="75">
        <v>6</v>
      </c>
      <c r="K137" s="232"/>
      <c r="L137" s="61" t="s">
        <v>18</v>
      </c>
      <c r="M137" s="129">
        <v>6</v>
      </c>
      <c r="N137" s="129">
        <v>4</v>
      </c>
      <c r="O137" s="129">
        <v>5</v>
      </c>
      <c r="P137" s="129">
        <v>63</v>
      </c>
      <c r="Q137" s="129">
        <v>4</v>
      </c>
      <c r="R137" s="129">
        <v>2</v>
      </c>
      <c r="S137" s="129">
        <v>2</v>
      </c>
      <c r="T137" s="132">
        <v>2</v>
      </c>
      <c r="U137" s="59">
        <f t="shared" si="18"/>
        <v>144</v>
      </c>
    </row>
    <row r="139" spans="1:40" ht="15.75" customHeight="1">
      <c r="A139" s="1"/>
      <c r="B139" s="1"/>
      <c r="C139" s="183" t="s">
        <v>0</v>
      </c>
      <c r="D139" s="225"/>
      <c r="E139" s="225"/>
      <c r="F139" s="225"/>
      <c r="G139" s="226"/>
      <c r="H139" s="2"/>
      <c r="I139" s="1"/>
    </row>
    <row r="140" spans="1:40" ht="15.75" customHeight="1">
      <c r="A140" s="1"/>
      <c r="B140" s="183" t="s">
        <v>1</v>
      </c>
      <c r="C140" s="225"/>
      <c r="D140" s="226"/>
      <c r="E140" s="1"/>
      <c r="F140" s="184" t="s">
        <v>121</v>
      </c>
      <c r="G140" s="225"/>
      <c r="H140" s="226"/>
      <c r="I140" s="1"/>
      <c r="K140" s="1"/>
      <c r="L140" s="183" t="s">
        <v>26</v>
      </c>
      <c r="M140" s="225"/>
      <c r="N140" s="226"/>
      <c r="O140" s="1"/>
      <c r="P140" s="184" t="s">
        <v>122</v>
      </c>
      <c r="Q140" s="225"/>
      <c r="R140" s="226"/>
      <c r="S140" s="1"/>
    </row>
    <row r="141" spans="1:40" ht="15.75" customHeight="1">
      <c r="A141" s="54" t="s">
        <v>35</v>
      </c>
      <c r="B141" s="54" t="s">
        <v>4</v>
      </c>
      <c r="C141" s="54" t="s">
        <v>12</v>
      </c>
      <c r="D141" s="54" t="s">
        <v>19</v>
      </c>
      <c r="E141" s="54" t="s">
        <v>20</v>
      </c>
      <c r="F141" s="54" t="s">
        <v>21</v>
      </c>
      <c r="G141" s="54" t="s">
        <v>22</v>
      </c>
      <c r="H141" s="54" t="s">
        <v>23</v>
      </c>
      <c r="I141" s="54" t="s">
        <v>24</v>
      </c>
      <c r="J141" s="54" t="s">
        <v>25</v>
      </c>
      <c r="K141" s="54" t="s">
        <v>35</v>
      </c>
      <c r="L141" s="54" t="s">
        <v>4</v>
      </c>
      <c r="M141" s="54" t="s">
        <v>27</v>
      </c>
      <c r="N141" s="54" t="s">
        <v>28</v>
      </c>
      <c r="O141" s="54" t="s">
        <v>29</v>
      </c>
      <c r="P141" s="54" t="s">
        <v>30</v>
      </c>
      <c r="Q141" s="54" t="s">
        <v>31</v>
      </c>
      <c r="R141" s="54" t="s">
        <v>32</v>
      </c>
      <c r="S141" s="54" t="s">
        <v>33</v>
      </c>
      <c r="T141" s="54" t="s">
        <v>34</v>
      </c>
      <c r="U141" s="54" t="s">
        <v>55</v>
      </c>
    </row>
    <row r="142" spans="1:40" ht="15.75" customHeight="1">
      <c r="A142" s="195" t="s">
        <v>5</v>
      </c>
      <c r="B142" s="56" t="s">
        <v>13</v>
      </c>
      <c r="C142" s="57"/>
      <c r="D142" s="57"/>
      <c r="E142" s="56">
        <v>2</v>
      </c>
      <c r="F142" s="56">
        <v>8</v>
      </c>
      <c r="G142" s="56">
        <v>20</v>
      </c>
      <c r="H142" s="56">
        <v>22</v>
      </c>
      <c r="I142" s="56">
        <v>18</v>
      </c>
      <c r="J142" s="56">
        <v>19</v>
      </c>
      <c r="K142" s="196" t="s">
        <v>5</v>
      </c>
      <c r="L142" s="56" t="s">
        <v>13</v>
      </c>
      <c r="M142" s="56">
        <v>17</v>
      </c>
      <c r="N142" s="56">
        <v>7</v>
      </c>
      <c r="O142" s="56">
        <v>4</v>
      </c>
      <c r="P142" s="56">
        <v>6</v>
      </c>
      <c r="Q142" s="56">
        <v>3</v>
      </c>
      <c r="R142" s="57"/>
      <c r="S142" s="57"/>
      <c r="T142" s="58"/>
      <c r="U142" s="59">
        <f>SUM(M142:T142,C142:J142)</f>
        <v>126</v>
      </c>
      <c r="W142" s="197" t="s">
        <v>2</v>
      </c>
      <c r="X142" s="198"/>
      <c r="AG142" s="190" t="s">
        <v>58</v>
      </c>
      <c r="AH142" s="191"/>
      <c r="AI142" s="191"/>
      <c r="AJ142" s="191"/>
      <c r="AK142" s="191"/>
      <c r="AL142" s="191"/>
      <c r="AM142" s="191"/>
      <c r="AN142" s="192"/>
    </row>
    <row r="143" spans="1:40" ht="15.75" customHeight="1">
      <c r="A143" s="230"/>
      <c r="B143" s="4" t="s">
        <v>14</v>
      </c>
      <c r="C143" s="5"/>
      <c r="D143" s="5"/>
      <c r="E143" s="4">
        <v>2</v>
      </c>
      <c r="F143" s="4">
        <v>5</v>
      </c>
      <c r="G143" s="4">
        <v>6</v>
      </c>
      <c r="H143" s="4">
        <v>4</v>
      </c>
      <c r="I143" s="4">
        <v>6</v>
      </c>
      <c r="J143" s="4">
        <v>4</v>
      </c>
      <c r="K143" s="227"/>
      <c r="L143" s="4" t="s">
        <v>14</v>
      </c>
      <c r="M143" s="4">
        <v>4</v>
      </c>
      <c r="N143" s="4">
        <v>3</v>
      </c>
      <c r="O143" s="4">
        <v>4</v>
      </c>
      <c r="P143" s="4">
        <v>2</v>
      </c>
      <c r="Q143" s="4">
        <v>0</v>
      </c>
      <c r="R143" s="5"/>
      <c r="S143" s="5"/>
      <c r="T143" s="49"/>
      <c r="U143" s="59">
        <f t="shared" ref="U143:U183" si="26">SUM(M143:T143,C143:J143)</f>
        <v>40</v>
      </c>
      <c r="W143" s="55" t="s">
        <v>5</v>
      </c>
      <c r="X143" s="48">
        <f>SUM(U142:U147)</f>
        <v>428</v>
      </c>
      <c r="AG143" s="98" t="s">
        <v>4</v>
      </c>
      <c r="AH143" s="98" t="s">
        <v>5</v>
      </c>
      <c r="AI143" s="98" t="s">
        <v>6</v>
      </c>
      <c r="AJ143" s="98" t="s">
        <v>7</v>
      </c>
      <c r="AK143" s="98" t="s">
        <v>8</v>
      </c>
      <c r="AL143" s="98" t="s">
        <v>9</v>
      </c>
      <c r="AM143" s="98" t="s">
        <v>10</v>
      </c>
      <c r="AN143" s="98" t="s">
        <v>11</v>
      </c>
    </row>
    <row r="144" spans="1:40" ht="15.75" customHeight="1">
      <c r="A144" s="230"/>
      <c r="B144" s="4" t="s">
        <v>15</v>
      </c>
      <c r="C144" s="5"/>
      <c r="D144" s="5"/>
      <c r="E144" s="4">
        <v>3</v>
      </c>
      <c r="F144" s="4">
        <v>7</v>
      </c>
      <c r="G144" s="4">
        <v>7</v>
      </c>
      <c r="H144" s="4">
        <v>13</v>
      </c>
      <c r="I144" s="4">
        <v>26</v>
      </c>
      <c r="J144" s="4">
        <v>24</v>
      </c>
      <c r="K144" s="227"/>
      <c r="L144" s="4" t="s">
        <v>15</v>
      </c>
      <c r="M144" s="4">
        <v>23</v>
      </c>
      <c r="N144" s="4">
        <v>13</v>
      </c>
      <c r="O144" s="4">
        <v>12</v>
      </c>
      <c r="P144" s="4">
        <v>10</v>
      </c>
      <c r="Q144" s="4">
        <v>8</v>
      </c>
      <c r="R144" s="5"/>
      <c r="S144" s="5"/>
      <c r="T144" s="49"/>
      <c r="U144" s="59">
        <f t="shared" si="26"/>
        <v>146</v>
      </c>
      <c r="W144" s="55" t="s">
        <v>6</v>
      </c>
      <c r="X144" s="48">
        <f>SUM(U148:U153)</f>
        <v>488</v>
      </c>
      <c r="AG144" s="79" t="s">
        <v>13</v>
      </c>
      <c r="AH144" s="79">
        <f t="shared" ref="AH144:AH149" si="27">U142</f>
        <v>126</v>
      </c>
      <c r="AI144" s="79">
        <f t="shared" ref="AI144:AI149" si="28">U148</f>
        <v>161</v>
      </c>
      <c r="AJ144" s="79">
        <f t="shared" ref="AJ144:AJ149" si="29">U154</f>
        <v>418</v>
      </c>
      <c r="AK144" s="79">
        <f t="shared" ref="AK144:AK149" si="30">U160</f>
        <v>356</v>
      </c>
      <c r="AL144" s="79">
        <f t="shared" ref="AL144:AL149" si="31">U166</f>
        <v>368</v>
      </c>
      <c r="AM144" s="79">
        <f t="shared" ref="AM144:AM149" si="32">U172</f>
        <v>328</v>
      </c>
      <c r="AN144" s="79">
        <f t="shared" ref="AN144:AN149" si="33">U178</f>
        <v>283</v>
      </c>
    </row>
    <row r="145" spans="1:40" ht="15.75" customHeight="1">
      <c r="A145" s="230"/>
      <c r="B145" s="4" t="s">
        <v>16</v>
      </c>
      <c r="C145" s="5"/>
      <c r="D145" s="5"/>
      <c r="E145" s="4">
        <v>2</v>
      </c>
      <c r="F145" s="4">
        <v>0</v>
      </c>
      <c r="G145" s="4">
        <v>5</v>
      </c>
      <c r="H145" s="4">
        <v>7</v>
      </c>
      <c r="I145" s="4">
        <v>6</v>
      </c>
      <c r="J145" s="4">
        <v>5</v>
      </c>
      <c r="K145" s="227"/>
      <c r="L145" s="4" t="s">
        <v>16</v>
      </c>
      <c r="M145" s="4">
        <v>4</v>
      </c>
      <c r="N145" s="4">
        <v>3</v>
      </c>
      <c r="O145" s="4">
        <v>1</v>
      </c>
      <c r="P145" s="4">
        <v>3</v>
      </c>
      <c r="Q145" s="4">
        <v>1</v>
      </c>
      <c r="R145" s="5"/>
      <c r="S145" s="5"/>
      <c r="T145" s="49"/>
      <c r="U145" s="59">
        <f t="shared" si="26"/>
        <v>37</v>
      </c>
      <c r="W145" s="55" t="s">
        <v>7</v>
      </c>
      <c r="X145" s="48">
        <f>SUM(U154:U159)</f>
        <v>1422</v>
      </c>
      <c r="AG145" s="97" t="s">
        <v>14</v>
      </c>
      <c r="AH145" s="97">
        <f t="shared" si="27"/>
        <v>40</v>
      </c>
      <c r="AI145" s="97">
        <f t="shared" si="28"/>
        <v>53</v>
      </c>
      <c r="AJ145" s="97">
        <f t="shared" si="29"/>
        <v>186</v>
      </c>
      <c r="AK145" s="97">
        <f t="shared" si="30"/>
        <v>141</v>
      </c>
      <c r="AL145" s="97">
        <f t="shared" si="31"/>
        <v>181</v>
      </c>
      <c r="AM145" s="97">
        <f t="shared" si="32"/>
        <v>140</v>
      </c>
      <c r="AN145" s="97">
        <f t="shared" si="33"/>
        <v>138</v>
      </c>
    </row>
    <row r="146" spans="1:40" ht="15.75" customHeight="1">
      <c r="A146" s="230"/>
      <c r="B146" s="4" t="s">
        <v>17</v>
      </c>
      <c r="C146" s="5"/>
      <c r="D146" s="5"/>
      <c r="E146" s="4">
        <v>0</v>
      </c>
      <c r="F146" s="4">
        <v>2</v>
      </c>
      <c r="G146" s="4">
        <v>4</v>
      </c>
      <c r="H146" s="4">
        <v>3</v>
      </c>
      <c r="I146" s="4">
        <v>4</v>
      </c>
      <c r="J146" s="4">
        <v>8</v>
      </c>
      <c r="K146" s="227"/>
      <c r="L146" s="4" t="s">
        <v>17</v>
      </c>
      <c r="M146" s="4">
        <v>4</v>
      </c>
      <c r="N146" s="4">
        <v>1</v>
      </c>
      <c r="O146" s="4">
        <v>3</v>
      </c>
      <c r="P146" s="4">
        <v>2</v>
      </c>
      <c r="Q146" s="4">
        <v>1</v>
      </c>
      <c r="R146" s="5"/>
      <c r="S146" s="5"/>
      <c r="T146" s="49"/>
      <c r="U146" s="59">
        <f t="shared" si="26"/>
        <v>32</v>
      </c>
      <c r="W146" s="55" t="s">
        <v>61</v>
      </c>
      <c r="X146" s="48">
        <f>SUM(U160:U165)</f>
        <v>1112</v>
      </c>
      <c r="AG146" s="79" t="s">
        <v>15</v>
      </c>
      <c r="AH146" s="79">
        <f t="shared" si="27"/>
        <v>146</v>
      </c>
      <c r="AI146" s="79">
        <f t="shared" si="28"/>
        <v>148</v>
      </c>
      <c r="AJ146" s="79">
        <f t="shared" si="29"/>
        <v>391</v>
      </c>
      <c r="AK146" s="79">
        <f t="shared" si="30"/>
        <v>307</v>
      </c>
      <c r="AL146" s="79">
        <f t="shared" si="31"/>
        <v>293</v>
      </c>
      <c r="AM146" s="79">
        <f t="shared" si="32"/>
        <v>294</v>
      </c>
      <c r="AN146" s="79">
        <f t="shared" si="33"/>
        <v>246</v>
      </c>
    </row>
    <row r="147" spans="1:40" ht="15.75" customHeight="1">
      <c r="A147" s="230"/>
      <c r="B147" s="46" t="s">
        <v>18</v>
      </c>
      <c r="C147" s="64"/>
      <c r="D147" s="64"/>
      <c r="E147" s="46">
        <v>3</v>
      </c>
      <c r="F147" s="46">
        <v>5</v>
      </c>
      <c r="G147" s="46">
        <v>4</v>
      </c>
      <c r="H147" s="46">
        <v>4</v>
      </c>
      <c r="I147" s="46">
        <v>2</v>
      </c>
      <c r="J147" s="46">
        <v>6</v>
      </c>
      <c r="K147" s="227"/>
      <c r="L147" s="46" t="s">
        <v>18</v>
      </c>
      <c r="M147" s="46">
        <v>9</v>
      </c>
      <c r="N147" s="46">
        <v>4</v>
      </c>
      <c r="O147" s="46">
        <v>4</v>
      </c>
      <c r="P147" s="46">
        <v>5</v>
      </c>
      <c r="Q147" s="46">
        <v>1</v>
      </c>
      <c r="R147" s="64"/>
      <c r="S147" s="64"/>
      <c r="T147" s="65"/>
      <c r="U147" s="59">
        <f t="shared" si="26"/>
        <v>47</v>
      </c>
      <c r="W147" s="55" t="s">
        <v>9</v>
      </c>
      <c r="X147" s="48">
        <f>SUM(U166:U171)</f>
        <v>1196</v>
      </c>
      <c r="AG147" s="97" t="s">
        <v>16</v>
      </c>
      <c r="AH147" s="97">
        <f t="shared" si="27"/>
        <v>37</v>
      </c>
      <c r="AI147" s="97">
        <f t="shared" si="28"/>
        <v>40</v>
      </c>
      <c r="AJ147" s="97">
        <f t="shared" si="29"/>
        <v>132</v>
      </c>
      <c r="AK147" s="97">
        <f t="shared" si="30"/>
        <v>101</v>
      </c>
      <c r="AL147" s="97">
        <f t="shared" si="31"/>
        <v>114</v>
      </c>
      <c r="AM147" s="97">
        <f t="shared" si="32"/>
        <v>129</v>
      </c>
      <c r="AN147" s="97">
        <f t="shared" si="33"/>
        <v>99</v>
      </c>
    </row>
    <row r="148" spans="1:40" ht="15.75" customHeight="1">
      <c r="A148" s="193" t="s">
        <v>6</v>
      </c>
      <c r="B148" s="63" t="s">
        <v>13</v>
      </c>
      <c r="C148" s="57"/>
      <c r="D148" s="57"/>
      <c r="E148" s="57"/>
      <c r="F148" s="63">
        <v>21</v>
      </c>
      <c r="G148" s="63">
        <v>24</v>
      </c>
      <c r="H148" s="63">
        <v>15</v>
      </c>
      <c r="I148" s="63">
        <v>24</v>
      </c>
      <c r="J148" s="63">
        <v>15</v>
      </c>
      <c r="K148" s="194" t="s">
        <v>6</v>
      </c>
      <c r="L148" s="63" t="s">
        <v>13</v>
      </c>
      <c r="M148" s="63">
        <v>16</v>
      </c>
      <c r="N148" s="63">
        <v>14</v>
      </c>
      <c r="O148" s="63">
        <v>14</v>
      </c>
      <c r="P148" s="63">
        <v>18</v>
      </c>
      <c r="Q148" s="57"/>
      <c r="R148" s="57"/>
      <c r="S148" s="57"/>
      <c r="T148" s="58"/>
      <c r="U148" s="59">
        <f t="shared" si="26"/>
        <v>161</v>
      </c>
      <c r="W148" s="55" t="s">
        <v>10</v>
      </c>
      <c r="X148" s="48">
        <f>SUM(U172:U177)</f>
        <v>1133</v>
      </c>
      <c r="AG148" s="79" t="s">
        <v>17</v>
      </c>
      <c r="AH148" s="79">
        <f t="shared" si="27"/>
        <v>32</v>
      </c>
      <c r="AI148" s="79">
        <f t="shared" si="28"/>
        <v>42</v>
      </c>
      <c r="AJ148" s="79">
        <f t="shared" si="29"/>
        <v>124</v>
      </c>
      <c r="AK148" s="79">
        <f t="shared" si="30"/>
        <v>96</v>
      </c>
      <c r="AL148" s="79">
        <f t="shared" si="31"/>
        <v>120</v>
      </c>
      <c r="AM148" s="79">
        <f t="shared" si="32"/>
        <v>132</v>
      </c>
      <c r="AN148" s="79">
        <f t="shared" si="33"/>
        <v>80</v>
      </c>
    </row>
    <row r="149" spans="1:40" ht="15.75" customHeight="1">
      <c r="A149" s="230"/>
      <c r="B149" s="6" t="s">
        <v>14</v>
      </c>
      <c r="C149" s="5"/>
      <c r="D149" s="5"/>
      <c r="E149" s="5"/>
      <c r="F149" s="6">
        <v>7</v>
      </c>
      <c r="G149" s="6">
        <v>4</v>
      </c>
      <c r="H149" s="6">
        <v>5</v>
      </c>
      <c r="I149" s="6">
        <v>5</v>
      </c>
      <c r="J149" s="6">
        <v>7</v>
      </c>
      <c r="K149" s="227"/>
      <c r="L149" s="6" t="s">
        <v>14</v>
      </c>
      <c r="M149" s="6">
        <v>7</v>
      </c>
      <c r="N149" s="6">
        <v>9</v>
      </c>
      <c r="O149" s="6">
        <v>6</v>
      </c>
      <c r="P149" s="6">
        <v>3</v>
      </c>
      <c r="Q149" s="5"/>
      <c r="R149" s="5"/>
      <c r="S149" s="5"/>
      <c r="T149" s="49"/>
      <c r="U149" s="59">
        <f t="shared" si="26"/>
        <v>53</v>
      </c>
      <c r="W149" s="81" t="s">
        <v>11</v>
      </c>
      <c r="X149" s="80">
        <f>SUM(U178:U183)</f>
        <v>922</v>
      </c>
      <c r="AG149" s="97" t="s">
        <v>18</v>
      </c>
      <c r="AH149" s="97">
        <f t="shared" si="27"/>
        <v>47</v>
      </c>
      <c r="AI149" s="97">
        <f t="shared" si="28"/>
        <v>44</v>
      </c>
      <c r="AJ149" s="97">
        <f t="shared" si="29"/>
        <v>171</v>
      </c>
      <c r="AK149" s="97">
        <f t="shared" si="30"/>
        <v>111</v>
      </c>
      <c r="AL149" s="97">
        <f t="shared" si="31"/>
        <v>120</v>
      </c>
      <c r="AM149" s="97">
        <f t="shared" si="32"/>
        <v>110</v>
      </c>
      <c r="AN149" s="97">
        <f t="shared" si="33"/>
        <v>76</v>
      </c>
    </row>
    <row r="150" spans="1:40" ht="15.75" customHeight="1">
      <c r="A150" s="230"/>
      <c r="B150" s="6" t="s">
        <v>15</v>
      </c>
      <c r="C150" s="5"/>
      <c r="D150" s="5"/>
      <c r="E150" s="5"/>
      <c r="F150" s="6">
        <v>24</v>
      </c>
      <c r="G150" s="6">
        <v>22</v>
      </c>
      <c r="H150" s="6">
        <v>20</v>
      </c>
      <c r="I150" s="6">
        <v>23</v>
      </c>
      <c r="J150" s="6">
        <v>18</v>
      </c>
      <c r="K150" s="227"/>
      <c r="L150" s="6" t="s">
        <v>15</v>
      </c>
      <c r="M150" s="6">
        <v>13</v>
      </c>
      <c r="N150" s="6">
        <v>11</v>
      </c>
      <c r="O150" s="6">
        <v>8</v>
      </c>
      <c r="P150" s="6">
        <v>9</v>
      </c>
      <c r="Q150" s="5"/>
      <c r="R150" s="5"/>
      <c r="S150" s="5"/>
      <c r="T150" s="49"/>
      <c r="U150" s="59">
        <f t="shared" si="26"/>
        <v>148</v>
      </c>
      <c r="W150" s="79" t="s">
        <v>63</v>
      </c>
      <c r="X150" s="82">
        <f>SUM(X143:X149)</f>
        <v>6701</v>
      </c>
    </row>
    <row r="151" spans="1:40" ht="15.75" customHeight="1">
      <c r="A151" s="230"/>
      <c r="B151" s="6" t="s">
        <v>16</v>
      </c>
      <c r="C151" s="5"/>
      <c r="D151" s="5"/>
      <c r="E151" s="5"/>
      <c r="F151" s="6">
        <v>2</v>
      </c>
      <c r="G151" s="6">
        <v>5</v>
      </c>
      <c r="H151" s="6">
        <v>7</v>
      </c>
      <c r="I151" s="6">
        <v>6</v>
      </c>
      <c r="J151" s="6">
        <v>5</v>
      </c>
      <c r="K151" s="227"/>
      <c r="L151" s="6" t="s">
        <v>16</v>
      </c>
      <c r="M151" s="6">
        <v>5</v>
      </c>
      <c r="N151" s="6">
        <v>3</v>
      </c>
      <c r="O151" s="6">
        <v>4</v>
      </c>
      <c r="P151" s="6">
        <v>3</v>
      </c>
      <c r="Q151" s="5"/>
      <c r="R151" s="5"/>
      <c r="S151" s="5"/>
      <c r="T151" s="49"/>
      <c r="U151" s="59">
        <f t="shared" si="26"/>
        <v>40</v>
      </c>
    </row>
    <row r="152" spans="1:40" ht="15.75" customHeight="1">
      <c r="A152" s="230"/>
      <c r="B152" s="6" t="s">
        <v>17</v>
      </c>
      <c r="C152" s="5"/>
      <c r="D152" s="5"/>
      <c r="E152" s="5"/>
      <c r="F152" s="6">
        <v>6</v>
      </c>
      <c r="G152" s="6">
        <v>4</v>
      </c>
      <c r="H152" s="6">
        <v>10</v>
      </c>
      <c r="I152" s="6">
        <v>6</v>
      </c>
      <c r="J152" s="6">
        <v>3</v>
      </c>
      <c r="K152" s="227"/>
      <c r="L152" s="6" t="s">
        <v>17</v>
      </c>
      <c r="M152" s="6">
        <v>6</v>
      </c>
      <c r="N152" s="6">
        <v>2</v>
      </c>
      <c r="O152" s="6">
        <v>3</v>
      </c>
      <c r="P152" s="6">
        <v>2</v>
      </c>
      <c r="Q152" s="5"/>
      <c r="R152" s="5"/>
      <c r="S152" s="5"/>
      <c r="T152" s="49"/>
      <c r="U152" s="59">
        <f t="shared" si="26"/>
        <v>42</v>
      </c>
    </row>
    <row r="153" spans="1:40" ht="15.75" customHeight="1">
      <c r="A153" s="230"/>
      <c r="B153" s="47" t="s">
        <v>18</v>
      </c>
      <c r="C153" s="64"/>
      <c r="D153" s="64"/>
      <c r="E153" s="64"/>
      <c r="F153" s="47">
        <v>3</v>
      </c>
      <c r="G153" s="47">
        <v>5</v>
      </c>
      <c r="H153" s="47">
        <v>10</v>
      </c>
      <c r="I153" s="47">
        <v>7</v>
      </c>
      <c r="J153" s="47">
        <v>7</v>
      </c>
      <c r="K153" s="227"/>
      <c r="L153" s="47" t="s">
        <v>18</v>
      </c>
      <c r="M153" s="47">
        <v>4</v>
      </c>
      <c r="N153" s="47">
        <v>4</v>
      </c>
      <c r="O153" s="47">
        <v>2</v>
      </c>
      <c r="P153" s="47">
        <v>2</v>
      </c>
      <c r="Q153" s="64"/>
      <c r="R153" s="64"/>
      <c r="S153" s="64"/>
      <c r="T153" s="65"/>
      <c r="U153" s="59">
        <f t="shared" si="26"/>
        <v>44</v>
      </c>
    </row>
    <row r="154" spans="1:40" ht="15.75" customHeight="1">
      <c r="A154" s="195" t="s">
        <v>7</v>
      </c>
      <c r="B154" s="56" t="s">
        <v>13</v>
      </c>
      <c r="C154" s="56">
        <v>21</v>
      </c>
      <c r="D154" s="56">
        <v>19</v>
      </c>
      <c r="E154" s="56">
        <v>20</v>
      </c>
      <c r="F154" s="56">
        <v>22</v>
      </c>
      <c r="G154" s="56">
        <v>31</v>
      </c>
      <c r="H154" s="56">
        <v>32</v>
      </c>
      <c r="I154" s="56">
        <v>40</v>
      </c>
      <c r="J154" s="56">
        <v>19</v>
      </c>
      <c r="K154" s="196" t="s">
        <v>7</v>
      </c>
      <c r="L154" s="56" t="s">
        <v>13</v>
      </c>
      <c r="M154" s="56">
        <v>28</v>
      </c>
      <c r="N154" s="56">
        <v>25</v>
      </c>
      <c r="O154" s="56">
        <v>20</v>
      </c>
      <c r="P154" s="56">
        <v>38</v>
      </c>
      <c r="Q154" s="56">
        <v>33</v>
      </c>
      <c r="R154" s="56">
        <v>37</v>
      </c>
      <c r="S154" s="56">
        <v>20</v>
      </c>
      <c r="T154" s="67">
        <v>13</v>
      </c>
      <c r="U154" s="59">
        <f t="shared" si="26"/>
        <v>418</v>
      </c>
    </row>
    <row r="155" spans="1:40" ht="15.75" customHeight="1">
      <c r="A155" s="230"/>
      <c r="B155" s="4" t="s">
        <v>14</v>
      </c>
      <c r="C155" s="4">
        <v>8</v>
      </c>
      <c r="D155" s="4">
        <v>11</v>
      </c>
      <c r="E155" s="4">
        <v>14</v>
      </c>
      <c r="F155" s="4">
        <v>8</v>
      </c>
      <c r="G155" s="4">
        <v>15</v>
      </c>
      <c r="H155" s="4">
        <v>14</v>
      </c>
      <c r="I155" s="4">
        <v>17</v>
      </c>
      <c r="J155" s="4">
        <v>14</v>
      </c>
      <c r="K155" s="227"/>
      <c r="L155" s="4" t="s">
        <v>14</v>
      </c>
      <c r="M155" s="4">
        <v>12</v>
      </c>
      <c r="N155" s="4">
        <v>14</v>
      </c>
      <c r="O155" s="4">
        <v>14</v>
      </c>
      <c r="P155" s="4">
        <v>21</v>
      </c>
      <c r="Q155" s="4">
        <v>8</v>
      </c>
      <c r="R155" s="4">
        <v>10</v>
      </c>
      <c r="S155" s="4">
        <v>2</v>
      </c>
      <c r="T155" s="50">
        <v>4</v>
      </c>
      <c r="U155" s="59">
        <f t="shared" si="26"/>
        <v>186</v>
      </c>
    </row>
    <row r="156" spans="1:40" ht="15.75" customHeight="1">
      <c r="A156" s="230"/>
      <c r="B156" s="4" t="s">
        <v>15</v>
      </c>
      <c r="C156" s="4">
        <v>27</v>
      </c>
      <c r="D156" s="4">
        <v>25</v>
      </c>
      <c r="E156" s="4">
        <v>25</v>
      </c>
      <c r="F156" s="4">
        <v>22</v>
      </c>
      <c r="G156" s="4">
        <v>34</v>
      </c>
      <c r="H156" s="4">
        <v>22</v>
      </c>
      <c r="I156" s="4">
        <v>18</v>
      </c>
      <c r="J156" s="4">
        <v>23</v>
      </c>
      <c r="K156" s="227"/>
      <c r="L156" s="4" t="s">
        <v>15</v>
      </c>
      <c r="M156" s="4">
        <v>20</v>
      </c>
      <c r="N156" s="4">
        <v>19</v>
      </c>
      <c r="O156" s="4">
        <v>25</v>
      </c>
      <c r="P156" s="4">
        <v>28</v>
      </c>
      <c r="Q156" s="4">
        <v>40</v>
      </c>
      <c r="R156" s="4">
        <v>8</v>
      </c>
      <c r="S156" s="4">
        <v>28</v>
      </c>
      <c r="T156" s="50">
        <v>27</v>
      </c>
      <c r="U156" s="59">
        <f t="shared" si="26"/>
        <v>391</v>
      </c>
    </row>
    <row r="157" spans="1:40" ht="15.75" customHeight="1">
      <c r="A157" s="230"/>
      <c r="B157" s="4" t="s">
        <v>16</v>
      </c>
      <c r="C157" s="4">
        <v>3</v>
      </c>
      <c r="D157" s="4">
        <v>4</v>
      </c>
      <c r="E157" s="4">
        <v>8</v>
      </c>
      <c r="F157" s="4">
        <v>15</v>
      </c>
      <c r="G157" s="4">
        <v>14</v>
      </c>
      <c r="H157" s="4">
        <v>13</v>
      </c>
      <c r="I157" s="4">
        <v>12</v>
      </c>
      <c r="J157" s="4">
        <v>10</v>
      </c>
      <c r="K157" s="227"/>
      <c r="L157" s="4" t="s">
        <v>16</v>
      </c>
      <c r="M157" s="4">
        <v>8</v>
      </c>
      <c r="N157" s="4">
        <v>7</v>
      </c>
      <c r="O157" s="4">
        <v>5</v>
      </c>
      <c r="P157" s="4">
        <v>12</v>
      </c>
      <c r="Q157" s="4">
        <v>9</v>
      </c>
      <c r="R157" s="4">
        <v>8</v>
      </c>
      <c r="S157" s="4">
        <v>4</v>
      </c>
      <c r="T157" s="50">
        <v>0</v>
      </c>
      <c r="U157" s="59">
        <f t="shared" si="26"/>
        <v>132</v>
      </c>
    </row>
    <row r="158" spans="1:40" ht="15.75" customHeight="1">
      <c r="A158" s="230"/>
      <c r="B158" s="4" t="s">
        <v>17</v>
      </c>
      <c r="C158" s="4">
        <v>5</v>
      </c>
      <c r="D158" s="4">
        <v>5</v>
      </c>
      <c r="E158" s="4">
        <v>2</v>
      </c>
      <c r="F158" s="4">
        <v>5</v>
      </c>
      <c r="G158" s="4">
        <v>5</v>
      </c>
      <c r="H158" s="4">
        <v>14</v>
      </c>
      <c r="I158" s="4">
        <v>7</v>
      </c>
      <c r="J158" s="4">
        <v>5</v>
      </c>
      <c r="K158" s="227"/>
      <c r="L158" s="4" t="s">
        <v>17</v>
      </c>
      <c r="M158" s="4">
        <v>5</v>
      </c>
      <c r="N158" s="4">
        <v>7</v>
      </c>
      <c r="O158" s="4">
        <v>7</v>
      </c>
      <c r="P158" s="4">
        <v>14</v>
      </c>
      <c r="Q158" s="4">
        <v>14</v>
      </c>
      <c r="R158" s="4">
        <v>17</v>
      </c>
      <c r="S158" s="4">
        <v>6</v>
      </c>
      <c r="T158" s="50">
        <v>6</v>
      </c>
      <c r="U158" s="59">
        <f t="shared" si="26"/>
        <v>124</v>
      </c>
    </row>
    <row r="159" spans="1:40" ht="15.75" customHeight="1">
      <c r="A159" s="230"/>
      <c r="B159" s="46" t="s">
        <v>18</v>
      </c>
      <c r="C159" s="46">
        <v>18</v>
      </c>
      <c r="D159" s="46">
        <v>8</v>
      </c>
      <c r="E159" s="46">
        <v>15</v>
      </c>
      <c r="F159" s="46">
        <v>8</v>
      </c>
      <c r="G159" s="46">
        <v>17</v>
      </c>
      <c r="H159" s="46">
        <v>19</v>
      </c>
      <c r="I159" s="46">
        <v>21</v>
      </c>
      <c r="J159" s="46">
        <v>6</v>
      </c>
      <c r="K159" s="227"/>
      <c r="L159" s="46" t="s">
        <v>18</v>
      </c>
      <c r="M159" s="46">
        <v>5</v>
      </c>
      <c r="N159" s="46">
        <v>3</v>
      </c>
      <c r="O159" s="46">
        <v>3</v>
      </c>
      <c r="P159" s="46">
        <v>8</v>
      </c>
      <c r="Q159" s="46">
        <v>14</v>
      </c>
      <c r="R159" s="46">
        <v>14</v>
      </c>
      <c r="S159" s="46">
        <v>4</v>
      </c>
      <c r="T159" s="69">
        <v>8</v>
      </c>
      <c r="U159" s="59">
        <f t="shared" si="26"/>
        <v>171</v>
      </c>
    </row>
    <row r="160" spans="1:40" ht="15.75" customHeight="1">
      <c r="A160" s="193" t="s">
        <v>8</v>
      </c>
      <c r="B160" s="63" t="s">
        <v>13</v>
      </c>
      <c r="C160" s="63">
        <v>19</v>
      </c>
      <c r="D160" s="63">
        <v>20</v>
      </c>
      <c r="E160" s="63">
        <v>21</v>
      </c>
      <c r="F160" s="63">
        <v>20</v>
      </c>
      <c r="G160" s="63">
        <v>33</v>
      </c>
      <c r="H160" s="63">
        <v>29</v>
      </c>
      <c r="I160" s="63">
        <v>37</v>
      </c>
      <c r="J160" s="63">
        <v>14</v>
      </c>
      <c r="K160" s="194" t="s">
        <v>8</v>
      </c>
      <c r="L160" s="63" t="s">
        <v>13</v>
      </c>
      <c r="M160" s="63">
        <v>18</v>
      </c>
      <c r="N160" s="63">
        <v>15</v>
      </c>
      <c r="O160" s="63">
        <v>24</v>
      </c>
      <c r="P160" s="63">
        <v>21</v>
      </c>
      <c r="Q160" s="63">
        <v>26</v>
      </c>
      <c r="R160" s="63">
        <v>34</v>
      </c>
      <c r="S160" s="63">
        <v>18</v>
      </c>
      <c r="T160" s="68">
        <v>7</v>
      </c>
      <c r="U160" s="59">
        <f t="shared" si="26"/>
        <v>356</v>
      </c>
    </row>
    <row r="161" spans="1:21" ht="15.75" customHeight="1">
      <c r="A161" s="230"/>
      <c r="B161" s="6" t="s">
        <v>14</v>
      </c>
      <c r="C161" s="6">
        <v>5</v>
      </c>
      <c r="D161" s="6">
        <v>4</v>
      </c>
      <c r="E161" s="6">
        <v>9</v>
      </c>
      <c r="F161" s="6">
        <v>12</v>
      </c>
      <c r="G161" s="6">
        <v>14</v>
      </c>
      <c r="H161" s="6">
        <v>14</v>
      </c>
      <c r="I161" s="6">
        <v>17</v>
      </c>
      <c r="J161" s="6">
        <v>10</v>
      </c>
      <c r="K161" s="227"/>
      <c r="L161" s="6" t="s">
        <v>14</v>
      </c>
      <c r="M161" s="6">
        <v>12</v>
      </c>
      <c r="N161" s="6">
        <v>10</v>
      </c>
      <c r="O161" s="6">
        <v>10</v>
      </c>
      <c r="P161" s="6">
        <v>8</v>
      </c>
      <c r="Q161" s="6">
        <v>9</v>
      </c>
      <c r="R161" s="6">
        <v>3</v>
      </c>
      <c r="S161" s="6">
        <v>2</v>
      </c>
      <c r="T161" s="51">
        <v>2</v>
      </c>
      <c r="U161" s="59">
        <f t="shared" si="26"/>
        <v>141</v>
      </c>
    </row>
    <row r="162" spans="1:21" ht="15.75" customHeight="1">
      <c r="A162" s="230"/>
      <c r="B162" s="6" t="s">
        <v>15</v>
      </c>
      <c r="C162" s="6">
        <v>20</v>
      </c>
      <c r="D162" s="6">
        <v>19</v>
      </c>
      <c r="E162" s="6">
        <v>16</v>
      </c>
      <c r="F162" s="6">
        <v>15</v>
      </c>
      <c r="G162" s="6">
        <v>26</v>
      </c>
      <c r="H162" s="6">
        <v>19</v>
      </c>
      <c r="I162" s="6">
        <v>19</v>
      </c>
      <c r="J162" s="6">
        <v>13</v>
      </c>
      <c r="K162" s="227"/>
      <c r="L162" s="6" t="s">
        <v>15</v>
      </c>
      <c r="M162" s="6">
        <v>13</v>
      </c>
      <c r="N162" s="6">
        <v>18</v>
      </c>
      <c r="O162" s="6">
        <v>15</v>
      </c>
      <c r="P162" s="6">
        <v>25</v>
      </c>
      <c r="Q162" s="6">
        <v>24</v>
      </c>
      <c r="R162" s="6">
        <v>31</v>
      </c>
      <c r="S162" s="6">
        <v>24</v>
      </c>
      <c r="T162" s="51">
        <v>10</v>
      </c>
      <c r="U162" s="59">
        <f t="shared" si="26"/>
        <v>307</v>
      </c>
    </row>
    <row r="163" spans="1:21" ht="15.75" customHeight="1">
      <c r="A163" s="230"/>
      <c r="B163" s="6" t="s">
        <v>16</v>
      </c>
      <c r="C163" s="6">
        <v>6</v>
      </c>
      <c r="D163" s="6">
        <v>5</v>
      </c>
      <c r="E163" s="6">
        <v>8</v>
      </c>
      <c r="F163" s="6">
        <v>7</v>
      </c>
      <c r="G163" s="6">
        <v>17</v>
      </c>
      <c r="H163" s="6">
        <v>6</v>
      </c>
      <c r="I163" s="6">
        <v>10</v>
      </c>
      <c r="J163" s="6">
        <v>5</v>
      </c>
      <c r="K163" s="227"/>
      <c r="L163" s="6" t="s">
        <v>16</v>
      </c>
      <c r="M163" s="6">
        <v>5</v>
      </c>
      <c r="N163" s="6">
        <v>3</v>
      </c>
      <c r="O163" s="6">
        <v>5</v>
      </c>
      <c r="P163" s="6">
        <v>1</v>
      </c>
      <c r="Q163" s="6">
        <v>7</v>
      </c>
      <c r="R163" s="6">
        <v>6</v>
      </c>
      <c r="S163" s="6">
        <v>6</v>
      </c>
      <c r="T163" s="51">
        <v>4</v>
      </c>
      <c r="U163" s="59">
        <f t="shared" si="26"/>
        <v>101</v>
      </c>
    </row>
    <row r="164" spans="1:21" ht="15.75" customHeight="1">
      <c r="A164" s="230"/>
      <c r="B164" s="6" t="s">
        <v>17</v>
      </c>
      <c r="C164" s="6">
        <v>11</v>
      </c>
      <c r="D164" s="6">
        <v>6</v>
      </c>
      <c r="E164" s="6">
        <v>7</v>
      </c>
      <c r="F164" s="6">
        <v>8</v>
      </c>
      <c r="G164" s="6">
        <v>9</v>
      </c>
      <c r="H164" s="6">
        <v>7</v>
      </c>
      <c r="I164" s="6">
        <v>6</v>
      </c>
      <c r="J164" s="6">
        <v>6</v>
      </c>
      <c r="K164" s="227"/>
      <c r="L164" s="6" t="s">
        <v>17</v>
      </c>
      <c r="M164" s="6">
        <v>2</v>
      </c>
      <c r="N164" s="6">
        <v>2</v>
      </c>
      <c r="O164" s="6">
        <v>5</v>
      </c>
      <c r="P164" s="6">
        <v>6</v>
      </c>
      <c r="Q164" s="6">
        <v>9</v>
      </c>
      <c r="R164" s="6">
        <v>6</v>
      </c>
      <c r="S164" s="6">
        <v>3</v>
      </c>
      <c r="T164" s="51">
        <v>3</v>
      </c>
      <c r="U164" s="59">
        <f t="shared" si="26"/>
        <v>96</v>
      </c>
    </row>
    <row r="165" spans="1:21" ht="15.75" customHeight="1">
      <c r="A165" s="230"/>
      <c r="B165" s="47" t="s">
        <v>18</v>
      </c>
      <c r="C165" s="47">
        <v>17</v>
      </c>
      <c r="D165" s="47">
        <v>5</v>
      </c>
      <c r="E165" s="47">
        <v>6</v>
      </c>
      <c r="F165" s="47">
        <v>7</v>
      </c>
      <c r="G165" s="47">
        <v>8</v>
      </c>
      <c r="H165" s="47">
        <v>9</v>
      </c>
      <c r="I165" s="47">
        <v>4</v>
      </c>
      <c r="J165" s="47">
        <v>4</v>
      </c>
      <c r="K165" s="227"/>
      <c r="L165" s="47" t="s">
        <v>18</v>
      </c>
      <c r="M165" s="47">
        <v>3</v>
      </c>
      <c r="N165" s="47">
        <v>4</v>
      </c>
      <c r="O165" s="47">
        <v>10</v>
      </c>
      <c r="P165" s="47">
        <v>10</v>
      </c>
      <c r="Q165" s="47">
        <v>6</v>
      </c>
      <c r="R165" s="47">
        <v>5</v>
      </c>
      <c r="S165" s="47">
        <v>8</v>
      </c>
      <c r="T165" s="70">
        <v>5</v>
      </c>
      <c r="U165" s="59">
        <f t="shared" si="26"/>
        <v>111</v>
      </c>
    </row>
    <row r="166" spans="1:21" ht="15.75" customHeight="1">
      <c r="A166" s="195" t="s">
        <v>9</v>
      </c>
      <c r="B166" s="56" t="s">
        <v>13</v>
      </c>
      <c r="C166" s="56">
        <v>24</v>
      </c>
      <c r="D166" s="56">
        <v>23</v>
      </c>
      <c r="E166" s="56">
        <v>18</v>
      </c>
      <c r="F166" s="56">
        <v>19</v>
      </c>
      <c r="G166" s="56">
        <v>35</v>
      </c>
      <c r="H166" s="56">
        <v>41</v>
      </c>
      <c r="I166" s="56">
        <v>30</v>
      </c>
      <c r="J166" s="56">
        <v>17</v>
      </c>
      <c r="K166" s="196" t="s">
        <v>9</v>
      </c>
      <c r="L166" s="56" t="s">
        <v>13</v>
      </c>
      <c r="M166" s="56">
        <v>23</v>
      </c>
      <c r="N166" s="56">
        <v>18</v>
      </c>
      <c r="O166" s="56">
        <v>21</v>
      </c>
      <c r="P166" s="56">
        <v>24</v>
      </c>
      <c r="Q166" s="56">
        <v>22</v>
      </c>
      <c r="R166" s="56">
        <v>21</v>
      </c>
      <c r="S166" s="56">
        <v>19</v>
      </c>
      <c r="T166" s="67">
        <v>13</v>
      </c>
      <c r="U166" s="59">
        <f t="shared" si="26"/>
        <v>368</v>
      </c>
    </row>
    <row r="167" spans="1:21" ht="15.75" customHeight="1">
      <c r="A167" s="230"/>
      <c r="B167" s="4" t="s">
        <v>14</v>
      </c>
      <c r="C167" s="4">
        <v>5</v>
      </c>
      <c r="D167" s="4">
        <v>13</v>
      </c>
      <c r="E167" s="4">
        <v>13</v>
      </c>
      <c r="F167" s="4">
        <v>9</v>
      </c>
      <c r="G167" s="4">
        <v>11</v>
      </c>
      <c r="H167" s="4">
        <v>19</v>
      </c>
      <c r="I167" s="4">
        <v>15</v>
      </c>
      <c r="J167" s="4">
        <v>11</v>
      </c>
      <c r="K167" s="227"/>
      <c r="L167" s="4" t="s">
        <v>14</v>
      </c>
      <c r="M167" s="4">
        <v>8</v>
      </c>
      <c r="N167" s="4">
        <v>12</v>
      </c>
      <c r="O167" s="4">
        <v>11</v>
      </c>
      <c r="P167" s="4">
        <v>12</v>
      </c>
      <c r="Q167" s="4">
        <v>35</v>
      </c>
      <c r="R167" s="4">
        <v>4</v>
      </c>
      <c r="S167" s="4">
        <v>2</v>
      </c>
      <c r="T167" s="50">
        <v>1</v>
      </c>
      <c r="U167" s="59">
        <f t="shared" si="26"/>
        <v>181</v>
      </c>
    </row>
    <row r="168" spans="1:21" ht="15.75" customHeight="1">
      <c r="A168" s="230"/>
      <c r="B168" s="4" t="s">
        <v>15</v>
      </c>
      <c r="C168" s="4">
        <v>22</v>
      </c>
      <c r="D168" s="4">
        <v>13</v>
      </c>
      <c r="E168" s="4">
        <v>26</v>
      </c>
      <c r="F168" s="4">
        <v>20</v>
      </c>
      <c r="G168" s="4">
        <v>22</v>
      </c>
      <c r="H168" s="4">
        <v>23</v>
      </c>
      <c r="I168" s="4">
        <v>16</v>
      </c>
      <c r="J168" s="4">
        <v>10</v>
      </c>
      <c r="K168" s="227"/>
      <c r="L168" s="4" t="s">
        <v>15</v>
      </c>
      <c r="M168" s="4">
        <v>15</v>
      </c>
      <c r="N168" s="4">
        <v>10</v>
      </c>
      <c r="O168" s="4">
        <v>20</v>
      </c>
      <c r="P168" s="4">
        <v>26</v>
      </c>
      <c r="Q168" s="4">
        <v>11</v>
      </c>
      <c r="R168" s="4">
        <v>20</v>
      </c>
      <c r="S168" s="4">
        <v>22</v>
      </c>
      <c r="T168" s="50">
        <v>17</v>
      </c>
      <c r="U168" s="59">
        <f t="shared" si="26"/>
        <v>293</v>
      </c>
    </row>
    <row r="169" spans="1:21" ht="15.75" customHeight="1">
      <c r="A169" s="230"/>
      <c r="B169" s="4" t="s">
        <v>16</v>
      </c>
      <c r="C169" s="4">
        <v>4</v>
      </c>
      <c r="D169" s="4">
        <v>7</v>
      </c>
      <c r="E169" s="4">
        <v>14</v>
      </c>
      <c r="F169" s="4">
        <v>13</v>
      </c>
      <c r="G169" s="4">
        <v>10</v>
      </c>
      <c r="H169" s="4">
        <v>13</v>
      </c>
      <c r="I169" s="4">
        <v>6</v>
      </c>
      <c r="J169" s="4">
        <v>4</v>
      </c>
      <c r="K169" s="227"/>
      <c r="L169" s="4" t="s">
        <v>16</v>
      </c>
      <c r="M169" s="4">
        <v>3</v>
      </c>
      <c r="N169" s="4">
        <v>9</v>
      </c>
      <c r="O169" s="4">
        <v>9</v>
      </c>
      <c r="P169" s="4">
        <v>3</v>
      </c>
      <c r="Q169" s="4">
        <v>7</v>
      </c>
      <c r="R169" s="4">
        <v>3</v>
      </c>
      <c r="S169" s="4">
        <v>6</v>
      </c>
      <c r="T169" s="50">
        <v>3</v>
      </c>
      <c r="U169" s="59">
        <f t="shared" si="26"/>
        <v>114</v>
      </c>
    </row>
    <row r="170" spans="1:21" ht="15.75" customHeight="1">
      <c r="A170" s="230"/>
      <c r="B170" s="4" t="s">
        <v>17</v>
      </c>
      <c r="C170" s="4">
        <v>6</v>
      </c>
      <c r="D170" s="4">
        <v>14</v>
      </c>
      <c r="E170" s="4">
        <v>8</v>
      </c>
      <c r="F170" s="4">
        <v>11</v>
      </c>
      <c r="G170" s="4">
        <v>5</v>
      </c>
      <c r="H170" s="4">
        <v>13</v>
      </c>
      <c r="I170" s="4">
        <v>4</v>
      </c>
      <c r="J170" s="4">
        <v>5</v>
      </c>
      <c r="K170" s="227"/>
      <c r="L170" s="4" t="s">
        <v>17</v>
      </c>
      <c r="M170" s="4">
        <v>4</v>
      </c>
      <c r="N170" s="4">
        <v>7</v>
      </c>
      <c r="O170" s="4">
        <v>7</v>
      </c>
      <c r="P170" s="4">
        <v>10</v>
      </c>
      <c r="Q170" s="4">
        <v>7</v>
      </c>
      <c r="R170" s="4">
        <v>6</v>
      </c>
      <c r="S170" s="4">
        <v>6</v>
      </c>
      <c r="T170" s="50">
        <v>7</v>
      </c>
      <c r="U170" s="59">
        <f t="shared" si="26"/>
        <v>120</v>
      </c>
    </row>
    <row r="171" spans="1:21" ht="15.75" customHeight="1">
      <c r="A171" s="230"/>
      <c r="B171" s="46" t="s">
        <v>18</v>
      </c>
      <c r="C171" s="46">
        <v>21</v>
      </c>
      <c r="D171" s="46">
        <v>9</v>
      </c>
      <c r="E171" s="46">
        <v>2</v>
      </c>
      <c r="F171" s="46">
        <v>8</v>
      </c>
      <c r="G171" s="46">
        <v>11</v>
      </c>
      <c r="H171" s="46">
        <v>8</v>
      </c>
      <c r="I171" s="46">
        <v>6</v>
      </c>
      <c r="J171" s="46">
        <v>7</v>
      </c>
      <c r="K171" s="227"/>
      <c r="L171" s="46" t="s">
        <v>18</v>
      </c>
      <c r="M171" s="46">
        <v>6</v>
      </c>
      <c r="N171" s="46">
        <v>2</v>
      </c>
      <c r="O171" s="46">
        <v>8</v>
      </c>
      <c r="P171" s="46">
        <v>6</v>
      </c>
      <c r="Q171" s="46">
        <v>6</v>
      </c>
      <c r="R171" s="46">
        <v>9</v>
      </c>
      <c r="S171" s="46">
        <v>4</v>
      </c>
      <c r="T171" s="69">
        <v>7</v>
      </c>
      <c r="U171" s="59">
        <f t="shared" si="26"/>
        <v>120</v>
      </c>
    </row>
    <row r="172" spans="1:21" ht="15.75" customHeight="1">
      <c r="A172" s="193" t="s">
        <v>10</v>
      </c>
      <c r="B172" s="63" t="s">
        <v>13</v>
      </c>
      <c r="C172" s="99">
        <v>17</v>
      </c>
      <c r="D172" s="99">
        <v>14</v>
      </c>
      <c r="E172" s="99">
        <v>16</v>
      </c>
      <c r="F172" s="99">
        <v>21</v>
      </c>
      <c r="G172" s="99">
        <v>31</v>
      </c>
      <c r="H172" s="99">
        <v>35</v>
      </c>
      <c r="I172" s="99">
        <v>25</v>
      </c>
      <c r="J172" s="99">
        <v>16</v>
      </c>
      <c r="K172" s="194" t="s">
        <v>10</v>
      </c>
      <c r="L172" s="63" t="s">
        <v>13</v>
      </c>
      <c r="M172" s="121">
        <v>14</v>
      </c>
      <c r="N172" s="121">
        <v>14</v>
      </c>
      <c r="O172" s="121">
        <v>14</v>
      </c>
      <c r="P172" s="121">
        <v>24</v>
      </c>
      <c r="Q172" s="121">
        <v>30</v>
      </c>
      <c r="R172" s="121">
        <v>31</v>
      </c>
      <c r="S172" s="121">
        <v>16</v>
      </c>
      <c r="T172" s="124">
        <v>10</v>
      </c>
      <c r="U172" s="59">
        <f t="shared" si="26"/>
        <v>328</v>
      </c>
    </row>
    <row r="173" spans="1:21" ht="15.75" customHeight="1">
      <c r="A173" s="230"/>
      <c r="B173" s="6" t="s">
        <v>14</v>
      </c>
      <c r="C173" s="100">
        <v>8</v>
      </c>
      <c r="D173" s="100">
        <v>6</v>
      </c>
      <c r="E173" s="100">
        <v>7</v>
      </c>
      <c r="F173" s="100">
        <v>9</v>
      </c>
      <c r="G173" s="100">
        <v>15</v>
      </c>
      <c r="H173" s="100">
        <v>15</v>
      </c>
      <c r="I173" s="100">
        <v>14</v>
      </c>
      <c r="J173" s="100">
        <v>6</v>
      </c>
      <c r="K173" s="227"/>
      <c r="L173" s="6" t="s">
        <v>14</v>
      </c>
      <c r="M173" s="122">
        <v>6</v>
      </c>
      <c r="N173" s="122">
        <v>12</v>
      </c>
      <c r="O173" s="122">
        <v>11</v>
      </c>
      <c r="P173" s="122">
        <v>5</v>
      </c>
      <c r="Q173" s="122">
        <v>7</v>
      </c>
      <c r="R173" s="122">
        <v>12</v>
      </c>
      <c r="S173" s="122">
        <v>6</v>
      </c>
      <c r="T173" s="125">
        <v>1</v>
      </c>
      <c r="U173" s="59">
        <f t="shared" si="26"/>
        <v>140</v>
      </c>
    </row>
    <row r="174" spans="1:21" ht="15.75" customHeight="1">
      <c r="A174" s="230"/>
      <c r="B174" s="6" t="s">
        <v>15</v>
      </c>
      <c r="C174" s="100">
        <v>16</v>
      </c>
      <c r="D174" s="100">
        <v>13</v>
      </c>
      <c r="E174" s="100">
        <v>15</v>
      </c>
      <c r="F174" s="100">
        <v>12</v>
      </c>
      <c r="G174" s="100">
        <v>21</v>
      </c>
      <c r="H174" s="100">
        <v>20</v>
      </c>
      <c r="I174" s="100">
        <v>15</v>
      </c>
      <c r="J174" s="100">
        <v>14</v>
      </c>
      <c r="K174" s="227"/>
      <c r="L174" s="6" t="s">
        <v>15</v>
      </c>
      <c r="M174" s="122">
        <v>12</v>
      </c>
      <c r="N174" s="122">
        <v>19</v>
      </c>
      <c r="O174" s="122">
        <v>14</v>
      </c>
      <c r="P174" s="122">
        <v>17</v>
      </c>
      <c r="Q174" s="122">
        <v>23</v>
      </c>
      <c r="R174" s="122">
        <v>33</v>
      </c>
      <c r="S174" s="122">
        <v>30</v>
      </c>
      <c r="T174" s="125">
        <v>20</v>
      </c>
      <c r="U174" s="59">
        <f t="shared" si="26"/>
        <v>294</v>
      </c>
    </row>
    <row r="175" spans="1:21" ht="15.75" customHeight="1">
      <c r="A175" s="230"/>
      <c r="B175" s="6" t="s">
        <v>16</v>
      </c>
      <c r="C175" s="100">
        <v>4</v>
      </c>
      <c r="D175" s="100">
        <v>3</v>
      </c>
      <c r="E175" s="100">
        <v>5</v>
      </c>
      <c r="F175" s="100">
        <v>6</v>
      </c>
      <c r="G175" s="100">
        <v>20</v>
      </c>
      <c r="H175" s="100">
        <v>12</v>
      </c>
      <c r="I175" s="100">
        <v>10</v>
      </c>
      <c r="J175" s="100">
        <v>8</v>
      </c>
      <c r="K175" s="227"/>
      <c r="L175" s="6" t="s">
        <v>16</v>
      </c>
      <c r="M175" s="122">
        <v>7</v>
      </c>
      <c r="N175" s="122">
        <v>10</v>
      </c>
      <c r="O175" s="122">
        <v>9</v>
      </c>
      <c r="P175" s="122">
        <v>9</v>
      </c>
      <c r="Q175" s="122">
        <v>6</v>
      </c>
      <c r="R175" s="122">
        <v>5</v>
      </c>
      <c r="S175" s="122">
        <v>9</v>
      </c>
      <c r="T175" s="125">
        <v>6</v>
      </c>
      <c r="U175" s="59">
        <f t="shared" si="26"/>
        <v>129</v>
      </c>
    </row>
    <row r="176" spans="1:21" ht="15.75" customHeight="1">
      <c r="A176" s="230"/>
      <c r="B176" s="6" t="s">
        <v>17</v>
      </c>
      <c r="C176" s="100">
        <v>6</v>
      </c>
      <c r="D176" s="100">
        <v>6</v>
      </c>
      <c r="E176" s="100">
        <v>3</v>
      </c>
      <c r="F176" s="100">
        <v>7</v>
      </c>
      <c r="G176" s="100">
        <v>20</v>
      </c>
      <c r="H176" s="100">
        <v>15</v>
      </c>
      <c r="I176" s="100">
        <v>8</v>
      </c>
      <c r="J176" s="100">
        <v>9</v>
      </c>
      <c r="K176" s="227"/>
      <c r="L176" s="6" t="s">
        <v>17</v>
      </c>
      <c r="M176" s="122">
        <v>5</v>
      </c>
      <c r="N176" s="122">
        <v>9</v>
      </c>
      <c r="O176" s="122">
        <v>14</v>
      </c>
      <c r="P176" s="122">
        <v>7</v>
      </c>
      <c r="Q176" s="122">
        <v>4</v>
      </c>
      <c r="R176" s="122">
        <v>7</v>
      </c>
      <c r="S176" s="122">
        <v>5</v>
      </c>
      <c r="T176" s="125">
        <v>7</v>
      </c>
      <c r="U176" s="59">
        <f t="shared" si="26"/>
        <v>132</v>
      </c>
    </row>
    <row r="177" spans="1:40" ht="15.75" customHeight="1">
      <c r="A177" s="230"/>
      <c r="B177" s="47" t="s">
        <v>18</v>
      </c>
      <c r="C177" s="101">
        <v>13</v>
      </c>
      <c r="D177" s="101">
        <v>6</v>
      </c>
      <c r="E177" s="101">
        <v>7</v>
      </c>
      <c r="F177" s="101">
        <v>8</v>
      </c>
      <c r="G177" s="101">
        <v>15</v>
      </c>
      <c r="H177" s="101">
        <v>8</v>
      </c>
      <c r="I177" s="101">
        <v>6</v>
      </c>
      <c r="J177" s="101">
        <v>7</v>
      </c>
      <c r="K177" s="227"/>
      <c r="L177" s="47" t="s">
        <v>18</v>
      </c>
      <c r="M177" s="123">
        <v>3</v>
      </c>
      <c r="N177" s="123">
        <v>3</v>
      </c>
      <c r="O177" s="123">
        <v>1</v>
      </c>
      <c r="P177" s="123">
        <v>3</v>
      </c>
      <c r="Q177" s="123">
        <v>10</v>
      </c>
      <c r="R177" s="123">
        <v>8</v>
      </c>
      <c r="S177" s="123">
        <v>8</v>
      </c>
      <c r="T177" s="126">
        <v>4</v>
      </c>
      <c r="U177" s="59">
        <f t="shared" si="26"/>
        <v>110</v>
      </c>
    </row>
    <row r="178" spans="1:40" ht="15.75" customHeight="1">
      <c r="A178" s="195" t="s">
        <v>11</v>
      </c>
      <c r="B178" s="56" t="s">
        <v>13</v>
      </c>
      <c r="C178" s="127">
        <v>13</v>
      </c>
      <c r="D178" s="127">
        <v>18</v>
      </c>
      <c r="E178" s="127">
        <v>22</v>
      </c>
      <c r="F178" s="127">
        <v>23</v>
      </c>
      <c r="G178" s="127">
        <v>30</v>
      </c>
      <c r="H178" s="127">
        <v>37</v>
      </c>
      <c r="I178" s="127">
        <v>18</v>
      </c>
      <c r="J178" s="127">
        <v>22</v>
      </c>
      <c r="K178" s="196" t="s">
        <v>11</v>
      </c>
      <c r="L178" s="56" t="s">
        <v>13</v>
      </c>
      <c r="M178" s="127">
        <v>16</v>
      </c>
      <c r="N178" s="127">
        <v>14</v>
      </c>
      <c r="O178" s="127">
        <v>11</v>
      </c>
      <c r="P178" s="127">
        <v>20</v>
      </c>
      <c r="Q178" s="127">
        <v>12</v>
      </c>
      <c r="R178" s="127">
        <v>13</v>
      </c>
      <c r="S178" s="127">
        <v>4</v>
      </c>
      <c r="T178" s="130">
        <v>10</v>
      </c>
      <c r="U178" s="59">
        <f t="shared" si="26"/>
        <v>283</v>
      </c>
    </row>
    <row r="179" spans="1:40" ht="15.75" customHeight="1">
      <c r="A179" s="230"/>
      <c r="B179" s="4" t="s">
        <v>14</v>
      </c>
      <c r="C179" s="128">
        <v>7</v>
      </c>
      <c r="D179" s="128">
        <v>3</v>
      </c>
      <c r="E179" s="128">
        <v>15</v>
      </c>
      <c r="F179" s="128">
        <v>15</v>
      </c>
      <c r="G179" s="128">
        <v>12</v>
      </c>
      <c r="H179" s="128">
        <v>14</v>
      </c>
      <c r="I179" s="128">
        <v>15</v>
      </c>
      <c r="J179" s="128">
        <v>12</v>
      </c>
      <c r="K179" s="227"/>
      <c r="L179" s="4" t="s">
        <v>14</v>
      </c>
      <c r="M179" s="128">
        <v>9</v>
      </c>
      <c r="N179" s="128">
        <v>10</v>
      </c>
      <c r="O179" s="128">
        <v>3</v>
      </c>
      <c r="P179" s="128">
        <v>3</v>
      </c>
      <c r="Q179" s="128">
        <v>10</v>
      </c>
      <c r="R179" s="128">
        <v>7</v>
      </c>
      <c r="S179" s="128">
        <v>1</v>
      </c>
      <c r="T179" s="131">
        <v>2</v>
      </c>
      <c r="U179" s="59">
        <f t="shared" si="26"/>
        <v>138</v>
      </c>
    </row>
    <row r="180" spans="1:40" ht="15.75" customHeight="1">
      <c r="A180" s="230"/>
      <c r="B180" s="4" t="s">
        <v>15</v>
      </c>
      <c r="C180" s="128">
        <v>20</v>
      </c>
      <c r="D180" s="128">
        <v>17</v>
      </c>
      <c r="E180" s="128">
        <v>12</v>
      </c>
      <c r="F180" s="128">
        <v>18</v>
      </c>
      <c r="G180" s="128">
        <v>22</v>
      </c>
      <c r="H180" s="128">
        <v>20</v>
      </c>
      <c r="I180" s="128">
        <v>9</v>
      </c>
      <c r="J180" s="128">
        <v>13</v>
      </c>
      <c r="K180" s="227"/>
      <c r="L180" s="4" t="s">
        <v>15</v>
      </c>
      <c r="M180" s="128">
        <v>14</v>
      </c>
      <c r="N180" s="128">
        <v>12</v>
      </c>
      <c r="O180" s="128">
        <v>15</v>
      </c>
      <c r="P180" s="128">
        <v>19</v>
      </c>
      <c r="Q180" s="128">
        <v>18</v>
      </c>
      <c r="R180" s="128">
        <v>13</v>
      </c>
      <c r="S180" s="128">
        <v>17</v>
      </c>
      <c r="T180" s="131">
        <v>7</v>
      </c>
      <c r="U180" s="59">
        <f t="shared" si="26"/>
        <v>246</v>
      </c>
    </row>
    <row r="181" spans="1:40" ht="15.75" customHeight="1">
      <c r="A181" s="230"/>
      <c r="B181" s="4" t="s">
        <v>16</v>
      </c>
      <c r="C181" s="128">
        <v>0</v>
      </c>
      <c r="D181" s="128">
        <v>3</v>
      </c>
      <c r="E181" s="128">
        <v>5</v>
      </c>
      <c r="F181" s="128">
        <v>13</v>
      </c>
      <c r="G181" s="128">
        <v>11</v>
      </c>
      <c r="H181" s="128">
        <v>12</v>
      </c>
      <c r="I181" s="128">
        <v>6</v>
      </c>
      <c r="J181" s="128">
        <v>9</v>
      </c>
      <c r="K181" s="227"/>
      <c r="L181" s="4" t="s">
        <v>16</v>
      </c>
      <c r="M181" s="128">
        <v>6</v>
      </c>
      <c r="N181" s="128">
        <v>5</v>
      </c>
      <c r="O181" s="128">
        <v>4</v>
      </c>
      <c r="P181" s="128">
        <v>5</v>
      </c>
      <c r="Q181" s="128">
        <v>8</v>
      </c>
      <c r="R181" s="128">
        <v>6</v>
      </c>
      <c r="S181" s="128">
        <v>4</v>
      </c>
      <c r="T181" s="131">
        <v>2</v>
      </c>
      <c r="U181" s="59">
        <f t="shared" si="26"/>
        <v>99</v>
      </c>
    </row>
    <row r="182" spans="1:40" ht="15.75" customHeight="1">
      <c r="A182" s="230"/>
      <c r="B182" s="4" t="s">
        <v>17</v>
      </c>
      <c r="C182" s="128">
        <v>2</v>
      </c>
      <c r="D182" s="128">
        <v>5</v>
      </c>
      <c r="E182" s="128">
        <v>11</v>
      </c>
      <c r="F182" s="128">
        <v>11</v>
      </c>
      <c r="G182" s="128">
        <v>7</v>
      </c>
      <c r="H182" s="128">
        <v>6</v>
      </c>
      <c r="I182" s="128">
        <v>3</v>
      </c>
      <c r="J182" s="128">
        <v>2</v>
      </c>
      <c r="K182" s="227"/>
      <c r="L182" s="4" t="s">
        <v>17</v>
      </c>
      <c r="M182" s="128">
        <v>4</v>
      </c>
      <c r="N182" s="128">
        <v>6</v>
      </c>
      <c r="O182" s="128">
        <v>3</v>
      </c>
      <c r="P182" s="128">
        <v>5</v>
      </c>
      <c r="Q182" s="128">
        <v>8</v>
      </c>
      <c r="R182" s="128">
        <v>4</v>
      </c>
      <c r="S182" s="128">
        <v>1</v>
      </c>
      <c r="T182" s="131">
        <v>2</v>
      </c>
      <c r="U182" s="59">
        <f t="shared" si="26"/>
        <v>80</v>
      </c>
    </row>
    <row r="183" spans="1:40" ht="15.75" customHeight="1">
      <c r="A183" s="231"/>
      <c r="B183" s="61" t="s">
        <v>18</v>
      </c>
      <c r="C183" s="129">
        <v>3</v>
      </c>
      <c r="D183" s="129">
        <v>1</v>
      </c>
      <c r="E183" s="129">
        <v>2</v>
      </c>
      <c r="F183" s="129">
        <v>6</v>
      </c>
      <c r="G183" s="129">
        <v>11</v>
      </c>
      <c r="H183" s="129">
        <v>12</v>
      </c>
      <c r="I183" s="129">
        <v>2</v>
      </c>
      <c r="J183" s="129">
        <v>3</v>
      </c>
      <c r="K183" s="232"/>
      <c r="L183" s="61" t="s">
        <v>18</v>
      </c>
      <c r="M183" s="129">
        <v>3</v>
      </c>
      <c r="N183" s="129">
        <v>7</v>
      </c>
      <c r="O183" s="129">
        <v>5</v>
      </c>
      <c r="P183" s="129">
        <v>4</v>
      </c>
      <c r="Q183" s="129">
        <v>5</v>
      </c>
      <c r="R183" s="129">
        <v>5</v>
      </c>
      <c r="S183" s="129">
        <v>3</v>
      </c>
      <c r="T183" s="132">
        <v>4</v>
      </c>
      <c r="U183" s="59">
        <f t="shared" si="26"/>
        <v>76</v>
      </c>
    </row>
    <row r="185" spans="1:40" ht="15.75" customHeight="1">
      <c r="A185" s="1"/>
      <c r="B185" s="1"/>
      <c r="C185" s="183" t="s">
        <v>0</v>
      </c>
      <c r="D185" s="225"/>
      <c r="E185" s="225"/>
      <c r="F185" s="225"/>
      <c r="G185" s="226"/>
      <c r="H185" s="2"/>
      <c r="I185" s="1"/>
    </row>
    <row r="186" spans="1:40" ht="15.75" customHeight="1">
      <c r="A186" s="1"/>
      <c r="B186" s="183" t="s">
        <v>1</v>
      </c>
      <c r="C186" s="225"/>
      <c r="D186" s="226"/>
      <c r="E186" s="1"/>
      <c r="F186" s="184" t="s">
        <v>123</v>
      </c>
      <c r="G186" s="225"/>
      <c r="H186" s="226"/>
      <c r="I186" s="1"/>
      <c r="K186" s="1"/>
      <c r="L186" s="183" t="s">
        <v>26</v>
      </c>
      <c r="M186" s="225"/>
      <c r="N186" s="226"/>
      <c r="O186" s="1"/>
      <c r="P186" s="184" t="s">
        <v>124</v>
      </c>
      <c r="Q186" s="225"/>
      <c r="R186" s="226"/>
      <c r="S186" s="1"/>
    </row>
    <row r="187" spans="1:40" ht="15.75" customHeight="1">
      <c r="A187" s="54" t="s">
        <v>35</v>
      </c>
      <c r="B187" s="54" t="s">
        <v>4</v>
      </c>
      <c r="C187" s="54" t="s">
        <v>12</v>
      </c>
      <c r="D187" s="54" t="s">
        <v>19</v>
      </c>
      <c r="E187" s="54" t="s">
        <v>20</v>
      </c>
      <c r="F187" s="54" t="s">
        <v>21</v>
      </c>
      <c r="G187" s="54" t="s">
        <v>22</v>
      </c>
      <c r="H187" s="54" t="s">
        <v>23</v>
      </c>
      <c r="I187" s="54" t="s">
        <v>24</v>
      </c>
      <c r="J187" s="54" t="s">
        <v>25</v>
      </c>
      <c r="K187" s="54" t="s">
        <v>35</v>
      </c>
      <c r="L187" s="54" t="s">
        <v>4</v>
      </c>
      <c r="M187" s="54" t="s">
        <v>27</v>
      </c>
      <c r="N187" s="54" t="s">
        <v>28</v>
      </c>
      <c r="O187" s="54" t="s">
        <v>29</v>
      </c>
      <c r="P187" s="54" t="s">
        <v>30</v>
      </c>
      <c r="Q187" s="54" t="s">
        <v>31</v>
      </c>
      <c r="R187" s="54" t="s">
        <v>32</v>
      </c>
      <c r="S187" s="54" t="s">
        <v>33</v>
      </c>
      <c r="T187" s="54" t="s">
        <v>34</v>
      </c>
      <c r="U187" s="54" t="s">
        <v>55</v>
      </c>
    </row>
    <row r="188" spans="1:40" ht="15.75" customHeight="1">
      <c r="A188" s="195" t="s">
        <v>5</v>
      </c>
      <c r="B188" s="56" t="s">
        <v>13</v>
      </c>
      <c r="C188" s="57"/>
      <c r="D188" s="57"/>
      <c r="E188" s="56">
        <v>8</v>
      </c>
      <c r="F188" s="56">
        <v>19</v>
      </c>
      <c r="G188" s="56">
        <v>23</v>
      </c>
      <c r="H188" s="56">
        <v>36</v>
      </c>
      <c r="I188" s="56">
        <v>24</v>
      </c>
      <c r="J188" s="56">
        <v>32</v>
      </c>
      <c r="K188" s="196" t="s">
        <v>5</v>
      </c>
      <c r="L188" s="56" t="s">
        <v>13</v>
      </c>
      <c r="M188" s="56">
        <v>12</v>
      </c>
      <c r="N188" s="56">
        <v>17</v>
      </c>
      <c r="O188" s="56">
        <v>10</v>
      </c>
      <c r="P188" s="56">
        <v>13</v>
      </c>
      <c r="Q188" s="56">
        <v>11</v>
      </c>
      <c r="R188" s="57"/>
      <c r="S188" s="57"/>
      <c r="T188" s="58"/>
      <c r="U188" s="59">
        <f>SUM(M188:T188,C188:J188)</f>
        <v>205</v>
      </c>
      <c r="W188" s="197" t="s">
        <v>2</v>
      </c>
      <c r="X188" s="198"/>
      <c r="AG188" s="190" t="s">
        <v>58</v>
      </c>
      <c r="AH188" s="191"/>
      <c r="AI188" s="191"/>
      <c r="AJ188" s="191"/>
      <c r="AK188" s="191"/>
      <c r="AL188" s="191"/>
      <c r="AM188" s="191"/>
      <c r="AN188" s="192"/>
    </row>
    <row r="189" spans="1:40" ht="15.75" customHeight="1">
      <c r="A189" s="230"/>
      <c r="B189" s="4" t="s">
        <v>14</v>
      </c>
      <c r="C189" s="5"/>
      <c r="D189" s="5"/>
      <c r="E189" s="4">
        <v>9</v>
      </c>
      <c r="F189" s="4">
        <v>8</v>
      </c>
      <c r="G189" s="4">
        <v>6</v>
      </c>
      <c r="H189" s="4">
        <v>7</v>
      </c>
      <c r="I189" s="4">
        <v>7</v>
      </c>
      <c r="J189" s="4">
        <v>6</v>
      </c>
      <c r="K189" s="227"/>
      <c r="L189" s="4" t="s">
        <v>14</v>
      </c>
      <c r="M189" s="4">
        <v>7</v>
      </c>
      <c r="N189" s="4">
        <v>1</v>
      </c>
      <c r="O189" s="4">
        <v>4</v>
      </c>
      <c r="P189" s="4">
        <v>5</v>
      </c>
      <c r="Q189" s="4">
        <v>1</v>
      </c>
      <c r="R189" s="5"/>
      <c r="S189" s="5"/>
      <c r="T189" s="49"/>
      <c r="U189" s="59">
        <f t="shared" ref="U189:U229" si="34">SUM(M189:T189,C189:J189)</f>
        <v>61</v>
      </c>
      <c r="W189" s="55" t="s">
        <v>5</v>
      </c>
      <c r="X189" s="48">
        <f>SUM(U188:U193)</f>
        <v>650</v>
      </c>
      <c r="AG189" s="98" t="s">
        <v>4</v>
      </c>
      <c r="AH189" s="98" t="s">
        <v>5</v>
      </c>
      <c r="AI189" s="98" t="s">
        <v>6</v>
      </c>
      <c r="AJ189" s="98" t="s">
        <v>7</v>
      </c>
      <c r="AK189" s="98" t="s">
        <v>8</v>
      </c>
      <c r="AL189" s="98" t="s">
        <v>9</v>
      </c>
      <c r="AM189" s="98" t="s">
        <v>10</v>
      </c>
      <c r="AN189" s="98" t="s">
        <v>11</v>
      </c>
    </row>
    <row r="190" spans="1:40" ht="15.75" customHeight="1">
      <c r="A190" s="230"/>
      <c r="B190" s="4" t="s">
        <v>15</v>
      </c>
      <c r="C190" s="5"/>
      <c r="D190" s="5"/>
      <c r="E190" s="4">
        <v>14</v>
      </c>
      <c r="F190" s="4">
        <v>12</v>
      </c>
      <c r="G190" s="4">
        <v>15</v>
      </c>
      <c r="H190" s="4">
        <v>16</v>
      </c>
      <c r="I190" s="4">
        <v>35</v>
      </c>
      <c r="J190" s="4">
        <v>22</v>
      </c>
      <c r="K190" s="227"/>
      <c r="L190" s="4" t="s">
        <v>15</v>
      </c>
      <c r="M190" s="4">
        <v>19</v>
      </c>
      <c r="N190" s="4">
        <v>11</v>
      </c>
      <c r="O190" s="4">
        <v>13</v>
      </c>
      <c r="P190" s="4">
        <v>17</v>
      </c>
      <c r="Q190" s="4">
        <v>15</v>
      </c>
      <c r="R190" s="5"/>
      <c r="S190" s="5"/>
      <c r="T190" s="49"/>
      <c r="U190" s="59">
        <f t="shared" si="34"/>
        <v>189</v>
      </c>
      <c r="W190" s="55" t="s">
        <v>6</v>
      </c>
      <c r="X190" s="48">
        <f>SUM(U194:U199)</f>
        <v>452</v>
      </c>
      <c r="AG190" s="79" t="s">
        <v>13</v>
      </c>
      <c r="AH190" s="79">
        <f t="shared" ref="AH190:AH195" si="35">U188</f>
        <v>205</v>
      </c>
      <c r="AI190" s="79">
        <f t="shared" ref="AI190:AI195" si="36">U194</f>
        <v>173</v>
      </c>
      <c r="AJ190" s="79">
        <f t="shared" ref="AJ190:AJ195" si="37">U200</f>
        <v>410</v>
      </c>
      <c r="AK190" s="79">
        <f t="shared" ref="AK190:AK195" si="38">U206</f>
        <v>324</v>
      </c>
      <c r="AL190" s="79">
        <f t="shared" ref="AL190:AL195" si="39">U212</f>
        <v>302</v>
      </c>
      <c r="AM190" s="79">
        <f t="shared" ref="AM190:AM195" si="40">U218</f>
        <v>350</v>
      </c>
      <c r="AN190" s="79">
        <f t="shared" ref="AN190:AN195" si="41">U224</f>
        <v>355</v>
      </c>
    </row>
    <row r="191" spans="1:40" ht="15.75" customHeight="1">
      <c r="A191" s="230"/>
      <c r="B191" s="4" t="s">
        <v>16</v>
      </c>
      <c r="C191" s="5"/>
      <c r="D191" s="5"/>
      <c r="E191" s="4">
        <v>3</v>
      </c>
      <c r="F191" s="4">
        <v>2</v>
      </c>
      <c r="G191" s="4">
        <v>10</v>
      </c>
      <c r="H191" s="4">
        <v>3</v>
      </c>
      <c r="I191" s="4">
        <v>5</v>
      </c>
      <c r="J191" s="4">
        <v>2</v>
      </c>
      <c r="K191" s="227"/>
      <c r="L191" s="4" t="s">
        <v>16</v>
      </c>
      <c r="M191" s="4">
        <v>7</v>
      </c>
      <c r="N191" s="4">
        <v>3</v>
      </c>
      <c r="O191" s="4">
        <v>8</v>
      </c>
      <c r="P191" s="4">
        <v>7</v>
      </c>
      <c r="Q191" s="4">
        <v>5</v>
      </c>
      <c r="R191" s="5"/>
      <c r="S191" s="5"/>
      <c r="T191" s="49"/>
      <c r="U191" s="59">
        <f t="shared" si="34"/>
        <v>55</v>
      </c>
      <c r="W191" s="55" t="s">
        <v>7</v>
      </c>
      <c r="X191" s="48">
        <f>SUM(U200:U205)</f>
        <v>1381</v>
      </c>
      <c r="AG191" s="97" t="s">
        <v>14</v>
      </c>
      <c r="AH191" s="97">
        <f t="shared" si="35"/>
        <v>61</v>
      </c>
      <c r="AI191" s="97">
        <f t="shared" si="36"/>
        <v>50</v>
      </c>
      <c r="AJ191" s="97">
        <f t="shared" si="37"/>
        <v>178</v>
      </c>
      <c r="AK191" s="97">
        <f t="shared" si="38"/>
        <v>131</v>
      </c>
      <c r="AL191" s="97">
        <f t="shared" si="39"/>
        <v>138</v>
      </c>
      <c r="AM191" s="97">
        <f t="shared" si="40"/>
        <v>135</v>
      </c>
      <c r="AN191" s="97">
        <f t="shared" si="41"/>
        <v>796</v>
      </c>
    </row>
    <row r="192" spans="1:40" ht="15.75" customHeight="1">
      <c r="A192" s="230"/>
      <c r="B192" s="4" t="s">
        <v>17</v>
      </c>
      <c r="C192" s="5"/>
      <c r="D192" s="5"/>
      <c r="E192" s="4">
        <v>2</v>
      </c>
      <c r="F192" s="4">
        <v>7</v>
      </c>
      <c r="G192" s="4">
        <v>9</v>
      </c>
      <c r="H192" s="4">
        <v>10</v>
      </c>
      <c r="I192" s="4">
        <v>8</v>
      </c>
      <c r="J192" s="4">
        <v>7</v>
      </c>
      <c r="K192" s="227"/>
      <c r="L192" s="4" t="s">
        <v>17</v>
      </c>
      <c r="M192" s="4">
        <v>5</v>
      </c>
      <c r="N192" s="4">
        <v>7</v>
      </c>
      <c r="O192" s="4">
        <v>6</v>
      </c>
      <c r="P192" s="4">
        <v>3</v>
      </c>
      <c r="Q192" s="4">
        <v>3</v>
      </c>
      <c r="R192" s="5"/>
      <c r="S192" s="5"/>
      <c r="T192" s="49"/>
      <c r="U192" s="59">
        <f t="shared" si="34"/>
        <v>67</v>
      </c>
      <c r="W192" s="55" t="s">
        <v>61</v>
      </c>
      <c r="X192" s="48">
        <f>SUM(U206:U211)</f>
        <v>1093</v>
      </c>
      <c r="AG192" s="79" t="s">
        <v>15</v>
      </c>
      <c r="AH192" s="79">
        <f t="shared" si="35"/>
        <v>189</v>
      </c>
      <c r="AI192" s="79">
        <f t="shared" si="36"/>
        <v>111</v>
      </c>
      <c r="AJ192" s="79">
        <f t="shared" si="37"/>
        <v>392</v>
      </c>
      <c r="AK192" s="79">
        <f t="shared" si="38"/>
        <v>325</v>
      </c>
      <c r="AL192" s="79">
        <f t="shared" si="39"/>
        <v>327</v>
      </c>
      <c r="AM192" s="79">
        <f t="shared" si="40"/>
        <v>310</v>
      </c>
      <c r="AN192" s="79">
        <f t="shared" si="41"/>
        <v>250</v>
      </c>
    </row>
    <row r="193" spans="1:40" ht="15.75" customHeight="1">
      <c r="A193" s="230"/>
      <c r="B193" s="46" t="s">
        <v>18</v>
      </c>
      <c r="C193" s="64"/>
      <c r="D193" s="64"/>
      <c r="E193" s="46">
        <v>12</v>
      </c>
      <c r="F193" s="46">
        <v>6</v>
      </c>
      <c r="G193" s="46">
        <v>6</v>
      </c>
      <c r="H193" s="46">
        <v>10</v>
      </c>
      <c r="I193" s="46">
        <v>6</v>
      </c>
      <c r="J193" s="46">
        <v>4</v>
      </c>
      <c r="K193" s="227"/>
      <c r="L193" s="46" t="s">
        <v>18</v>
      </c>
      <c r="M193" s="46">
        <v>5</v>
      </c>
      <c r="N193" s="46">
        <v>6</v>
      </c>
      <c r="O193" s="46">
        <v>5</v>
      </c>
      <c r="P193" s="46">
        <v>8</v>
      </c>
      <c r="Q193" s="46">
        <v>5</v>
      </c>
      <c r="R193" s="64"/>
      <c r="S193" s="64"/>
      <c r="T193" s="65"/>
      <c r="U193" s="59">
        <f t="shared" si="34"/>
        <v>73</v>
      </c>
      <c r="W193" s="55" t="s">
        <v>9</v>
      </c>
      <c r="X193" s="48">
        <f>SUM(U212:U217)</f>
        <v>1050</v>
      </c>
      <c r="AG193" s="97" t="s">
        <v>16</v>
      </c>
      <c r="AH193" s="97">
        <f t="shared" si="35"/>
        <v>55</v>
      </c>
      <c r="AI193" s="97">
        <f t="shared" si="36"/>
        <v>26</v>
      </c>
      <c r="AJ193" s="97">
        <f t="shared" si="37"/>
        <v>125</v>
      </c>
      <c r="AK193" s="97">
        <f t="shared" si="38"/>
        <v>90</v>
      </c>
      <c r="AL193" s="97">
        <f t="shared" si="39"/>
        <v>109</v>
      </c>
      <c r="AM193" s="97">
        <f t="shared" si="40"/>
        <v>130</v>
      </c>
      <c r="AN193" s="97">
        <f t="shared" si="41"/>
        <v>103</v>
      </c>
    </row>
    <row r="194" spans="1:40" ht="15.75" customHeight="1">
      <c r="A194" s="193" t="s">
        <v>6</v>
      </c>
      <c r="B194" s="63" t="s">
        <v>13</v>
      </c>
      <c r="C194" s="57"/>
      <c r="D194" s="57"/>
      <c r="E194" s="57"/>
      <c r="F194" s="63">
        <v>19</v>
      </c>
      <c r="G194" s="63">
        <v>17</v>
      </c>
      <c r="H194" s="63">
        <v>33</v>
      </c>
      <c r="I194" s="63">
        <v>35</v>
      </c>
      <c r="J194" s="63">
        <v>25</v>
      </c>
      <c r="K194" s="194" t="s">
        <v>6</v>
      </c>
      <c r="L194" s="63" t="s">
        <v>13</v>
      </c>
      <c r="M194" s="63">
        <v>12</v>
      </c>
      <c r="N194" s="63">
        <v>11</v>
      </c>
      <c r="O194" s="63">
        <v>8</v>
      </c>
      <c r="P194" s="63">
        <v>13</v>
      </c>
      <c r="Q194" s="57"/>
      <c r="R194" s="57"/>
      <c r="S194" s="57"/>
      <c r="T194" s="58"/>
      <c r="U194" s="59">
        <f t="shared" si="34"/>
        <v>173</v>
      </c>
      <c r="W194" s="55" t="s">
        <v>10</v>
      </c>
      <c r="X194" s="48">
        <f>SUM(U218:U223)</f>
        <v>1161</v>
      </c>
      <c r="AG194" s="79" t="s">
        <v>17</v>
      </c>
      <c r="AH194" s="79">
        <f t="shared" si="35"/>
        <v>67</v>
      </c>
      <c r="AI194" s="79">
        <f t="shared" si="36"/>
        <v>35</v>
      </c>
      <c r="AJ194" s="79">
        <f t="shared" si="37"/>
        <v>141</v>
      </c>
      <c r="AK194" s="79">
        <f t="shared" si="38"/>
        <v>111</v>
      </c>
      <c r="AL194" s="79">
        <f t="shared" si="39"/>
        <v>79</v>
      </c>
      <c r="AM194" s="79">
        <f t="shared" si="40"/>
        <v>108</v>
      </c>
      <c r="AN194" s="79">
        <f t="shared" si="41"/>
        <v>98</v>
      </c>
    </row>
    <row r="195" spans="1:40" ht="15.75" customHeight="1">
      <c r="A195" s="230"/>
      <c r="B195" s="6" t="s">
        <v>14</v>
      </c>
      <c r="C195" s="5"/>
      <c r="D195" s="5"/>
      <c r="E195" s="5"/>
      <c r="F195" s="6">
        <v>3</v>
      </c>
      <c r="G195" s="6">
        <v>10</v>
      </c>
      <c r="H195" s="6">
        <v>10</v>
      </c>
      <c r="I195" s="6">
        <v>8</v>
      </c>
      <c r="J195" s="6">
        <v>7</v>
      </c>
      <c r="K195" s="227"/>
      <c r="L195" s="6" t="s">
        <v>14</v>
      </c>
      <c r="M195" s="6">
        <v>3</v>
      </c>
      <c r="N195" s="6">
        <v>2</v>
      </c>
      <c r="O195" s="6">
        <v>2</v>
      </c>
      <c r="P195" s="6">
        <v>5</v>
      </c>
      <c r="Q195" s="5"/>
      <c r="R195" s="5"/>
      <c r="S195" s="5"/>
      <c r="T195" s="49"/>
      <c r="U195" s="59">
        <f t="shared" si="34"/>
        <v>50</v>
      </c>
      <c r="W195" s="81" t="s">
        <v>11</v>
      </c>
      <c r="X195" s="80">
        <f>SUM(U224:U229)</f>
        <v>1710</v>
      </c>
      <c r="AG195" s="97" t="s">
        <v>18</v>
      </c>
      <c r="AH195" s="97">
        <f t="shared" si="35"/>
        <v>73</v>
      </c>
      <c r="AI195" s="97">
        <f t="shared" si="36"/>
        <v>57</v>
      </c>
      <c r="AJ195" s="97">
        <f t="shared" si="37"/>
        <v>135</v>
      </c>
      <c r="AK195" s="97">
        <f t="shared" si="38"/>
        <v>112</v>
      </c>
      <c r="AL195" s="97">
        <f t="shared" si="39"/>
        <v>95</v>
      </c>
      <c r="AM195" s="97">
        <f t="shared" si="40"/>
        <v>128</v>
      </c>
      <c r="AN195" s="97">
        <f t="shared" si="41"/>
        <v>108</v>
      </c>
    </row>
    <row r="196" spans="1:40" ht="15.75" customHeight="1">
      <c r="A196" s="230"/>
      <c r="B196" s="6" t="s">
        <v>15</v>
      </c>
      <c r="C196" s="5"/>
      <c r="D196" s="5"/>
      <c r="E196" s="5"/>
      <c r="F196" s="6">
        <v>14</v>
      </c>
      <c r="G196" s="6">
        <v>22</v>
      </c>
      <c r="H196" s="6">
        <v>20</v>
      </c>
      <c r="I196" s="6">
        <v>24</v>
      </c>
      <c r="J196" s="6">
        <v>8</v>
      </c>
      <c r="K196" s="227"/>
      <c r="L196" s="6" t="s">
        <v>15</v>
      </c>
      <c r="M196" s="6">
        <v>8</v>
      </c>
      <c r="N196" s="6">
        <v>6</v>
      </c>
      <c r="O196" s="6">
        <v>4</v>
      </c>
      <c r="P196" s="6">
        <v>5</v>
      </c>
      <c r="Q196" s="5"/>
      <c r="R196" s="5"/>
      <c r="S196" s="5"/>
      <c r="T196" s="49"/>
      <c r="U196" s="59">
        <f t="shared" si="34"/>
        <v>111</v>
      </c>
      <c r="W196" s="79" t="s">
        <v>63</v>
      </c>
      <c r="X196" s="82">
        <f>SUM(X189:X195)</f>
        <v>7497</v>
      </c>
    </row>
    <row r="197" spans="1:40" ht="15.75" customHeight="1">
      <c r="A197" s="230"/>
      <c r="B197" s="6" t="s">
        <v>16</v>
      </c>
      <c r="C197" s="5"/>
      <c r="D197" s="5"/>
      <c r="E197" s="5"/>
      <c r="F197" s="6">
        <v>3</v>
      </c>
      <c r="G197" s="6">
        <v>5</v>
      </c>
      <c r="H197" s="6">
        <v>4</v>
      </c>
      <c r="I197" s="6">
        <v>7</v>
      </c>
      <c r="J197" s="6">
        <v>1</v>
      </c>
      <c r="K197" s="227"/>
      <c r="L197" s="6" t="s">
        <v>16</v>
      </c>
      <c r="M197" s="6">
        <v>2</v>
      </c>
      <c r="N197" s="6">
        <v>1</v>
      </c>
      <c r="O197" s="6">
        <v>2</v>
      </c>
      <c r="P197" s="6">
        <v>1</v>
      </c>
      <c r="Q197" s="5"/>
      <c r="R197" s="5"/>
      <c r="S197" s="5"/>
      <c r="T197" s="49"/>
      <c r="U197" s="59">
        <f t="shared" si="34"/>
        <v>26</v>
      </c>
    </row>
    <row r="198" spans="1:40" ht="15.75" customHeight="1">
      <c r="A198" s="230"/>
      <c r="B198" s="6" t="s">
        <v>17</v>
      </c>
      <c r="C198" s="5"/>
      <c r="D198" s="5"/>
      <c r="E198" s="5"/>
      <c r="F198" s="6">
        <v>5</v>
      </c>
      <c r="G198" s="6">
        <v>4</v>
      </c>
      <c r="H198" s="6">
        <v>6</v>
      </c>
      <c r="I198" s="6">
        <v>9</v>
      </c>
      <c r="J198" s="6">
        <v>3</v>
      </c>
      <c r="K198" s="227"/>
      <c r="L198" s="6" t="s">
        <v>17</v>
      </c>
      <c r="M198" s="6">
        <v>3</v>
      </c>
      <c r="N198" s="6">
        <v>2</v>
      </c>
      <c r="O198" s="6">
        <v>1</v>
      </c>
      <c r="P198" s="6">
        <v>2</v>
      </c>
      <c r="Q198" s="5"/>
      <c r="R198" s="5"/>
      <c r="S198" s="5"/>
      <c r="T198" s="49"/>
      <c r="U198" s="59">
        <f t="shared" si="34"/>
        <v>35</v>
      </c>
    </row>
    <row r="199" spans="1:40" ht="15.75" customHeight="1">
      <c r="A199" s="230"/>
      <c r="B199" s="47" t="s">
        <v>18</v>
      </c>
      <c r="C199" s="64"/>
      <c r="D199" s="64"/>
      <c r="E199" s="64"/>
      <c r="F199" s="47">
        <v>2</v>
      </c>
      <c r="G199" s="47">
        <v>7</v>
      </c>
      <c r="H199" s="47">
        <v>13</v>
      </c>
      <c r="I199" s="47">
        <v>12</v>
      </c>
      <c r="J199" s="47">
        <v>11</v>
      </c>
      <c r="K199" s="227"/>
      <c r="L199" s="47" t="s">
        <v>18</v>
      </c>
      <c r="M199" s="47">
        <v>4</v>
      </c>
      <c r="N199" s="47">
        <v>4</v>
      </c>
      <c r="O199" s="47">
        <v>2</v>
      </c>
      <c r="P199" s="47">
        <v>2</v>
      </c>
      <c r="Q199" s="64"/>
      <c r="R199" s="64"/>
      <c r="S199" s="64"/>
      <c r="T199" s="65"/>
      <c r="U199" s="59">
        <f t="shared" si="34"/>
        <v>57</v>
      </c>
    </row>
    <row r="200" spans="1:40" ht="15.75" customHeight="1">
      <c r="A200" s="195" t="s">
        <v>7</v>
      </c>
      <c r="B200" s="56" t="s">
        <v>13</v>
      </c>
      <c r="C200" s="56">
        <v>20</v>
      </c>
      <c r="D200" s="56">
        <v>13</v>
      </c>
      <c r="E200" s="56">
        <v>15</v>
      </c>
      <c r="F200" s="56">
        <v>26</v>
      </c>
      <c r="G200" s="56">
        <v>42</v>
      </c>
      <c r="H200" s="56">
        <v>29</v>
      </c>
      <c r="I200" s="56">
        <v>33</v>
      </c>
      <c r="J200" s="56">
        <v>30</v>
      </c>
      <c r="K200" s="196" t="s">
        <v>7</v>
      </c>
      <c r="L200" s="56" t="s">
        <v>13</v>
      </c>
      <c r="M200" s="56">
        <v>17</v>
      </c>
      <c r="N200" s="56">
        <v>20</v>
      </c>
      <c r="O200" s="56">
        <v>12</v>
      </c>
      <c r="P200" s="56">
        <v>39</v>
      </c>
      <c r="Q200" s="56">
        <v>32</v>
      </c>
      <c r="R200" s="56">
        <v>41</v>
      </c>
      <c r="S200" s="56">
        <v>24</v>
      </c>
      <c r="T200" s="67">
        <v>17</v>
      </c>
      <c r="U200" s="59">
        <f t="shared" si="34"/>
        <v>410</v>
      </c>
    </row>
    <row r="201" spans="1:40" ht="15.75" customHeight="1">
      <c r="A201" s="230"/>
      <c r="B201" s="4" t="s">
        <v>14</v>
      </c>
      <c r="C201" s="4">
        <v>11</v>
      </c>
      <c r="D201" s="4">
        <v>5</v>
      </c>
      <c r="E201" s="4">
        <v>9</v>
      </c>
      <c r="F201" s="4">
        <v>14</v>
      </c>
      <c r="G201" s="4">
        <v>14</v>
      </c>
      <c r="H201" s="4">
        <v>12</v>
      </c>
      <c r="I201" s="4">
        <v>16</v>
      </c>
      <c r="J201" s="4">
        <v>17</v>
      </c>
      <c r="K201" s="227"/>
      <c r="L201" s="4" t="s">
        <v>14</v>
      </c>
      <c r="M201" s="4">
        <v>12</v>
      </c>
      <c r="N201" s="4">
        <v>10</v>
      </c>
      <c r="O201" s="4">
        <v>12</v>
      </c>
      <c r="P201" s="4">
        <v>17</v>
      </c>
      <c r="Q201" s="4">
        <v>12</v>
      </c>
      <c r="R201" s="4">
        <v>10</v>
      </c>
      <c r="S201" s="4">
        <v>3</v>
      </c>
      <c r="T201" s="50">
        <v>4</v>
      </c>
      <c r="U201" s="59">
        <f t="shared" si="34"/>
        <v>178</v>
      </c>
    </row>
    <row r="202" spans="1:40" ht="15.75" customHeight="1">
      <c r="A202" s="230"/>
      <c r="B202" s="4" t="s">
        <v>15</v>
      </c>
      <c r="C202" s="4">
        <v>18</v>
      </c>
      <c r="D202" s="4">
        <v>17</v>
      </c>
      <c r="E202" s="4">
        <v>19</v>
      </c>
      <c r="F202" s="4">
        <v>26</v>
      </c>
      <c r="G202" s="4">
        <v>24</v>
      </c>
      <c r="H202" s="4">
        <v>29</v>
      </c>
      <c r="I202" s="4">
        <v>25</v>
      </c>
      <c r="J202" s="4">
        <v>23</v>
      </c>
      <c r="K202" s="227"/>
      <c r="L202" s="4" t="s">
        <v>15</v>
      </c>
      <c r="M202" s="4">
        <v>15</v>
      </c>
      <c r="N202" s="4">
        <v>21</v>
      </c>
      <c r="O202" s="4">
        <v>19</v>
      </c>
      <c r="P202" s="4">
        <v>40</v>
      </c>
      <c r="Q202" s="4">
        <v>32</v>
      </c>
      <c r="R202" s="4">
        <v>34</v>
      </c>
      <c r="S202" s="4">
        <v>35</v>
      </c>
      <c r="T202" s="50">
        <v>15</v>
      </c>
      <c r="U202" s="59">
        <f t="shared" si="34"/>
        <v>392</v>
      </c>
    </row>
    <row r="203" spans="1:40" ht="15.75" customHeight="1">
      <c r="A203" s="230"/>
      <c r="B203" s="4" t="s">
        <v>16</v>
      </c>
      <c r="C203" s="4">
        <v>1</v>
      </c>
      <c r="D203" s="4">
        <v>6</v>
      </c>
      <c r="E203" s="4">
        <v>8</v>
      </c>
      <c r="F203" s="4">
        <v>10</v>
      </c>
      <c r="G203" s="4">
        <v>12</v>
      </c>
      <c r="H203" s="4">
        <v>12</v>
      </c>
      <c r="I203" s="4">
        <v>12</v>
      </c>
      <c r="J203" s="4">
        <v>6</v>
      </c>
      <c r="K203" s="227"/>
      <c r="L203" s="4" t="s">
        <v>16</v>
      </c>
      <c r="M203" s="4">
        <v>7</v>
      </c>
      <c r="N203" s="4">
        <v>8</v>
      </c>
      <c r="O203" s="4">
        <v>9</v>
      </c>
      <c r="P203" s="4">
        <v>12</v>
      </c>
      <c r="Q203" s="4">
        <v>10</v>
      </c>
      <c r="R203" s="4">
        <v>4</v>
      </c>
      <c r="S203" s="4">
        <v>4</v>
      </c>
      <c r="T203" s="50">
        <v>4</v>
      </c>
      <c r="U203" s="59">
        <f t="shared" si="34"/>
        <v>125</v>
      </c>
    </row>
    <row r="204" spans="1:40" ht="15.75" customHeight="1">
      <c r="A204" s="230"/>
      <c r="B204" s="4" t="s">
        <v>17</v>
      </c>
      <c r="C204" s="4">
        <v>3</v>
      </c>
      <c r="D204" s="4">
        <v>8</v>
      </c>
      <c r="E204" s="4">
        <v>5</v>
      </c>
      <c r="F204" s="4">
        <v>10</v>
      </c>
      <c r="G204" s="4">
        <v>8</v>
      </c>
      <c r="H204" s="4">
        <v>16</v>
      </c>
      <c r="I204" s="4">
        <v>10</v>
      </c>
      <c r="J204" s="4">
        <v>13</v>
      </c>
      <c r="K204" s="227"/>
      <c r="L204" s="4" t="s">
        <v>17</v>
      </c>
      <c r="M204" s="4">
        <v>5</v>
      </c>
      <c r="N204" s="4">
        <v>7</v>
      </c>
      <c r="O204" s="4">
        <v>12</v>
      </c>
      <c r="P204" s="4">
        <v>12</v>
      </c>
      <c r="Q204" s="4">
        <v>12</v>
      </c>
      <c r="R204" s="4">
        <v>10</v>
      </c>
      <c r="S204" s="4">
        <v>6</v>
      </c>
      <c r="T204" s="50">
        <v>4</v>
      </c>
      <c r="U204" s="59">
        <f t="shared" si="34"/>
        <v>141</v>
      </c>
    </row>
    <row r="205" spans="1:40" ht="15.75" customHeight="1">
      <c r="A205" s="230"/>
      <c r="B205" s="46" t="s">
        <v>18</v>
      </c>
      <c r="C205" s="46">
        <v>6</v>
      </c>
      <c r="D205" s="46">
        <v>4</v>
      </c>
      <c r="E205" s="46">
        <v>10</v>
      </c>
      <c r="F205" s="46">
        <v>0</v>
      </c>
      <c r="G205" s="46">
        <v>17</v>
      </c>
      <c r="H205" s="46">
        <v>19</v>
      </c>
      <c r="I205" s="46">
        <v>16</v>
      </c>
      <c r="J205" s="46">
        <v>11</v>
      </c>
      <c r="K205" s="227"/>
      <c r="L205" s="46" t="s">
        <v>18</v>
      </c>
      <c r="M205" s="46">
        <v>2</v>
      </c>
      <c r="N205" s="46">
        <v>3</v>
      </c>
      <c r="O205" s="46">
        <v>4</v>
      </c>
      <c r="P205" s="46">
        <v>8</v>
      </c>
      <c r="Q205" s="46">
        <v>11</v>
      </c>
      <c r="R205" s="46">
        <v>8</v>
      </c>
      <c r="S205" s="46">
        <v>11</v>
      </c>
      <c r="T205" s="69">
        <v>5</v>
      </c>
      <c r="U205" s="59">
        <f t="shared" si="34"/>
        <v>135</v>
      </c>
    </row>
    <row r="206" spans="1:40" ht="15.75" customHeight="1">
      <c r="A206" s="193" t="s">
        <v>8</v>
      </c>
      <c r="B206" s="63" t="s">
        <v>13</v>
      </c>
      <c r="C206" s="63">
        <v>19</v>
      </c>
      <c r="D206" s="63">
        <v>11</v>
      </c>
      <c r="E206" s="63">
        <v>17</v>
      </c>
      <c r="F206" s="63">
        <v>18</v>
      </c>
      <c r="G206" s="63">
        <v>32</v>
      </c>
      <c r="H206" s="63">
        <v>38</v>
      </c>
      <c r="I206" s="63">
        <v>22</v>
      </c>
      <c r="J206" s="63">
        <v>17</v>
      </c>
      <c r="K206" s="194" t="s">
        <v>8</v>
      </c>
      <c r="L206" s="63" t="s">
        <v>13</v>
      </c>
      <c r="M206" s="63">
        <v>19</v>
      </c>
      <c r="N206" s="63">
        <v>15</v>
      </c>
      <c r="O206" s="63">
        <v>8</v>
      </c>
      <c r="P206" s="63">
        <v>29</v>
      </c>
      <c r="Q206" s="63">
        <v>24</v>
      </c>
      <c r="R206" s="63">
        <v>26</v>
      </c>
      <c r="S206" s="63">
        <v>18</v>
      </c>
      <c r="T206" s="68">
        <v>11</v>
      </c>
      <c r="U206" s="59">
        <f t="shared" si="34"/>
        <v>324</v>
      </c>
    </row>
    <row r="207" spans="1:40" ht="15.75" customHeight="1">
      <c r="A207" s="230"/>
      <c r="B207" s="6" t="s">
        <v>14</v>
      </c>
      <c r="C207" s="6">
        <v>3</v>
      </c>
      <c r="D207" s="6">
        <v>6</v>
      </c>
      <c r="E207" s="6">
        <v>6</v>
      </c>
      <c r="F207" s="6">
        <v>7</v>
      </c>
      <c r="G207" s="6">
        <v>12</v>
      </c>
      <c r="H207" s="6">
        <v>13</v>
      </c>
      <c r="I207" s="6">
        <v>16</v>
      </c>
      <c r="J207" s="6">
        <v>15</v>
      </c>
      <c r="K207" s="227"/>
      <c r="L207" s="6" t="s">
        <v>14</v>
      </c>
      <c r="M207" s="6">
        <v>11</v>
      </c>
      <c r="N207" s="6">
        <v>8</v>
      </c>
      <c r="O207" s="6">
        <v>7</v>
      </c>
      <c r="P207" s="6">
        <v>6</v>
      </c>
      <c r="Q207" s="6">
        <v>5</v>
      </c>
      <c r="R207" s="6">
        <v>8</v>
      </c>
      <c r="S207" s="6">
        <v>4</v>
      </c>
      <c r="T207" s="51">
        <v>4</v>
      </c>
      <c r="U207" s="59">
        <f t="shared" si="34"/>
        <v>131</v>
      </c>
    </row>
    <row r="208" spans="1:40" ht="15.75" customHeight="1">
      <c r="A208" s="230"/>
      <c r="B208" s="6" t="s">
        <v>15</v>
      </c>
      <c r="C208" s="6">
        <v>22</v>
      </c>
      <c r="D208" s="6">
        <v>18</v>
      </c>
      <c r="E208" s="6">
        <v>21</v>
      </c>
      <c r="F208" s="6">
        <v>12</v>
      </c>
      <c r="G208" s="6">
        <v>19</v>
      </c>
      <c r="H208" s="6">
        <v>15</v>
      </c>
      <c r="I208" s="6">
        <v>25</v>
      </c>
      <c r="J208" s="6">
        <v>13</v>
      </c>
      <c r="K208" s="227"/>
      <c r="L208" s="6" t="s">
        <v>15</v>
      </c>
      <c r="M208" s="6">
        <v>18</v>
      </c>
      <c r="N208" s="6">
        <v>21</v>
      </c>
      <c r="O208" s="6">
        <v>17</v>
      </c>
      <c r="P208" s="6">
        <v>40</v>
      </c>
      <c r="Q208" s="6">
        <v>26</v>
      </c>
      <c r="R208" s="6">
        <v>21</v>
      </c>
      <c r="S208" s="6">
        <v>24</v>
      </c>
      <c r="T208" s="51">
        <v>13</v>
      </c>
      <c r="U208" s="59">
        <f t="shared" si="34"/>
        <v>325</v>
      </c>
    </row>
    <row r="209" spans="1:21" ht="15.75" customHeight="1">
      <c r="A209" s="230"/>
      <c r="B209" s="6" t="s">
        <v>16</v>
      </c>
      <c r="C209" s="6">
        <v>1</v>
      </c>
      <c r="D209" s="6">
        <v>3</v>
      </c>
      <c r="E209" s="6">
        <v>1</v>
      </c>
      <c r="F209" s="6">
        <v>7</v>
      </c>
      <c r="G209" s="6">
        <v>11</v>
      </c>
      <c r="H209" s="6">
        <v>15</v>
      </c>
      <c r="I209" s="6">
        <v>6</v>
      </c>
      <c r="J209" s="6">
        <v>7</v>
      </c>
      <c r="K209" s="227"/>
      <c r="L209" s="6" t="s">
        <v>16</v>
      </c>
      <c r="M209" s="6">
        <v>9</v>
      </c>
      <c r="N209" s="6">
        <v>4</v>
      </c>
      <c r="O209" s="6">
        <v>4</v>
      </c>
      <c r="P209" s="6">
        <v>4</v>
      </c>
      <c r="Q209" s="6">
        <v>7</v>
      </c>
      <c r="R209" s="6">
        <v>8</v>
      </c>
      <c r="S209" s="6">
        <v>2</v>
      </c>
      <c r="T209" s="51">
        <v>1</v>
      </c>
      <c r="U209" s="59">
        <f t="shared" si="34"/>
        <v>90</v>
      </c>
    </row>
    <row r="210" spans="1:21" ht="15.75" customHeight="1">
      <c r="A210" s="230"/>
      <c r="B210" s="6" t="s">
        <v>17</v>
      </c>
      <c r="C210" s="6">
        <v>7</v>
      </c>
      <c r="D210" s="6">
        <v>9</v>
      </c>
      <c r="E210" s="6">
        <v>10</v>
      </c>
      <c r="F210" s="6">
        <v>8</v>
      </c>
      <c r="G210" s="6">
        <v>10</v>
      </c>
      <c r="H210" s="6">
        <v>10</v>
      </c>
      <c r="I210" s="6">
        <v>2</v>
      </c>
      <c r="J210" s="6">
        <v>5</v>
      </c>
      <c r="K210" s="227"/>
      <c r="L210" s="6" t="s">
        <v>17</v>
      </c>
      <c r="M210" s="6">
        <v>5</v>
      </c>
      <c r="N210" s="6">
        <v>4</v>
      </c>
      <c r="O210" s="6">
        <v>2</v>
      </c>
      <c r="P210" s="6">
        <v>10</v>
      </c>
      <c r="Q210" s="6">
        <v>13</v>
      </c>
      <c r="R210" s="6">
        <v>12</v>
      </c>
      <c r="S210" s="6">
        <v>3</v>
      </c>
      <c r="T210" s="51">
        <v>1</v>
      </c>
      <c r="U210" s="59">
        <f t="shared" si="34"/>
        <v>111</v>
      </c>
    </row>
    <row r="211" spans="1:21" ht="15.75" customHeight="1">
      <c r="A211" s="230"/>
      <c r="B211" s="47" t="s">
        <v>18</v>
      </c>
      <c r="C211" s="47">
        <v>4</v>
      </c>
      <c r="D211" s="47">
        <v>16</v>
      </c>
      <c r="E211" s="47">
        <v>9</v>
      </c>
      <c r="F211" s="47">
        <v>9</v>
      </c>
      <c r="G211" s="47">
        <v>6</v>
      </c>
      <c r="H211" s="47">
        <v>8</v>
      </c>
      <c r="I211" s="47">
        <v>12</v>
      </c>
      <c r="J211" s="47">
        <v>8</v>
      </c>
      <c r="K211" s="227"/>
      <c r="L211" s="47" t="s">
        <v>18</v>
      </c>
      <c r="M211" s="47">
        <v>2</v>
      </c>
      <c r="N211" s="47">
        <v>2</v>
      </c>
      <c r="O211" s="47">
        <v>3</v>
      </c>
      <c r="P211" s="47">
        <v>12</v>
      </c>
      <c r="Q211" s="47">
        <v>9</v>
      </c>
      <c r="R211" s="47">
        <v>6</v>
      </c>
      <c r="S211" s="47">
        <v>4</v>
      </c>
      <c r="T211" s="70">
        <v>2</v>
      </c>
      <c r="U211" s="59">
        <f t="shared" si="34"/>
        <v>112</v>
      </c>
    </row>
    <row r="212" spans="1:21" ht="15.75" customHeight="1">
      <c r="A212" s="195" t="s">
        <v>9</v>
      </c>
      <c r="B212" s="56" t="s">
        <v>13</v>
      </c>
      <c r="C212" s="56">
        <v>17</v>
      </c>
      <c r="D212" s="56">
        <v>14</v>
      </c>
      <c r="E212" s="56">
        <v>17</v>
      </c>
      <c r="F212" s="56">
        <v>20</v>
      </c>
      <c r="G212" s="56">
        <v>39</v>
      </c>
      <c r="H212" s="56">
        <v>25</v>
      </c>
      <c r="I212" s="56">
        <v>21</v>
      </c>
      <c r="J212" s="56">
        <v>20</v>
      </c>
      <c r="K212" s="196" t="s">
        <v>9</v>
      </c>
      <c r="L212" s="56" t="s">
        <v>13</v>
      </c>
      <c r="M212" s="56">
        <v>18</v>
      </c>
      <c r="N212" s="56">
        <v>14</v>
      </c>
      <c r="O212" s="56">
        <v>11</v>
      </c>
      <c r="P212" s="56">
        <v>11</v>
      </c>
      <c r="Q212" s="56">
        <v>19</v>
      </c>
      <c r="R212" s="56">
        <v>25</v>
      </c>
      <c r="S212" s="56">
        <v>21</v>
      </c>
      <c r="T212" s="67">
        <v>10</v>
      </c>
      <c r="U212" s="59">
        <f t="shared" si="34"/>
        <v>302</v>
      </c>
    </row>
    <row r="213" spans="1:21" ht="15.75" customHeight="1">
      <c r="A213" s="230"/>
      <c r="B213" s="4" t="s">
        <v>14</v>
      </c>
      <c r="C213" s="4">
        <v>8</v>
      </c>
      <c r="D213" s="4">
        <v>6</v>
      </c>
      <c r="E213" s="4">
        <v>8</v>
      </c>
      <c r="F213" s="4">
        <v>12</v>
      </c>
      <c r="G213" s="4">
        <v>18</v>
      </c>
      <c r="H213" s="4">
        <v>13</v>
      </c>
      <c r="I213" s="4">
        <v>14</v>
      </c>
      <c r="J213" s="4">
        <v>10</v>
      </c>
      <c r="K213" s="227"/>
      <c r="L213" s="4" t="s">
        <v>14</v>
      </c>
      <c r="M213" s="4">
        <v>7</v>
      </c>
      <c r="N213" s="4">
        <v>6</v>
      </c>
      <c r="O213" s="4">
        <v>4</v>
      </c>
      <c r="P213" s="4">
        <v>5</v>
      </c>
      <c r="Q213" s="4">
        <v>11</v>
      </c>
      <c r="R213" s="4">
        <v>8</v>
      </c>
      <c r="S213" s="4">
        <v>6</v>
      </c>
      <c r="T213" s="50">
        <v>2</v>
      </c>
      <c r="U213" s="59">
        <f t="shared" si="34"/>
        <v>138</v>
      </c>
    </row>
    <row r="214" spans="1:21" ht="15.75" customHeight="1">
      <c r="A214" s="230"/>
      <c r="B214" s="4" t="s">
        <v>15</v>
      </c>
      <c r="C214" s="4">
        <v>17</v>
      </c>
      <c r="D214" s="4">
        <v>17</v>
      </c>
      <c r="E214" s="4">
        <v>18</v>
      </c>
      <c r="F214" s="4">
        <v>26</v>
      </c>
      <c r="G214" s="4">
        <v>26</v>
      </c>
      <c r="H214" s="4">
        <v>23</v>
      </c>
      <c r="I214" s="4">
        <v>21</v>
      </c>
      <c r="J214" s="4">
        <v>15</v>
      </c>
      <c r="K214" s="227"/>
      <c r="L214" s="4" t="s">
        <v>15</v>
      </c>
      <c r="M214" s="4">
        <v>17</v>
      </c>
      <c r="N214" s="4">
        <v>19</v>
      </c>
      <c r="O214" s="4">
        <v>12</v>
      </c>
      <c r="P214" s="4">
        <v>25</v>
      </c>
      <c r="Q214" s="4">
        <v>30</v>
      </c>
      <c r="R214" s="4">
        <v>21</v>
      </c>
      <c r="S214" s="4">
        <v>22</v>
      </c>
      <c r="T214" s="50">
        <v>18</v>
      </c>
      <c r="U214" s="59">
        <f t="shared" si="34"/>
        <v>327</v>
      </c>
    </row>
    <row r="215" spans="1:21" ht="15.75" customHeight="1">
      <c r="A215" s="230"/>
      <c r="B215" s="4" t="s">
        <v>16</v>
      </c>
      <c r="C215" s="4">
        <v>5</v>
      </c>
      <c r="D215" s="4">
        <v>5</v>
      </c>
      <c r="E215" s="4">
        <v>5</v>
      </c>
      <c r="F215" s="4">
        <v>16</v>
      </c>
      <c r="G215" s="4">
        <v>11</v>
      </c>
      <c r="H215" s="4">
        <v>9</v>
      </c>
      <c r="I215" s="4">
        <v>7</v>
      </c>
      <c r="J215" s="4">
        <v>3</v>
      </c>
      <c r="K215" s="227"/>
      <c r="L215" s="4" t="s">
        <v>16</v>
      </c>
      <c r="M215" s="4">
        <v>4</v>
      </c>
      <c r="N215" s="4">
        <v>5</v>
      </c>
      <c r="O215" s="4">
        <v>5</v>
      </c>
      <c r="P215" s="4">
        <v>7</v>
      </c>
      <c r="Q215" s="4">
        <v>13</v>
      </c>
      <c r="R215" s="4">
        <v>3</v>
      </c>
      <c r="S215" s="4">
        <v>2</v>
      </c>
      <c r="T215" s="50">
        <v>9</v>
      </c>
      <c r="U215" s="59">
        <f t="shared" si="34"/>
        <v>109</v>
      </c>
    </row>
    <row r="216" spans="1:21" ht="15.75" customHeight="1">
      <c r="A216" s="230"/>
      <c r="B216" s="4" t="s">
        <v>17</v>
      </c>
      <c r="C216" s="4">
        <v>10</v>
      </c>
      <c r="D216" s="4">
        <v>12</v>
      </c>
      <c r="E216" s="4">
        <v>2</v>
      </c>
      <c r="F216" s="4">
        <v>6</v>
      </c>
      <c r="G216" s="4">
        <v>4</v>
      </c>
      <c r="H216" s="4">
        <v>3</v>
      </c>
      <c r="I216" s="4">
        <v>3</v>
      </c>
      <c r="J216" s="4">
        <v>4</v>
      </c>
      <c r="K216" s="227"/>
      <c r="L216" s="4" t="s">
        <v>17</v>
      </c>
      <c r="M216" s="4">
        <v>2</v>
      </c>
      <c r="N216" s="4">
        <v>3</v>
      </c>
      <c r="O216" s="4">
        <v>5</v>
      </c>
      <c r="P216" s="4">
        <v>4</v>
      </c>
      <c r="Q216" s="4">
        <v>5</v>
      </c>
      <c r="R216" s="4">
        <v>8</v>
      </c>
      <c r="S216" s="4">
        <v>2</v>
      </c>
      <c r="T216" s="50">
        <v>6</v>
      </c>
      <c r="U216" s="59">
        <f t="shared" si="34"/>
        <v>79</v>
      </c>
    </row>
    <row r="217" spans="1:21" ht="15.75" customHeight="1">
      <c r="A217" s="230"/>
      <c r="B217" s="46" t="s">
        <v>18</v>
      </c>
      <c r="C217" s="46">
        <v>12</v>
      </c>
      <c r="D217" s="46">
        <v>6</v>
      </c>
      <c r="E217" s="46">
        <v>6</v>
      </c>
      <c r="F217" s="46">
        <v>5</v>
      </c>
      <c r="G217" s="46">
        <v>4</v>
      </c>
      <c r="H217" s="46">
        <v>10</v>
      </c>
      <c r="I217" s="46">
        <v>10</v>
      </c>
      <c r="J217" s="46">
        <v>6</v>
      </c>
      <c r="K217" s="227"/>
      <c r="L217" s="46" t="s">
        <v>18</v>
      </c>
      <c r="M217" s="46">
        <v>3</v>
      </c>
      <c r="N217" s="46">
        <v>2</v>
      </c>
      <c r="O217" s="46">
        <v>2</v>
      </c>
      <c r="P217" s="46">
        <v>7</v>
      </c>
      <c r="Q217" s="46">
        <v>6</v>
      </c>
      <c r="R217" s="46">
        <v>5</v>
      </c>
      <c r="S217" s="46">
        <v>5</v>
      </c>
      <c r="T217" s="69">
        <v>6</v>
      </c>
      <c r="U217" s="59">
        <f t="shared" si="34"/>
        <v>95</v>
      </c>
    </row>
    <row r="218" spans="1:21" ht="15.75" customHeight="1">
      <c r="A218" s="193" t="s">
        <v>10</v>
      </c>
      <c r="B218" s="63" t="s">
        <v>13</v>
      </c>
      <c r="C218" s="99">
        <v>16</v>
      </c>
      <c r="D218" s="99">
        <v>18</v>
      </c>
      <c r="E218" s="99">
        <v>21</v>
      </c>
      <c r="F218" s="99">
        <v>20</v>
      </c>
      <c r="G218" s="99">
        <v>25</v>
      </c>
      <c r="H218" s="99">
        <v>35</v>
      </c>
      <c r="I218" s="99">
        <v>31</v>
      </c>
      <c r="J218" s="99">
        <v>25</v>
      </c>
      <c r="K218" s="194" t="s">
        <v>10</v>
      </c>
      <c r="L218" s="63" t="s">
        <v>13</v>
      </c>
      <c r="M218" s="99">
        <v>13</v>
      </c>
      <c r="N218" s="99">
        <v>20</v>
      </c>
      <c r="O218" s="99">
        <v>8</v>
      </c>
      <c r="P218" s="99">
        <v>15</v>
      </c>
      <c r="Q218" s="99">
        <v>30</v>
      </c>
      <c r="R218" s="121">
        <v>33</v>
      </c>
      <c r="S218" s="121">
        <v>25</v>
      </c>
      <c r="T218" s="124">
        <v>15</v>
      </c>
      <c r="U218" s="59">
        <f t="shared" si="34"/>
        <v>350</v>
      </c>
    </row>
    <row r="219" spans="1:21" ht="15.75" customHeight="1">
      <c r="A219" s="230"/>
      <c r="B219" s="6" t="s">
        <v>14</v>
      </c>
      <c r="C219" s="100">
        <v>5</v>
      </c>
      <c r="D219" s="100">
        <v>6</v>
      </c>
      <c r="E219" s="100">
        <v>9</v>
      </c>
      <c r="F219" s="100">
        <v>10</v>
      </c>
      <c r="G219" s="100">
        <v>12</v>
      </c>
      <c r="H219" s="100">
        <v>18</v>
      </c>
      <c r="I219" s="100">
        <v>14</v>
      </c>
      <c r="J219" s="100">
        <v>12</v>
      </c>
      <c r="K219" s="227"/>
      <c r="L219" s="6" t="s">
        <v>14</v>
      </c>
      <c r="M219" s="100">
        <v>6</v>
      </c>
      <c r="N219" s="100">
        <v>13</v>
      </c>
      <c r="O219" s="100">
        <v>8</v>
      </c>
      <c r="P219" s="100">
        <v>3</v>
      </c>
      <c r="Q219" s="100">
        <v>8</v>
      </c>
      <c r="R219" s="122">
        <v>3</v>
      </c>
      <c r="S219" s="122">
        <v>5</v>
      </c>
      <c r="T219" s="125">
        <v>3</v>
      </c>
      <c r="U219" s="59">
        <f t="shared" si="34"/>
        <v>135</v>
      </c>
    </row>
    <row r="220" spans="1:21" ht="15.75" customHeight="1">
      <c r="A220" s="230"/>
      <c r="B220" s="6" t="s">
        <v>15</v>
      </c>
      <c r="C220" s="100">
        <v>17</v>
      </c>
      <c r="D220" s="100">
        <v>13</v>
      </c>
      <c r="E220" s="100">
        <v>19</v>
      </c>
      <c r="F220" s="100">
        <v>21</v>
      </c>
      <c r="G220" s="100">
        <v>15</v>
      </c>
      <c r="H220" s="100">
        <v>21</v>
      </c>
      <c r="I220" s="100">
        <v>19</v>
      </c>
      <c r="J220" s="100">
        <v>17</v>
      </c>
      <c r="K220" s="227"/>
      <c r="L220" s="6" t="s">
        <v>15</v>
      </c>
      <c r="M220" s="100">
        <v>17</v>
      </c>
      <c r="N220" s="100">
        <v>14</v>
      </c>
      <c r="O220" s="100">
        <v>15</v>
      </c>
      <c r="P220" s="100">
        <v>30</v>
      </c>
      <c r="Q220" s="100">
        <v>19</v>
      </c>
      <c r="R220" s="122">
        <v>34</v>
      </c>
      <c r="S220" s="122">
        <v>19</v>
      </c>
      <c r="T220" s="125">
        <v>20</v>
      </c>
      <c r="U220" s="59">
        <f t="shared" si="34"/>
        <v>310</v>
      </c>
    </row>
    <row r="221" spans="1:21" ht="15.75" customHeight="1">
      <c r="A221" s="230"/>
      <c r="B221" s="6" t="s">
        <v>16</v>
      </c>
      <c r="C221" s="100">
        <v>3</v>
      </c>
      <c r="D221" s="100">
        <v>4</v>
      </c>
      <c r="E221" s="100">
        <v>7</v>
      </c>
      <c r="F221" s="100">
        <v>6</v>
      </c>
      <c r="G221" s="100">
        <v>11</v>
      </c>
      <c r="H221" s="100">
        <v>15</v>
      </c>
      <c r="I221" s="100">
        <v>14</v>
      </c>
      <c r="J221" s="100">
        <v>12</v>
      </c>
      <c r="K221" s="227"/>
      <c r="L221" s="6" t="s">
        <v>16</v>
      </c>
      <c r="M221" s="100">
        <v>9</v>
      </c>
      <c r="N221" s="100">
        <v>3</v>
      </c>
      <c r="O221" s="100">
        <v>8</v>
      </c>
      <c r="P221" s="100">
        <v>14</v>
      </c>
      <c r="Q221" s="100">
        <v>7</v>
      </c>
      <c r="R221" s="122">
        <v>8</v>
      </c>
      <c r="S221" s="122">
        <v>3</v>
      </c>
      <c r="T221" s="125">
        <v>6</v>
      </c>
      <c r="U221" s="59">
        <f t="shared" si="34"/>
        <v>130</v>
      </c>
    </row>
    <row r="222" spans="1:21" ht="15.75" customHeight="1">
      <c r="A222" s="230"/>
      <c r="B222" s="6" t="s">
        <v>17</v>
      </c>
      <c r="C222" s="100">
        <v>4</v>
      </c>
      <c r="D222" s="100">
        <v>7</v>
      </c>
      <c r="E222" s="100">
        <v>8</v>
      </c>
      <c r="F222" s="100">
        <v>10</v>
      </c>
      <c r="G222" s="100">
        <v>10</v>
      </c>
      <c r="H222" s="100">
        <v>12</v>
      </c>
      <c r="I222" s="100">
        <v>10</v>
      </c>
      <c r="J222" s="100">
        <v>7</v>
      </c>
      <c r="K222" s="227"/>
      <c r="L222" s="6" t="s">
        <v>17</v>
      </c>
      <c r="M222" s="100">
        <v>7</v>
      </c>
      <c r="N222" s="100">
        <v>4</v>
      </c>
      <c r="O222" s="100">
        <v>4</v>
      </c>
      <c r="P222" s="100">
        <v>6</v>
      </c>
      <c r="Q222" s="100">
        <v>4</v>
      </c>
      <c r="R222" s="122">
        <v>10</v>
      </c>
      <c r="S222" s="122">
        <v>2</v>
      </c>
      <c r="T222" s="125">
        <v>3</v>
      </c>
      <c r="U222" s="59">
        <f t="shared" si="34"/>
        <v>108</v>
      </c>
    </row>
    <row r="223" spans="1:21" ht="15.75" customHeight="1">
      <c r="A223" s="230"/>
      <c r="B223" s="47" t="s">
        <v>18</v>
      </c>
      <c r="C223" s="101">
        <v>14</v>
      </c>
      <c r="D223" s="101">
        <v>6</v>
      </c>
      <c r="E223" s="101">
        <v>7</v>
      </c>
      <c r="F223" s="101">
        <v>9</v>
      </c>
      <c r="G223" s="101">
        <v>9</v>
      </c>
      <c r="H223" s="101">
        <v>12</v>
      </c>
      <c r="I223" s="101">
        <v>5</v>
      </c>
      <c r="J223" s="101">
        <v>5</v>
      </c>
      <c r="K223" s="227"/>
      <c r="L223" s="47" t="s">
        <v>18</v>
      </c>
      <c r="M223" s="101">
        <v>2</v>
      </c>
      <c r="N223" s="101">
        <v>4</v>
      </c>
      <c r="O223" s="101">
        <v>6</v>
      </c>
      <c r="P223" s="101">
        <v>7</v>
      </c>
      <c r="Q223" s="101">
        <v>4</v>
      </c>
      <c r="R223" s="123">
        <v>16</v>
      </c>
      <c r="S223" s="123">
        <v>15</v>
      </c>
      <c r="T223" s="126">
        <v>7</v>
      </c>
      <c r="U223" s="59">
        <f t="shared" si="34"/>
        <v>128</v>
      </c>
    </row>
    <row r="224" spans="1:21" ht="15.75" customHeight="1">
      <c r="A224" s="195" t="s">
        <v>11</v>
      </c>
      <c r="B224" s="56" t="s">
        <v>13</v>
      </c>
      <c r="C224" s="128">
        <v>13</v>
      </c>
      <c r="D224" s="128">
        <v>18</v>
      </c>
      <c r="E224" s="128">
        <v>29</v>
      </c>
      <c r="F224" s="128">
        <v>36</v>
      </c>
      <c r="G224" s="128">
        <v>32</v>
      </c>
      <c r="H224" s="128">
        <v>40</v>
      </c>
      <c r="I224" s="128">
        <v>26</v>
      </c>
      <c r="J224" s="128">
        <v>30</v>
      </c>
      <c r="K224" s="196" t="s">
        <v>11</v>
      </c>
      <c r="L224" s="56" t="s">
        <v>13</v>
      </c>
      <c r="M224" s="128">
        <v>35</v>
      </c>
      <c r="N224" s="128">
        <v>29</v>
      </c>
      <c r="O224" s="128">
        <v>19</v>
      </c>
      <c r="P224" s="128">
        <v>21</v>
      </c>
      <c r="Q224" s="128">
        <v>9</v>
      </c>
      <c r="R224" s="128">
        <v>7</v>
      </c>
      <c r="S224" s="128">
        <v>8</v>
      </c>
      <c r="T224" s="131">
        <v>3</v>
      </c>
      <c r="U224" s="59">
        <f t="shared" si="34"/>
        <v>355</v>
      </c>
    </row>
    <row r="225" spans="1:21" ht="15.75" customHeight="1">
      <c r="A225" s="230"/>
      <c r="B225" s="4" t="s">
        <v>14</v>
      </c>
      <c r="C225" s="128">
        <v>7</v>
      </c>
      <c r="D225" s="128">
        <v>4</v>
      </c>
      <c r="E225" s="128">
        <v>9</v>
      </c>
      <c r="F225" s="128">
        <v>15</v>
      </c>
      <c r="G225" s="128">
        <v>11</v>
      </c>
      <c r="H225" s="128">
        <v>18</v>
      </c>
      <c r="I225" s="128">
        <v>9</v>
      </c>
      <c r="J225" s="128">
        <v>15</v>
      </c>
      <c r="K225" s="227"/>
      <c r="L225" s="4" t="s">
        <v>14</v>
      </c>
      <c r="M225" s="128">
        <v>9</v>
      </c>
      <c r="N225" s="128">
        <v>12</v>
      </c>
      <c r="O225" s="128">
        <v>14</v>
      </c>
      <c r="P225" s="128">
        <v>8</v>
      </c>
      <c r="Q225" s="128">
        <v>0</v>
      </c>
      <c r="R225" s="128">
        <v>2</v>
      </c>
      <c r="S225" s="128">
        <v>1</v>
      </c>
      <c r="T225" s="131">
        <v>662</v>
      </c>
      <c r="U225" s="59">
        <f t="shared" si="34"/>
        <v>796</v>
      </c>
    </row>
    <row r="226" spans="1:21" ht="15.75" customHeight="1">
      <c r="A226" s="230"/>
      <c r="B226" s="4" t="s">
        <v>15</v>
      </c>
      <c r="C226" s="128">
        <v>8</v>
      </c>
      <c r="D226" s="128">
        <v>11</v>
      </c>
      <c r="E226" s="128">
        <v>12</v>
      </c>
      <c r="F226" s="128">
        <v>13</v>
      </c>
      <c r="G226" s="128">
        <v>23</v>
      </c>
      <c r="H226" s="128">
        <v>27</v>
      </c>
      <c r="I226" s="128">
        <v>19</v>
      </c>
      <c r="J226" s="128">
        <v>16</v>
      </c>
      <c r="K226" s="227"/>
      <c r="L226" s="4" t="s">
        <v>15</v>
      </c>
      <c r="M226" s="128">
        <v>25</v>
      </c>
      <c r="N226" s="128">
        <v>23</v>
      </c>
      <c r="O226" s="128">
        <v>19</v>
      </c>
      <c r="P226" s="128">
        <v>22</v>
      </c>
      <c r="Q226" s="128">
        <v>13</v>
      </c>
      <c r="R226" s="128">
        <v>10</v>
      </c>
      <c r="S226" s="128">
        <v>7</v>
      </c>
      <c r="T226" s="131">
        <v>2</v>
      </c>
      <c r="U226" s="59">
        <f t="shared" si="34"/>
        <v>250</v>
      </c>
    </row>
    <row r="227" spans="1:21" ht="15.75" customHeight="1">
      <c r="A227" s="230"/>
      <c r="B227" s="4" t="s">
        <v>16</v>
      </c>
      <c r="C227" s="128"/>
      <c r="D227" s="128">
        <v>6</v>
      </c>
      <c r="E227" s="128">
        <v>9</v>
      </c>
      <c r="F227" s="128">
        <v>12</v>
      </c>
      <c r="G227" s="128">
        <v>9</v>
      </c>
      <c r="H227" s="128">
        <v>16</v>
      </c>
      <c r="I227" s="128">
        <v>10</v>
      </c>
      <c r="J227" s="128">
        <v>8</v>
      </c>
      <c r="K227" s="227"/>
      <c r="L227" s="4" t="s">
        <v>16</v>
      </c>
      <c r="M227" s="128">
        <v>8</v>
      </c>
      <c r="N227" s="128">
        <v>11</v>
      </c>
      <c r="O227" s="128">
        <v>9</v>
      </c>
      <c r="P227" s="128">
        <v>3</v>
      </c>
      <c r="Q227" s="128">
        <v>2</v>
      </c>
      <c r="R227" s="128">
        <v>0</v>
      </c>
      <c r="S227" s="128">
        <v>0</v>
      </c>
      <c r="T227" s="131">
        <v>0</v>
      </c>
      <c r="U227" s="59">
        <f t="shared" si="34"/>
        <v>103</v>
      </c>
    </row>
    <row r="228" spans="1:21" ht="15.75" customHeight="1">
      <c r="A228" s="230"/>
      <c r="B228" s="4" t="s">
        <v>17</v>
      </c>
      <c r="C228" s="128">
        <v>1</v>
      </c>
      <c r="D228" s="128">
        <v>5</v>
      </c>
      <c r="E228" s="128">
        <v>5</v>
      </c>
      <c r="F228" s="128">
        <v>9</v>
      </c>
      <c r="G228" s="128">
        <v>10</v>
      </c>
      <c r="H228" s="128">
        <v>9</v>
      </c>
      <c r="I228" s="128">
        <v>10</v>
      </c>
      <c r="J228" s="128">
        <v>9</v>
      </c>
      <c r="K228" s="227"/>
      <c r="L228" s="4" t="s">
        <v>17</v>
      </c>
      <c r="M228" s="128">
        <v>7</v>
      </c>
      <c r="N228" s="128">
        <v>8</v>
      </c>
      <c r="O228" s="128">
        <v>6</v>
      </c>
      <c r="P228" s="128">
        <v>5</v>
      </c>
      <c r="Q228" s="128">
        <v>5</v>
      </c>
      <c r="R228" s="128">
        <v>5</v>
      </c>
      <c r="S228" s="128">
        <v>2</v>
      </c>
      <c r="T228" s="131">
        <v>2</v>
      </c>
      <c r="U228" s="59">
        <f t="shared" si="34"/>
        <v>98</v>
      </c>
    </row>
    <row r="229" spans="1:21" ht="15.75" customHeight="1">
      <c r="A229" s="231"/>
      <c r="B229" s="61" t="s">
        <v>18</v>
      </c>
      <c r="C229" s="129">
        <v>4</v>
      </c>
      <c r="D229" s="129">
        <v>3</v>
      </c>
      <c r="E229" s="129">
        <v>4</v>
      </c>
      <c r="F229" s="129">
        <v>17</v>
      </c>
      <c r="G229" s="129">
        <v>12</v>
      </c>
      <c r="H229" s="129">
        <v>17</v>
      </c>
      <c r="I229" s="129">
        <v>14</v>
      </c>
      <c r="J229" s="129">
        <v>3</v>
      </c>
      <c r="K229" s="232"/>
      <c r="L229" s="61" t="s">
        <v>18</v>
      </c>
      <c r="M229" s="129">
        <v>7</v>
      </c>
      <c r="N229" s="129">
        <v>4</v>
      </c>
      <c r="O229" s="129">
        <v>8</v>
      </c>
      <c r="P229" s="129">
        <v>7</v>
      </c>
      <c r="Q229" s="129">
        <v>2</v>
      </c>
      <c r="R229" s="129">
        <v>3</v>
      </c>
      <c r="S229" s="129">
        <v>3</v>
      </c>
      <c r="T229" s="132">
        <v>0</v>
      </c>
      <c r="U229" s="59">
        <f t="shared" si="34"/>
        <v>108</v>
      </c>
    </row>
  </sheetData>
  <mergeCells count="111">
    <mergeCell ref="AD4:AE4"/>
    <mergeCell ref="AG4:AN4"/>
    <mergeCell ref="AP4:AW4"/>
    <mergeCell ref="Z6:AA6"/>
    <mergeCell ref="C1:G1"/>
    <mergeCell ref="B2:D2"/>
    <mergeCell ref="F2:H2"/>
    <mergeCell ref="L2:N2"/>
    <mergeCell ref="P2:R2"/>
    <mergeCell ref="K4:K9"/>
    <mergeCell ref="A22:A27"/>
    <mergeCell ref="K22:K27"/>
    <mergeCell ref="A28:A33"/>
    <mergeCell ref="K28:K33"/>
    <mergeCell ref="A34:A39"/>
    <mergeCell ref="K34:K39"/>
    <mergeCell ref="Z8:AA8"/>
    <mergeCell ref="A10:A15"/>
    <mergeCell ref="K10:K15"/>
    <mergeCell ref="Z10:AA10"/>
    <mergeCell ref="A16:A21"/>
    <mergeCell ref="K16:K21"/>
    <mergeCell ref="A4:A9"/>
    <mergeCell ref="W4:X4"/>
    <mergeCell ref="Z4:AA4"/>
    <mergeCell ref="W50:X50"/>
    <mergeCell ref="AG50:AN50"/>
    <mergeCell ref="A56:A61"/>
    <mergeCell ref="K56:K61"/>
    <mergeCell ref="A40:A45"/>
    <mergeCell ref="K40:K45"/>
    <mergeCell ref="C47:G47"/>
    <mergeCell ref="B48:D48"/>
    <mergeCell ref="F48:H48"/>
    <mergeCell ref="L48:N48"/>
    <mergeCell ref="A62:A67"/>
    <mergeCell ref="K62:K67"/>
    <mergeCell ref="A68:A73"/>
    <mergeCell ref="K68:K73"/>
    <mergeCell ref="A74:A79"/>
    <mergeCell ref="K74:K79"/>
    <mergeCell ref="P48:R48"/>
    <mergeCell ref="A50:A55"/>
    <mergeCell ref="K50:K55"/>
    <mergeCell ref="W96:X96"/>
    <mergeCell ref="AG96:AN96"/>
    <mergeCell ref="A80:A85"/>
    <mergeCell ref="K80:K85"/>
    <mergeCell ref="A86:A91"/>
    <mergeCell ref="K86:K91"/>
    <mergeCell ref="C93:G93"/>
    <mergeCell ref="B94:D94"/>
    <mergeCell ref="F94:H94"/>
    <mergeCell ref="A102:A107"/>
    <mergeCell ref="K102:K107"/>
    <mergeCell ref="A108:A113"/>
    <mergeCell ref="K108:K113"/>
    <mergeCell ref="A114:A119"/>
    <mergeCell ref="K114:K119"/>
    <mergeCell ref="L94:N94"/>
    <mergeCell ref="P94:R94"/>
    <mergeCell ref="A96:A101"/>
    <mergeCell ref="K96:K101"/>
    <mergeCell ref="C139:G139"/>
    <mergeCell ref="B140:D140"/>
    <mergeCell ref="F140:H140"/>
    <mergeCell ref="L140:N140"/>
    <mergeCell ref="P140:R140"/>
    <mergeCell ref="A142:A147"/>
    <mergeCell ref="K142:K147"/>
    <mergeCell ref="A120:A125"/>
    <mergeCell ref="K120:K125"/>
    <mergeCell ref="A126:A131"/>
    <mergeCell ref="K126:K131"/>
    <mergeCell ref="A132:A137"/>
    <mergeCell ref="K132:K137"/>
    <mergeCell ref="A160:A165"/>
    <mergeCell ref="K160:K165"/>
    <mergeCell ref="A166:A171"/>
    <mergeCell ref="K166:K171"/>
    <mergeCell ref="A172:A177"/>
    <mergeCell ref="K172:K177"/>
    <mergeCell ref="W142:X142"/>
    <mergeCell ref="AG142:AN142"/>
    <mergeCell ref="A148:A153"/>
    <mergeCell ref="K148:K153"/>
    <mergeCell ref="A154:A159"/>
    <mergeCell ref="K154:K159"/>
    <mergeCell ref="P186:R186"/>
    <mergeCell ref="A188:A193"/>
    <mergeCell ref="K188:K193"/>
    <mergeCell ref="W188:X188"/>
    <mergeCell ref="AG188:AN188"/>
    <mergeCell ref="A194:A199"/>
    <mergeCell ref="K194:K199"/>
    <mergeCell ref="A178:A183"/>
    <mergeCell ref="K178:K183"/>
    <mergeCell ref="C185:G185"/>
    <mergeCell ref="B186:D186"/>
    <mergeCell ref="F186:H186"/>
    <mergeCell ref="L186:N186"/>
    <mergeCell ref="A218:A223"/>
    <mergeCell ref="K218:K223"/>
    <mergeCell ref="A224:A229"/>
    <mergeCell ref="K224:K229"/>
    <mergeCell ref="A200:A205"/>
    <mergeCell ref="K200:K205"/>
    <mergeCell ref="A206:A211"/>
    <mergeCell ref="K206:K211"/>
    <mergeCell ref="A212:A217"/>
    <mergeCell ref="K212:K217"/>
  </mergeCells>
  <printOptions horizontalCentered="1" verticalCentered="1"/>
  <pageMargins left="0.25" right="0.25" top="0.25" bottom="0.25" header="0" footer="0"/>
  <pageSetup pageOrder="overThenDown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0A855-3822-406E-86CB-B5CA9F27F748}">
  <sheetPr>
    <outlinePr summaryBelow="0" summaryRight="0"/>
    <pageSetUpPr fitToPage="1"/>
  </sheetPr>
  <dimension ref="A1:AW229"/>
  <sheetViews>
    <sheetView workbookViewId="0">
      <selection activeCell="N212" sqref="N212"/>
    </sheetView>
  </sheetViews>
  <sheetFormatPr defaultColWidth="12.5703125" defaultRowHeight="15.75" customHeight="1"/>
  <cols>
    <col min="1" max="1" width="13.140625" bestFit="1" customWidth="1"/>
    <col min="2" max="2" width="16.140625" bestFit="1" customWidth="1"/>
    <col min="3" max="10" width="10.42578125" customWidth="1"/>
    <col min="11" max="11" width="13.140625" bestFit="1" customWidth="1"/>
    <col min="12" max="12" width="16.140625" bestFit="1" customWidth="1"/>
    <col min="13" max="20" width="10.42578125" customWidth="1"/>
    <col min="21" max="22" width="9.140625"/>
    <col min="23" max="23" width="13" bestFit="1" customWidth="1"/>
    <col min="24" max="26" width="9.140625"/>
    <col min="27" max="27" width="14.140625" customWidth="1"/>
  </cols>
  <sheetData>
    <row r="1" spans="1:49" ht="18.75" customHeight="1">
      <c r="A1" s="1"/>
      <c r="B1" s="1"/>
      <c r="C1" s="183" t="s">
        <v>0</v>
      </c>
      <c r="D1" s="225"/>
      <c r="E1" s="225"/>
      <c r="F1" s="225"/>
      <c r="G1" s="226"/>
      <c r="H1" s="2"/>
      <c r="I1" s="1"/>
    </row>
    <row r="2" spans="1:49" ht="18.75" customHeight="1">
      <c r="A2" s="1"/>
      <c r="B2" s="183" t="s">
        <v>1</v>
      </c>
      <c r="C2" s="225"/>
      <c r="D2" s="226"/>
      <c r="E2" s="1"/>
      <c r="F2" s="184" t="s">
        <v>39</v>
      </c>
      <c r="G2" s="225"/>
      <c r="H2" s="226"/>
      <c r="I2" s="1"/>
      <c r="K2" s="1"/>
      <c r="L2" s="183" t="s">
        <v>26</v>
      </c>
      <c r="M2" s="225"/>
      <c r="N2" s="226"/>
      <c r="O2" s="1"/>
      <c r="P2" s="184" t="s">
        <v>2</v>
      </c>
      <c r="Q2" s="225"/>
      <c r="R2" s="226"/>
      <c r="S2" s="1"/>
    </row>
    <row r="3" spans="1:49" ht="18.75" customHeight="1">
      <c r="A3" s="54" t="s">
        <v>35</v>
      </c>
      <c r="B3" s="54" t="s">
        <v>4</v>
      </c>
      <c r="C3" s="54" t="s">
        <v>12</v>
      </c>
      <c r="D3" s="54" t="s">
        <v>19</v>
      </c>
      <c r="E3" s="54" t="s">
        <v>20</v>
      </c>
      <c r="F3" s="54" t="s">
        <v>21</v>
      </c>
      <c r="G3" s="54" t="s">
        <v>22</v>
      </c>
      <c r="H3" s="54" t="s">
        <v>23</v>
      </c>
      <c r="I3" s="54" t="s">
        <v>24</v>
      </c>
      <c r="J3" s="54" t="s">
        <v>25</v>
      </c>
      <c r="K3" s="54" t="s">
        <v>35</v>
      </c>
      <c r="L3" s="54" t="s">
        <v>4</v>
      </c>
      <c r="M3" s="54" t="s">
        <v>27</v>
      </c>
      <c r="N3" s="54" t="s">
        <v>28</v>
      </c>
      <c r="O3" s="54" t="s">
        <v>29</v>
      </c>
      <c r="P3" s="54" t="s">
        <v>30</v>
      </c>
      <c r="Q3" s="54" t="s">
        <v>31</v>
      </c>
      <c r="R3" s="54" t="s">
        <v>32</v>
      </c>
      <c r="S3" s="54" t="s">
        <v>33</v>
      </c>
      <c r="T3" s="54" t="s">
        <v>34</v>
      </c>
      <c r="U3" s="54" t="s">
        <v>55</v>
      </c>
    </row>
    <row r="4" spans="1:49" ht="18.75" customHeight="1">
      <c r="A4" s="195" t="s">
        <v>5</v>
      </c>
      <c r="B4" s="56" t="s">
        <v>13</v>
      </c>
      <c r="C4" s="57"/>
      <c r="D4" s="57"/>
      <c r="E4" s="56">
        <v>5</v>
      </c>
      <c r="F4" s="56">
        <v>18</v>
      </c>
      <c r="G4" s="56">
        <v>22</v>
      </c>
      <c r="H4" s="56">
        <v>30</v>
      </c>
      <c r="I4" s="56">
        <v>38</v>
      </c>
      <c r="J4" s="56">
        <v>28</v>
      </c>
      <c r="K4" s="196" t="s">
        <v>5</v>
      </c>
      <c r="L4" s="56" t="s">
        <v>13</v>
      </c>
      <c r="M4" s="56">
        <v>23</v>
      </c>
      <c r="N4" s="56">
        <v>24</v>
      </c>
      <c r="O4" s="56">
        <v>25</v>
      </c>
      <c r="P4" s="56">
        <v>20</v>
      </c>
      <c r="Q4" s="56">
        <v>17</v>
      </c>
      <c r="R4" s="57"/>
      <c r="S4" s="57"/>
      <c r="T4" s="58"/>
      <c r="U4" s="59">
        <f>SUM(M4:T4,C4:J4)</f>
        <v>250</v>
      </c>
      <c r="W4" s="197" t="s">
        <v>2</v>
      </c>
      <c r="X4" s="198"/>
      <c r="Z4" s="197" t="s">
        <v>56</v>
      </c>
      <c r="AA4" s="203"/>
      <c r="AB4" s="83">
        <f>SUM(X12,X58,X104,X150,X196)</f>
        <v>37011</v>
      </c>
      <c r="AD4" s="197" t="s">
        <v>57</v>
      </c>
      <c r="AE4" s="198"/>
      <c r="AG4" s="190" t="s">
        <v>58</v>
      </c>
      <c r="AH4" s="191"/>
      <c r="AI4" s="191"/>
      <c r="AJ4" s="191"/>
      <c r="AK4" s="191"/>
      <c r="AL4" s="191"/>
      <c r="AM4" s="191"/>
      <c r="AN4" s="192"/>
      <c r="AP4" s="190" t="s">
        <v>59</v>
      </c>
      <c r="AQ4" s="191"/>
      <c r="AR4" s="191"/>
      <c r="AS4" s="191"/>
      <c r="AT4" s="191"/>
      <c r="AU4" s="191"/>
      <c r="AV4" s="191"/>
      <c r="AW4" s="192"/>
    </row>
    <row r="5" spans="1:49" ht="18.75" customHeight="1">
      <c r="A5" s="230"/>
      <c r="B5" s="4" t="s">
        <v>14</v>
      </c>
      <c r="C5" s="5"/>
      <c r="D5" s="5"/>
      <c r="E5" s="4">
        <v>4</v>
      </c>
      <c r="F5" s="4">
        <v>5</v>
      </c>
      <c r="G5" s="4">
        <v>3</v>
      </c>
      <c r="H5" s="4">
        <v>5</v>
      </c>
      <c r="I5" s="4">
        <v>7</v>
      </c>
      <c r="J5" s="4">
        <v>10</v>
      </c>
      <c r="K5" s="227"/>
      <c r="L5" s="4" t="s">
        <v>14</v>
      </c>
      <c r="M5" s="4">
        <v>8</v>
      </c>
      <c r="N5" s="4">
        <v>9</v>
      </c>
      <c r="O5" s="4">
        <v>10</v>
      </c>
      <c r="P5" s="4">
        <v>8</v>
      </c>
      <c r="Q5" s="4">
        <v>5</v>
      </c>
      <c r="R5" s="5"/>
      <c r="S5" s="5"/>
      <c r="T5" s="49"/>
      <c r="U5" s="60">
        <f>SUM(C5:J5,M5:T5)</f>
        <v>74</v>
      </c>
      <c r="W5" s="55" t="s">
        <v>5</v>
      </c>
      <c r="X5" s="48">
        <f>SUM(U4:U9)</f>
        <v>718</v>
      </c>
      <c r="AD5" s="55" t="s">
        <v>5</v>
      </c>
      <c r="AE5" s="48">
        <f t="shared" ref="AE5:AE11" si="0">AVERAGE(X5,X51,X97,X143,X189)</f>
        <v>778.6</v>
      </c>
      <c r="AG5" s="98" t="s">
        <v>4</v>
      </c>
      <c r="AH5" s="98" t="s">
        <v>5</v>
      </c>
      <c r="AI5" s="98" t="s">
        <v>6</v>
      </c>
      <c r="AJ5" s="98" t="s">
        <v>7</v>
      </c>
      <c r="AK5" s="98" t="s">
        <v>8</v>
      </c>
      <c r="AL5" s="98" t="s">
        <v>9</v>
      </c>
      <c r="AM5" s="98" t="s">
        <v>10</v>
      </c>
      <c r="AN5" s="98" t="s">
        <v>11</v>
      </c>
      <c r="AP5" s="98" t="s">
        <v>4</v>
      </c>
      <c r="AQ5" s="98" t="s">
        <v>5</v>
      </c>
      <c r="AR5" s="98" t="s">
        <v>6</v>
      </c>
      <c r="AS5" s="98" t="s">
        <v>7</v>
      </c>
      <c r="AT5" s="98" t="s">
        <v>8</v>
      </c>
      <c r="AU5" s="98" t="s">
        <v>9</v>
      </c>
      <c r="AV5" s="98" t="s">
        <v>10</v>
      </c>
      <c r="AW5" s="98" t="s">
        <v>11</v>
      </c>
    </row>
    <row r="6" spans="1:49" ht="18.75" customHeight="1">
      <c r="A6" s="230"/>
      <c r="B6" s="4" t="s">
        <v>15</v>
      </c>
      <c r="C6" s="5"/>
      <c r="D6" s="5"/>
      <c r="E6" s="4">
        <v>3</v>
      </c>
      <c r="F6" s="4">
        <v>11</v>
      </c>
      <c r="G6" s="4">
        <v>11</v>
      </c>
      <c r="H6" s="4">
        <v>26</v>
      </c>
      <c r="I6" s="4">
        <v>20</v>
      </c>
      <c r="J6" s="4">
        <v>22</v>
      </c>
      <c r="K6" s="227"/>
      <c r="L6" s="4" t="s">
        <v>15</v>
      </c>
      <c r="M6" s="4">
        <v>26</v>
      </c>
      <c r="N6" s="4">
        <v>19</v>
      </c>
      <c r="O6" s="4">
        <v>22</v>
      </c>
      <c r="P6" s="4">
        <v>22</v>
      </c>
      <c r="Q6" s="4">
        <v>18</v>
      </c>
      <c r="R6" s="5"/>
      <c r="S6" s="5"/>
      <c r="T6" s="49"/>
      <c r="U6" s="60">
        <f t="shared" ref="U6:U45" si="1">SUM(C6:J6,M6:T6)</f>
        <v>200</v>
      </c>
      <c r="W6" s="55" t="s">
        <v>6</v>
      </c>
      <c r="X6" s="48">
        <f>SUM(U10:U15)</f>
        <v>449</v>
      </c>
      <c r="Z6" s="197" t="s">
        <v>60</v>
      </c>
      <c r="AA6" s="203"/>
      <c r="AB6" s="83"/>
      <c r="AD6" s="55" t="s">
        <v>6</v>
      </c>
      <c r="AE6" s="48">
        <f t="shared" si="0"/>
        <v>567.20000000000005</v>
      </c>
      <c r="AG6" s="79" t="s">
        <v>13</v>
      </c>
      <c r="AH6" s="79">
        <f t="shared" ref="AH6:AH11" si="2">U4</f>
        <v>250</v>
      </c>
      <c r="AI6" s="79">
        <f t="shared" ref="AI6:AI11" si="3">U10</f>
        <v>166</v>
      </c>
      <c r="AJ6" s="79">
        <f t="shared" ref="AJ6:AJ11" si="4">U16</f>
        <v>451</v>
      </c>
      <c r="AK6" s="79">
        <f t="shared" ref="AK6:AK11" si="5">U22</f>
        <v>318</v>
      </c>
      <c r="AL6" s="79">
        <f t="shared" ref="AL6:AL11" si="6">U28</f>
        <v>352</v>
      </c>
      <c r="AM6" s="79">
        <f t="shared" ref="AM6:AM11" si="7">U34</f>
        <v>362</v>
      </c>
      <c r="AN6" s="79">
        <f t="shared" ref="AN6:AN11" si="8">U40</f>
        <v>295</v>
      </c>
      <c r="AP6" s="79" t="s">
        <v>13</v>
      </c>
      <c r="AQ6" s="79">
        <f t="shared" ref="AQ6:AW11" si="9">SUM(AH6,AH52,AH98,AH144,AH190)</f>
        <v>1306</v>
      </c>
      <c r="AR6" s="79">
        <f t="shared" si="9"/>
        <v>1042</v>
      </c>
      <c r="AS6" s="79">
        <f t="shared" si="9"/>
        <v>2266</v>
      </c>
      <c r="AT6" s="79">
        <f t="shared" si="9"/>
        <v>1886</v>
      </c>
      <c r="AU6" s="79">
        <f t="shared" si="9"/>
        <v>1882</v>
      </c>
      <c r="AV6" s="79">
        <f t="shared" si="9"/>
        <v>1649</v>
      </c>
      <c r="AW6" s="79">
        <f t="shared" si="9"/>
        <v>1397</v>
      </c>
    </row>
    <row r="7" spans="1:49" ht="18.75" customHeight="1">
      <c r="A7" s="230"/>
      <c r="B7" s="4" t="s">
        <v>16</v>
      </c>
      <c r="C7" s="5"/>
      <c r="D7" s="5"/>
      <c r="E7" s="4">
        <v>1</v>
      </c>
      <c r="F7" s="4">
        <v>2</v>
      </c>
      <c r="G7" s="4">
        <v>6</v>
      </c>
      <c r="H7" s="4">
        <v>15</v>
      </c>
      <c r="I7" s="4">
        <v>6</v>
      </c>
      <c r="J7" s="4">
        <v>4</v>
      </c>
      <c r="K7" s="227"/>
      <c r="L7" s="4" t="s">
        <v>16</v>
      </c>
      <c r="M7" s="4">
        <v>9</v>
      </c>
      <c r="N7" s="4">
        <v>4</v>
      </c>
      <c r="O7" s="4">
        <v>3</v>
      </c>
      <c r="P7" s="4">
        <v>5</v>
      </c>
      <c r="Q7" s="4">
        <v>4</v>
      </c>
      <c r="R7" s="5"/>
      <c r="S7" s="5"/>
      <c r="T7" s="49"/>
      <c r="U7" s="60">
        <f t="shared" si="1"/>
        <v>59</v>
      </c>
      <c r="W7" s="55" t="s">
        <v>7</v>
      </c>
      <c r="X7" s="48">
        <f>SUM(U16:U21)</f>
        <v>1616</v>
      </c>
      <c r="AD7" s="55" t="s">
        <v>7</v>
      </c>
      <c r="AE7" s="48">
        <f t="shared" si="0"/>
        <v>1554.2</v>
      </c>
      <c r="AG7" s="97" t="s">
        <v>14</v>
      </c>
      <c r="AH7" s="97">
        <f t="shared" si="2"/>
        <v>74</v>
      </c>
      <c r="AI7" s="97">
        <f t="shared" si="3"/>
        <v>50</v>
      </c>
      <c r="AJ7" s="97">
        <f t="shared" si="4"/>
        <v>197</v>
      </c>
      <c r="AK7" s="97">
        <f t="shared" si="5"/>
        <v>128</v>
      </c>
      <c r="AL7" s="97">
        <f t="shared" si="6"/>
        <v>175</v>
      </c>
      <c r="AM7" s="97">
        <f t="shared" si="7"/>
        <v>137</v>
      </c>
      <c r="AN7" s="97">
        <f t="shared" si="8"/>
        <v>146</v>
      </c>
      <c r="AP7" s="97" t="s">
        <v>14</v>
      </c>
      <c r="AQ7" s="97">
        <f t="shared" si="9"/>
        <v>340</v>
      </c>
      <c r="AR7" s="97">
        <f t="shared" si="9"/>
        <v>298</v>
      </c>
      <c r="AS7" s="97">
        <f t="shared" si="9"/>
        <v>927</v>
      </c>
      <c r="AT7" s="97">
        <f t="shared" si="9"/>
        <v>629</v>
      </c>
      <c r="AU7" s="97">
        <f t="shared" si="9"/>
        <v>788</v>
      </c>
      <c r="AV7" s="97">
        <f t="shared" si="9"/>
        <v>601</v>
      </c>
      <c r="AW7" s="97">
        <f t="shared" si="9"/>
        <v>645</v>
      </c>
    </row>
    <row r="8" spans="1:49" ht="18.75" customHeight="1">
      <c r="A8" s="230"/>
      <c r="B8" s="4" t="s">
        <v>17</v>
      </c>
      <c r="C8" s="5"/>
      <c r="D8" s="5"/>
      <c r="E8" s="4">
        <v>0</v>
      </c>
      <c r="F8" s="4">
        <v>3</v>
      </c>
      <c r="G8" s="4">
        <v>3</v>
      </c>
      <c r="H8" s="4">
        <v>15</v>
      </c>
      <c r="I8" s="4">
        <v>10</v>
      </c>
      <c r="J8" s="4">
        <v>4</v>
      </c>
      <c r="K8" s="227"/>
      <c r="L8" s="4" t="s">
        <v>17</v>
      </c>
      <c r="M8" s="4">
        <v>8</v>
      </c>
      <c r="N8" s="4">
        <v>8</v>
      </c>
      <c r="O8" s="4">
        <v>7</v>
      </c>
      <c r="P8" s="4">
        <v>6</v>
      </c>
      <c r="Q8" s="4">
        <v>6</v>
      </c>
      <c r="R8" s="5"/>
      <c r="S8" s="5"/>
      <c r="T8" s="49"/>
      <c r="U8" s="60">
        <f t="shared" si="1"/>
        <v>70</v>
      </c>
      <c r="W8" s="55" t="s">
        <v>61</v>
      </c>
      <c r="X8" s="48">
        <f>SUM(U22:U27)</f>
        <v>1147</v>
      </c>
      <c r="Z8" s="197" t="s">
        <v>62</v>
      </c>
      <c r="AA8" s="203"/>
      <c r="AB8" s="83"/>
      <c r="AD8" s="55" t="s">
        <v>61</v>
      </c>
      <c r="AE8" s="48">
        <f t="shared" si="0"/>
        <v>1254.5999999999999</v>
      </c>
      <c r="AG8" s="79" t="s">
        <v>15</v>
      </c>
      <c r="AH8" s="79">
        <f t="shared" si="2"/>
        <v>200</v>
      </c>
      <c r="AI8" s="79">
        <f t="shared" si="3"/>
        <v>120</v>
      </c>
      <c r="AJ8" s="79">
        <f t="shared" si="4"/>
        <v>467</v>
      </c>
      <c r="AK8" s="79">
        <f t="shared" si="5"/>
        <v>357</v>
      </c>
      <c r="AL8" s="79">
        <f t="shared" si="6"/>
        <v>341</v>
      </c>
      <c r="AM8" s="79">
        <f t="shared" si="7"/>
        <v>361</v>
      </c>
      <c r="AN8" s="79">
        <f t="shared" si="8"/>
        <v>280</v>
      </c>
      <c r="AP8" s="79" t="s">
        <v>15</v>
      </c>
      <c r="AQ8" s="79">
        <f t="shared" si="9"/>
        <v>1116</v>
      </c>
      <c r="AR8" s="79">
        <f t="shared" si="9"/>
        <v>692</v>
      </c>
      <c r="AS8" s="79">
        <f t="shared" si="9"/>
        <v>2169</v>
      </c>
      <c r="AT8" s="79">
        <f t="shared" si="9"/>
        <v>1804</v>
      </c>
      <c r="AU8" s="79">
        <f t="shared" si="9"/>
        <v>1756</v>
      </c>
      <c r="AV8" s="79">
        <f t="shared" si="9"/>
        <v>1414</v>
      </c>
      <c r="AW8" s="79">
        <f t="shared" si="9"/>
        <v>1266</v>
      </c>
    </row>
    <row r="9" spans="1:49" ht="18.75" customHeight="1">
      <c r="A9" s="230"/>
      <c r="B9" s="46" t="s">
        <v>18</v>
      </c>
      <c r="C9" s="64"/>
      <c r="D9" s="64"/>
      <c r="E9" s="46">
        <v>2</v>
      </c>
      <c r="F9" s="46">
        <v>4</v>
      </c>
      <c r="G9" s="46">
        <v>7</v>
      </c>
      <c r="H9" s="46">
        <v>10</v>
      </c>
      <c r="I9" s="46">
        <v>10</v>
      </c>
      <c r="J9" s="46">
        <v>5</v>
      </c>
      <c r="K9" s="227"/>
      <c r="L9" s="46" t="s">
        <v>18</v>
      </c>
      <c r="M9" s="46">
        <v>3</v>
      </c>
      <c r="N9" s="46">
        <v>7</v>
      </c>
      <c r="O9" s="46">
        <v>5</v>
      </c>
      <c r="P9" s="46">
        <v>7</v>
      </c>
      <c r="Q9" s="46">
        <v>5</v>
      </c>
      <c r="R9" s="64"/>
      <c r="S9" s="64"/>
      <c r="T9" s="65"/>
      <c r="U9" s="60">
        <f t="shared" si="1"/>
        <v>65</v>
      </c>
      <c r="W9" s="55" t="s">
        <v>9</v>
      </c>
      <c r="X9" s="48">
        <f>SUM(U28:U33)</f>
        <v>1213</v>
      </c>
      <c r="AD9" s="55" t="s">
        <v>9</v>
      </c>
      <c r="AE9" s="48">
        <f t="shared" si="0"/>
        <v>1238</v>
      </c>
      <c r="AG9" s="97" t="s">
        <v>16</v>
      </c>
      <c r="AH9" s="97">
        <f t="shared" si="2"/>
        <v>59</v>
      </c>
      <c r="AI9" s="97">
        <f t="shared" si="3"/>
        <v>28</v>
      </c>
      <c r="AJ9" s="97">
        <f t="shared" si="4"/>
        <v>138</v>
      </c>
      <c r="AK9" s="97">
        <f t="shared" si="5"/>
        <v>128</v>
      </c>
      <c r="AL9" s="97">
        <f t="shared" si="6"/>
        <v>115</v>
      </c>
      <c r="AM9" s="97">
        <f t="shared" si="7"/>
        <v>126</v>
      </c>
      <c r="AN9" s="97">
        <f t="shared" si="8"/>
        <v>97</v>
      </c>
      <c r="AP9" s="97" t="s">
        <v>16</v>
      </c>
      <c r="AQ9" s="97">
        <f t="shared" si="9"/>
        <v>348</v>
      </c>
      <c r="AR9" s="97">
        <f t="shared" si="9"/>
        <v>320</v>
      </c>
      <c r="AS9" s="97">
        <f t="shared" si="9"/>
        <v>766</v>
      </c>
      <c r="AT9" s="97">
        <f t="shared" si="9"/>
        <v>668</v>
      </c>
      <c r="AU9" s="97">
        <f t="shared" si="9"/>
        <v>623</v>
      </c>
      <c r="AV9" s="97">
        <f t="shared" si="9"/>
        <v>568</v>
      </c>
      <c r="AW9" s="97">
        <f t="shared" si="9"/>
        <v>493</v>
      </c>
    </row>
    <row r="10" spans="1:49" ht="18.75" customHeight="1">
      <c r="A10" s="193" t="s">
        <v>6</v>
      </c>
      <c r="B10" s="63" t="s">
        <v>13</v>
      </c>
      <c r="C10" s="57"/>
      <c r="D10" s="57"/>
      <c r="E10" s="57"/>
      <c r="F10" s="63">
        <v>22</v>
      </c>
      <c r="G10" s="63">
        <v>31</v>
      </c>
      <c r="H10" s="63">
        <v>34</v>
      </c>
      <c r="I10" s="63">
        <v>24</v>
      </c>
      <c r="J10" s="63"/>
      <c r="K10" s="194" t="s">
        <v>6</v>
      </c>
      <c r="L10" s="63" t="s">
        <v>13</v>
      </c>
      <c r="M10" s="63">
        <v>19</v>
      </c>
      <c r="N10" s="63">
        <v>17</v>
      </c>
      <c r="O10" s="63">
        <v>10</v>
      </c>
      <c r="P10" s="63">
        <v>9</v>
      </c>
      <c r="Q10" s="57"/>
      <c r="R10" s="57"/>
      <c r="S10" s="57"/>
      <c r="T10" s="58"/>
      <c r="U10" s="60">
        <f t="shared" si="1"/>
        <v>166</v>
      </c>
      <c r="W10" s="55" t="s">
        <v>10</v>
      </c>
      <c r="X10" s="48">
        <f>SUM(U34:U39)</f>
        <v>1253</v>
      </c>
      <c r="Z10" s="197" t="s">
        <v>74</v>
      </c>
      <c r="AA10" s="203"/>
      <c r="AB10" s="83"/>
      <c r="AD10" s="55" t="s">
        <v>10</v>
      </c>
      <c r="AE10" s="48">
        <f t="shared" si="0"/>
        <v>1072.5999999999999</v>
      </c>
      <c r="AG10" s="79" t="s">
        <v>17</v>
      </c>
      <c r="AH10" s="79">
        <f t="shared" si="2"/>
        <v>70</v>
      </c>
      <c r="AI10" s="79">
        <f t="shared" si="3"/>
        <v>34</v>
      </c>
      <c r="AJ10" s="79">
        <f t="shared" si="4"/>
        <v>156</v>
      </c>
      <c r="AK10" s="79">
        <f t="shared" si="5"/>
        <v>98</v>
      </c>
      <c r="AL10" s="79">
        <f t="shared" si="6"/>
        <v>111</v>
      </c>
      <c r="AM10" s="79">
        <f t="shared" si="7"/>
        <v>136</v>
      </c>
      <c r="AN10" s="79">
        <f t="shared" si="8"/>
        <v>84</v>
      </c>
      <c r="AP10" s="79" t="s">
        <v>17</v>
      </c>
      <c r="AQ10" s="79">
        <f t="shared" si="9"/>
        <v>393</v>
      </c>
      <c r="AR10" s="79">
        <f t="shared" si="9"/>
        <v>218</v>
      </c>
      <c r="AS10" s="79">
        <f t="shared" si="9"/>
        <v>740</v>
      </c>
      <c r="AT10" s="79">
        <f t="shared" si="9"/>
        <v>610</v>
      </c>
      <c r="AU10" s="79">
        <f t="shared" si="9"/>
        <v>528</v>
      </c>
      <c r="AV10" s="79">
        <f t="shared" si="9"/>
        <v>554</v>
      </c>
      <c r="AW10" s="79">
        <f t="shared" si="9"/>
        <v>369</v>
      </c>
    </row>
    <row r="11" spans="1:49" ht="18.75" customHeight="1">
      <c r="A11" s="230"/>
      <c r="B11" s="6" t="s">
        <v>14</v>
      </c>
      <c r="C11" s="5"/>
      <c r="D11" s="5"/>
      <c r="E11" s="5"/>
      <c r="F11" s="6">
        <v>8</v>
      </c>
      <c r="G11" s="6">
        <v>7</v>
      </c>
      <c r="H11" s="6">
        <v>9</v>
      </c>
      <c r="I11" s="6">
        <v>5</v>
      </c>
      <c r="J11" s="6"/>
      <c r="K11" s="227"/>
      <c r="L11" s="6" t="s">
        <v>14</v>
      </c>
      <c r="M11" s="6">
        <v>6</v>
      </c>
      <c r="N11" s="6">
        <v>7</v>
      </c>
      <c r="O11" s="6">
        <v>4</v>
      </c>
      <c r="P11" s="6">
        <v>4</v>
      </c>
      <c r="Q11" s="5"/>
      <c r="R11" s="5"/>
      <c r="S11" s="5"/>
      <c r="T11" s="49"/>
      <c r="U11" s="60">
        <f t="shared" si="1"/>
        <v>50</v>
      </c>
      <c r="W11" s="81" t="s">
        <v>11</v>
      </c>
      <c r="X11" s="80">
        <f>SUM(U40:U45)</f>
        <v>1021</v>
      </c>
      <c r="AD11" s="81" t="s">
        <v>11</v>
      </c>
      <c r="AE11" s="48">
        <f t="shared" si="0"/>
        <v>937</v>
      </c>
      <c r="AG11" s="97" t="s">
        <v>18</v>
      </c>
      <c r="AH11" s="97">
        <f t="shared" si="2"/>
        <v>65</v>
      </c>
      <c r="AI11" s="97">
        <f t="shared" si="3"/>
        <v>51</v>
      </c>
      <c r="AJ11" s="97">
        <f t="shared" si="4"/>
        <v>207</v>
      </c>
      <c r="AK11" s="97">
        <f t="shared" si="5"/>
        <v>118</v>
      </c>
      <c r="AL11" s="97">
        <f t="shared" si="6"/>
        <v>119</v>
      </c>
      <c r="AM11" s="97">
        <f t="shared" si="7"/>
        <v>131</v>
      </c>
      <c r="AN11" s="97">
        <f t="shared" si="8"/>
        <v>119</v>
      </c>
      <c r="AP11" s="97" t="s">
        <v>18</v>
      </c>
      <c r="AQ11" s="97">
        <f t="shared" si="9"/>
        <v>390</v>
      </c>
      <c r="AR11" s="97">
        <f t="shared" si="9"/>
        <v>266</v>
      </c>
      <c r="AS11" s="97">
        <f t="shared" si="9"/>
        <v>903</v>
      </c>
      <c r="AT11" s="97">
        <f t="shared" si="9"/>
        <v>676</v>
      </c>
      <c r="AU11" s="97">
        <f t="shared" si="9"/>
        <v>613</v>
      </c>
      <c r="AV11" s="97">
        <f t="shared" si="9"/>
        <v>577</v>
      </c>
      <c r="AW11" s="97">
        <f t="shared" si="9"/>
        <v>515</v>
      </c>
    </row>
    <row r="12" spans="1:49" ht="18.75" customHeight="1">
      <c r="A12" s="230"/>
      <c r="B12" s="6" t="s">
        <v>15</v>
      </c>
      <c r="C12" s="5"/>
      <c r="D12" s="5"/>
      <c r="E12" s="5"/>
      <c r="F12" s="6">
        <v>19</v>
      </c>
      <c r="G12" s="6">
        <v>25</v>
      </c>
      <c r="H12" s="6">
        <v>29</v>
      </c>
      <c r="I12" s="6">
        <v>19</v>
      </c>
      <c r="J12" s="6"/>
      <c r="K12" s="227"/>
      <c r="L12" s="6" t="s">
        <v>15</v>
      </c>
      <c r="M12" s="6">
        <v>12</v>
      </c>
      <c r="N12" s="6">
        <v>5</v>
      </c>
      <c r="O12" s="6">
        <v>5</v>
      </c>
      <c r="P12" s="6">
        <v>6</v>
      </c>
      <c r="Q12" s="5"/>
      <c r="R12" s="5"/>
      <c r="S12" s="5"/>
      <c r="T12" s="49"/>
      <c r="U12" s="60">
        <f t="shared" si="1"/>
        <v>120</v>
      </c>
      <c r="W12" s="79" t="s">
        <v>63</v>
      </c>
      <c r="X12" s="82">
        <f>SUM(X5:X11)</f>
        <v>7417</v>
      </c>
      <c r="AD12" s="79" t="s">
        <v>40</v>
      </c>
      <c r="AE12" s="82">
        <f>AVERAGE(AE5:AE11)</f>
        <v>1057.457142857143</v>
      </c>
    </row>
    <row r="13" spans="1:49" ht="18.75" customHeight="1">
      <c r="A13" s="230"/>
      <c r="B13" s="6" t="s">
        <v>16</v>
      </c>
      <c r="C13" s="5"/>
      <c r="D13" s="5"/>
      <c r="E13" s="5"/>
      <c r="F13" s="6">
        <v>4</v>
      </c>
      <c r="G13" s="6">
        <v>7</v>
      </c>
      <c r="H13" s="6">
        <v>3</v>
      </c>
      <c r="I13" s="6">
        <v>3</v>
      </c>
      <c r="J13" s="6"/>
      <c r="K13" s="227"/>
      <c r="L13" s="6" t="s">
        <v>16</v>
      </c>
      <c r="M13" s="6">
        <v>3</v>
      </c>
      <c r="N13" s="6">
        <v>2</v>
      </c>
      <c r="O13" s="6">
        <v>3</v>
      </c>
      <c r="P13" s="6">
        <v>3</v>
      </c>
      <c r="Q13" s="5"/>
      <c r="R13" s="5"/>
      <c r="S13" s="5"/>
      <c r="T13" s="49"/>
      <c r="U13" s="60">
        <f t="shared" si="1"/>
        <v>28</v>
      </c>
    </row>
    <row r="14" spans="1:49" ht="18.75" customHeight="1">
      <c r="A14" s="230"/>
      <c r="B14" s="6" t="s">
        <v>17</v>
      </c>
      <c r="C14" s="5"/>
      <c r="D14" s="5"/>
      <c r="E14" s="5"/>
      <c r="F14" s="6">
        <v>5</v>
      </c>
      <c r="G14" s="6">
        <v>7</v>
      </c>
      <c r="H14" s="6">
        <v>8</v>
      </c>
      <c r="I14" s="6">
        <v>5</v>
      </c>
      <c r="J14" s="6"/>
      <c r="K14" s="227"/>
      <c r="L14" s="6" t="s">
        <v>17</v>
      </c>
      <c r="M14" s="6">
        <v>2</v>
      </c>
      <c r="N14" s="6">
        <v>3</v>
      </c>
      <c r="O14" s="6">
        <v>2</v>
      </c>
      <c r="P14" s="6">
        <v>2</v>
      </c>
      <c r="Q14" s="5"/>
      <c r="R14" s="5"/>
      <c r="S14" s="5"/>
      <c r="T14" s="49"/>
      <c r="U14" s="60">
        <f t="shared" si="1"/>
        <v>34</v>
      </c>
    </row>
    <row r="15" spans="1:49" ht="18.75" customHeight="1">
      <c r="A15" s="230"/>
      <c r="B15" s="47" t="s">
        <v>18</v>
      </c>
      <c r="C15" s="64"/>
      <c r="D15" s="64"/>
      <c r="E15" s="64"/>
      <c r="F15" s="47">
        <v>9</v>
      </c>
      <c r="G15" s="47">
        <v>15</v>
      </c>
      <c r="H15" s="47">
        <v>11</v>
      </c>
      <c r="I15" s="47">
        <v>7</v>
      </c>
      <c r="J15" s="47"/>
      <c r="K15" s="227"/>
      <c r="L15" s="47" t="s">
        <v>18</v>
      </c>
      <c r="M15" s="47">
        <v>4</v>
      </c>
      <c r="N15" s="47">
        <v>3</v>
      </c>
      <c r="O15" s="47">
        <v>2</v>
      </c>
      <c r="P15" s="47"/>
      <c r="Q15" s="64"/>
      <c r="R15" s="64"/>
      <c r="S15" s="64"/>
      <c r="T15" s="65"/>
      <c r="U15" s="60">
        <f t="shared" si="1"/>
        <v>51</v>
      </c>
    </row>
    <row r="16" spans="1:49" ht="18.75" customHeight="1">
      <c r="A16" s="195" t="s">
        <v>7</v>
      </c>
      <c r="B16" s="56" t="s">
        <v>13</v>
      </c>
      <c r="C16" s="56">
        <v>25</v>
      </c>
      <c r="D16" s="56">
        <v>18</v>
      </c>
      <c r="E16" s="56">
        <v>25</v>
      </c>
      <c r="F16" s="56">
        <v>32</v>
      </c>
      <c r="G16" s="56">
        <v>44</v>
      </c>
      <c r="H16" s="56">
        <v>26</v>
      </c>
      <c r="I16" s="56">
        <v>28</v>
      </c>
      <c r="J16" s="56">
        <v>25</v>
      </c>
      <c r="K16" s="196" t="s">
        <v>7</v>
      </c>
      <c r="L16" s="56" t="s">
        <v>13</v>
      </c>
      <c r="M16" s="56">
        <v>20</v>
      </c>
      <c r="N16" s="56">
        <v>29</v>
      </c>
      <c r="O16" s="56">
        <v>16</v>
      </c>
      <c r="P16" s="56">
        <v>28</v>
      </c>
      <c r="Q16" s="56">
        <v>36</v>
      </c>
      <c r="R16" s="56">
        <v>38</v>
      </c>
      <c r="S16" s="56">
        <v>34</v>
      </c>
      <c r="T16" s="67">
        <v>27</v>
      </c>
      <c r="U16" s="60">
        <f t="shared" si="1"/>
        <v>451</v>
      </c>
    </row>
    <row r="17" spans="1:33" ht="18.75" customHeight="1">
      <c r="A17" s="230"/>
      <c r="B17" s="4" t="s">
        <v>14</v>
      </c>
      <c r="C17" s="4">
        <v>6</v>
      </c>
      <c r="D17" s="4">
        <v>7</v>
      </c>
      <c r="E17" s="4">
        <v>13</v>
      </c>
      <c r="F17" s="4">
        <v>18</v>
      </c>
      <c r="G17" s="4">
        <v>15</v>
      </c>
      <c r="H17" s="4">
        <v>18</v>
      </c>
      <c r="I17" s="4">
        <v>12</v>
      </c>
      <c r="J17" s="4">
        <v>16</v>
      </c>
      <c r="K17" s="227"/>
      <c r="L17" s="4" t="s">
        <v>14</v>
      </c>
      <c r="M17" s="4">
        <v>18</v>
      </c>
      <c r="N17" s="4">
        <v>10</v>
      </c>
      <c r="O17" s="4">
        <v>11</v>
      </c>
      <c r="P17" s="4">
        <v>17</v>
      </c>
      <c r="Q17" s="4">
        <v>12</v>
      </c>
      <c r="R17" s="4">
        <v>11</v>
      </c>
      <c r="S17" s="4">
        <v>10</v>
      </c>
      <c r="T17" s="50">
        <v>3</v>
      </c>
      <c r="U17" s="60">
        <f t="shared" si="1"/>
        <v>197</v>
      </c>
    </row>
    <row r="18" spans="1:33" ht="18.75" customHeight="1">
      <c r="A18" s="230"/>
      <c r="B18" s="4" t="s">
        <v>15</v>
      </c>
      <c r="C18" s="4">
        <v>28</v>
      </c>
      <c r="D18" s="4">
        <v>24</v>
      </c>
      <c r="E18" s="4">
        <v>29</v>
      </c>
      <c r="F18" s="4">
        <v>18</v>
      </c>
      <c r="G18" s="4">
        <v>38</v>
      </c>
      <c r="H18" s="4">
        <v>28</v>
      </c>
      <c r="I18" s="4">
        <v>33</v>
      </c>
      <c r="J18" s="4">
        <v>29</v>
      </c>
      <c r="K18" s="227"/>
      <c r="L18" s="4" t="s">
        <v>15</v>
      </c>
      <c r="M18" s="4">
        <v>15</v>
      </c>
      <c r="N18" s="4">
        <v>14</v>
      </c>
      <c r="O18" s="4">
        <v>25</v>
      </c>
      <c r="P18" s="4">
        <v>41</v>
      </c>
      <c r="Q18" s="4">
        <v>39</v>
      </c>
      <c r="R18" s="4">
        <v>35</v>
      </c>
      <c r="S18" s="4">
        <v>39</v>
      </c>
      <c r="T18" s="50">
        <v>32</v>
      </c>
      <c r="U18" s="60">
        <f t="shared" si="1"/>
        <v>467</v>
      </c>
    </row>
    <row r="19" spans="1:33" ht="18.75" customHeight="1">
      <c r="A19" s="230"/>
      <c r="B19" s="4" t="s">
        <v>16</v>
      </c>
      <c r="C19" s="4">
        <v>3</v>
      </c>
      <c r="D19" s="4">
        <v>7</v>
      </c>
      <c r="E19" s="4">
        <v>5</v>
      </c>
      <c r="F19" s="4">
        <v>13</v>
      </c>
      <c r="G19" s="4">
        <v>8</v>
      </c>
      <c r="H19" s="4">
        <v>18</v>
      </c>
      <c r="I19" s="4">
        <v>12</v>
      </c>
      <c r="J19" s="4">
        <v>7</v>
      </c>
      <c r="K19" s="227"/>
      <c r="L19" s="4" t="s">
        <v>16</v>
      </c>
      <c r="M19" s="4">
        <v>10</v>
      </c>
      <c r="N19" s="4">
        <v>7</v>
      </c>
      <c r="O19" s="4">
        <v>6</v>
      </c>
      <c r="P19" s="4">
        <v>7</v>
      </c>
      <c r="Q19" s="4">
        <v>4</v>
      </c>
      <c r="R19" s="4">
        <v>12</v>
      </c>
      <c r="S19" s="4">
        <v>5</v>
      </c>
      <c r="T19" s="50">
        <v>14</v>
      </c>
      <c r="U19" s="60">
        <f t="shared" si="1"/>
        <v>138</v>
      </c>
    </row>
    <row r="20" spans="1:33" ht="18.75" customHeight="1">
      <c r="A20" s="230"/>
      <c r="B20" s="4" t="s">
        <v>17</v>
      </c>
      <c r="C20" s="4">
        <v>4</v>
      </c>
      <c r="D20" s="4">
        <v>8</v>
      </c>
      <c r="E20" s="4">
        <v>9</v>
      </c>
      <c r="F20" s="4">
        <v>7</v>
      </c>
      <c r="G20" s="4">
        <v>13</v>
      </c>
      <c r="H20" s="4">
        <v>14</v>
      </c>
      <c r="I20" s="4">
        <v>10</v>
      </c>
      <c r="J20" s="4">
        <v>5</v>
      </c>
      <c r="K20" s="227"/>
      <c r="L20" s="4" t="s">
        <v>17</v>
      </c>
      <c r="M20" s="4">
        <v>9</v>
      </c>
      <c r="N20" s="4">
        <v>8</v>
      </c>
      <c r="O20" s="4">
        <v>4</v>
      </c>
      <c r="P20" s="4">
        <v>12</v>
      </c>
      <c r="Q20" s="4">
        <v>13</v>
      </c>
      <c r="R20" s="4">
        <v>18</v>
      </c>
      <c r="S20" s="4">
        <v>10</v>
      </c>
      <c r="T20" s="50">
        <v>12</v>
      </c>
      <c r="U20" s="60">
        <f t="shared" si="1"/>
        <v>156</v>
      </c>
    </row>
    <row r="21" spans="1:33" ht="18.75" customHeight="1">
      <c r="A21" s="230"/>
      <c r="B21" s="46" t="s">
        <v>18</v>
      </c>
      <c r="C21" s="46">
        <v>21</v>
      </c>
      <c r="D21" s="46">
        <v>6</v>
      </c>
      <c r="E21" s="46">
        <v>13</v>
      </c>
      <c r="F21" s="46">
        <v>13</v>
      </c>
      <c r="G21" s="46">
        <v>16</v>
      </c>
      <c r="H21" s="46">
        <v>25</v>
      </c>
      <c r="I21" s="46">
        <v>17</v>
      </c>
      <c r="J21" s="46">
        <v>6</v>
      </c>
      <c r="K21" s="227"/>
      <c r="L21" s="46" t="s">
        <v>18</v>
      </c>
      <c r="M21" s="46">
        <v>5</v>
      </c>
      <c r="N21" s="46">
        <v>5</v>
      </c>
      <c r="O21" s="46">
        <v>6</v>
      </c>
      <c r="P21" s="46">
        <v>21</v>
      </c>
      <c r="Q21" s="46">
        <v>20</v>
      </c>
      <c r="R21" s="46">
        <v>16</v>
      </c>
      <c r="S21" s="46">
        <v>7</v>
      </c>
      <c r="T21" s="69">
        <v>10</v>
      </c>
      <c r="U21" s="60">
        <f t="shared" si="1"/>
        <v>207</v>
      </c>
    </row>
    <row r="22" spans="1:33" ht="18.75" customHeight="1">
      <c r="A22" s="193" t="s">
        <v>8</v>
      </c>
      <c r="B22" s="63" t="s">
        <v>13</v>
      </c>
      <c r="C22" s="63">
        <v>21</v>
      </c>
      <c r="D22" s="63">
        <v>19</v>
      </c>
      <c r="E22" s="63">
        <v>27</v>
      </c>
      <c r="F22" s="63">
        <v>19</v>
      </c>
      <c r="G22" s="63">
        <v>35</v>
      </c>
      <c r="H22" s="63">
        <v>32</v>
      </c>
      <c r="I22" s="63">
        <v>12</v>
      </c>
      <c r="J22" s="63">
        <v>10</v>
      </c>
      <c r="K22" s="194" t="s">
        <v>8</v>
      </c>
      <c r="L22" s="63" t="s">
        <v>13</v>
      </c>
      <c r="M22" s="63">
        <v>9</v>
      </c>
      <c r="N22" s="63">
        <v>14</v>
      </c>
      <c r="O22" s="63">
        <v>10</v>
      </c>
      <c r="P22" s="63">
        <v>18</v>
      </c>
      <c r="Q22" s="63">
        <v>23</v>
      </c>
      <c r="R22" s="63">
        <v>30</v>
      </c>
      <c r="S22" s="63">
        <v>25</v>
      </c>
      <c r="T22" s="68">
        <v>14</v>
      </c>
      <c r="U22" s="60">
        <f t="shared" si="1"/>
        <v>318</v>
      </c>
    </row>
    <row r="23" spans="1:33" ht="18.75" customHeight="1">
      <c r="A23" s="230"/>
      <c r="B23" s="6" t="s">
        <v>14</v>
      </c>
      <c r="C23" s="6">
        <v>6</v>
      </c>
      <c r="D23" s="6">
        <v>2</v>
      </c>
      <c r="E23" s="6">
        <v>13</v>
      </c>
      <c r="F23" s="6">
        <v>10</v>
      </c>
      <c r="G23" s="6">
        <v>14</v>
      </c>
      <c r="H23" s="6">
        <v>11</v>
      </c>
      <c r="I23" s="6">
        <v>13</v>
      </c>
      <c r="J23" s="6">
        <v>12</v>
      </c>
      <c r="K23" s="227"/>
      <c r="L23" s="6" t="s">
        <v>14</v>
      </c>
      <c r="M23" s="6">
        <v>8</v>
      </c>
      <c r="N23" s="6">
        <v>10</v>
      </c>
      <c r="O23" s="6">
        <v>6</v>
      </c>
      <c r="P23" s="6">
        <v>4</v>
      </c>
      <c r="Q23" s="6">
        <v>5</v>
      </c>
      <c r="R23" s="6">
        <v>6</v>
      </c>
      <c r="S23" s="6">
        <v>6</v>
      </c>
      <c r="T23" s="51">
        <v>2</v>
      </c>
      <c r="U23" s="60">
        <f t="shared" si="1"/>
        <v>128</v>
      </c>
    </row>
    <row r="24" spans="1:33" ht="18.75" customHeight="1">
      <c r="A24" s="230"/>
      <c r="B24" s="6" t="s">
        <v>15</v>
      </c>
      <c r="C24" s="6">
        <v>20</v>
      </c>
      <c r="D24" s="6">
        <v>21</v>
      </c>
      <c r="E24" s="6">
        <v>22</v>
      </c>
      <c r="F24" s="6">
        <v>14</v>
      </c>
      <c r="G24" s="6">
        <v>21</v>
      </c>
      <c r="H24" s="6">
        <v>17</v>
      </c>
      <c r="I24" s="6">
        <v>20</v>
      </c>
      <c r="J24" s="6">
        <v>14</v>
      </c>
      <c r="K24" s="227"/>
      <c r="L24" s="6" t="s">
        <v>15</v>
      </c>
      <c r="M24" s="6">
        <v>8</v>
      </c>
      <c r="N24" s="6">
        <v>14</v>
      </c>
      <c r="O24" s="6">
        <v>18</v>
      </c>
      <c r="P24" s="6">
        <v>36</v>
      </c>
      <c r="Q24" s="6">
        <v>37</v>
      </c>
      <c r="R24" s="6">
        <v>40</v>
      </c>
      <c r="S24" s="6">
        <v>32</v>
      </c>
      <c r="T24" s="51">
        <v>23</v>
      </c>
      <c r="U24" s="60">
        <f t="shared" si="1"/>
        <v>357</v>
      </c>
    </row>
    <row r="25" spans="1:33" ht="18.75" customHeight="1">
      <c r="A25" s="230"/>
      <c r="B25" s="6" t="s">
        <v>16</v>
      </c>
      <c r="C25" s="6">
        <v>6</v>
      </c>
      <c r="D25" s="6">
        <v>5</v>
      </c>
      <c r="E25" s="6">
        <v>9</v>
      </c>
      <c r="F25" s="6">
        <v>11</v>
      </c>
      <c r="G25" s="6">
        <v>18</v>
      </c>
      <c r="H25" s="6">
        <v>13</v>
      </c>
      <c r="I25" s="6">
        <v>3</v>
      </c>
      <c r="J25" s="6">
        <v>6</v>
      </c>
      <c r="K25" s="227"/>
      <c r="L25" s="6" t="s">
        <v>16</v>
      </c>
      <c r="M25" s="6">
        <v>5</v>
      </c>
      <c r="N25" s="6">
        <v>5</v>
      </c>
      <c r="O25" s="6">
        <v>4</v>
      </c>
      <c r="P25" s="6">
        <v>6</v>
      </c>
      <c r="Q25" s="6">
        <v>9</v>
      </c>
      <c r="R25" s="6">
        <v>13</v>
      </c>
      <c r="S25" s="6">
        <v>10</v>
      </c>
      <c r="T25" s="51">
        <v>5</v>
      </c>
      <c r="U25" s="60">
        <f t="shared" si="1"/>
        <v>128</v>
      </c>
    </row>
    <row r="26" spans="1:33" ht="18.75" customHeight="1">
      <c r="A26" s="230"/>
      <c r="B26" s="6" t="s">
        <v>17</v>
      </c>
      <c r="C26" s="6">
        <v>7</v>
      </c>
      <c r="D26" s="6">
        <v>6</v>
      </c>
      <c r="E26" s="6">
        <v>7</v>
      </c>
      <c r="F26" s="6">
        <v>6</v>
      </c>
      <c r="G26" s="6">
        <v>6</v>
      </c>
      <c r="H26" s="6">
        <v>10</v>
      </c>
      <c r="I26" s="6">
        <v>5</v>
      </c>
      <c r="J26" s="6">
        <v>3</v>
      </c>
      <c r="K26" s="227"/>
      <c r="L26" s="6" t="s">
        <v>17</v>
      </c>
      <c r="M26" s="6">
        <v>2</v>
      </c>
      <c r="N26" s="6">
        <v>2</v>
      </c>
      <c r="O26" s="6">
        <v>6</v>
      </c>
      <c r="P26" s="6">
        <v>5</v>
      </c>
      <c r="Q26" s="6">
        <v>11</v>
      </c>
      <c r="R26" s="6">
        <v>11</v>
      </c>
      <c r="S26" s="6">
        <v>8</v>
      </c>
      <c r="T26" s="51">
        <v>3</v>
      </c>
      <c r="U26" s="60">
        <f t="shared" si="1"/>
        <v>98</v>
      </c>
      <c r="AG26" s="95"/>
    </row>
    <row r="27" spans="1:33" ht="18.75" customHeight="1">
      <c r="A27" s="230"/>
      <c r="B27" s="47" t="s">
        <v>18</v>
      </c>
      <c r="C27" s="47">
        <v>16</v>
      </c>
      <c r="D27" s="47">
        <v>8</v>
      </c>
      <c r="E27" s="47">
        <v>9</v>
      </c>
      <c r="F27" s="47">
        <v>8</v>
      </c>
      <c r="G27" s="47">
        <v>4</v>
      </c>
      <c r="H27" s="47">
        <v>6</v>
      </c>
      <c r="I27" s="47">
        <v>3</v>
      </c>
      <c r="J27" s="47">
        <v>2</v>
      </c>
      <c r="K27" s="227"/>
      <c r="L27" s="47" t="s">
        <v>18</v>
      </c>
      <c r="M27" s="47">
        <v>6</v>
      </c>
      <c r="N27" s="47">
        <v>1</v>
      </c>
      <c r="O27" s="47">
        <v>2</v>
      </c>
      <c r="P27" s="47">
        <v>11</v>
      </c>
      <c r="Q27" s="47">
        <v>11</v>
      </c>
      <c r="R27" s="47">
        <v>13</v>
      </c>
      <c r="S27" s="47">
        <v>13</v>
      </c>
      <c r="T27" s="70">
        <v>5</v>
      </c>
      <c r="U27" s="60">
        <f t="shared" si="1"/>
        <v>118</v>
      </c>
      <c r="AG27" s="96"/>
    </row>
    <row r="28" spans="1:33" ht="18.75" customHeight="1">
      <c r="A28" s="195" t="s">
        <v>9</v>
      </c>
      <c r="B28" s="56" t="s">
        <v>13</v>
      </c>
      <c r="C28" s="56">
        <v>23</v>
      </c>
      <c r="D28" s="56">
        <v>19</v>
      </c>
      <c r="E28" s="56">
        <v>21</v>
      </c>
      <c r="F28" s="56">
        <v>16</v>
      </c>
      <c r="G28" s="56">
        <v>40</v>
      </c>
      <c r="H28" s="56">
        <v>43</v>
      </c>
      <c r="I28" s="56">
        <v>21</v>
      </c>
      <c r="J28" s="56">
        <v>12</v>
      </c>
      <c r="K28" s="196" t="s">
        <v>9</v>
      </c>
      <c r="L28" s="56" t="s">
        <v>13</v>
      </c>
      <c r="M28" s="56">
        <v>6</v>
      </c>
      <c r="N28" s="56">
        <v>14</v>
      </c>
      <c r="O28" s="56">
        <v>15</v>
      </c>
      <c r="P28" s="56">
        <v>27</v>
      </c>
      <c r="Q28" s="56">
        <v>33</v>
      </c>
      <c r="R28" s="56">
        <v>33</v>
      </c>
      <c r="S28" s="56">
        <v>15</v>
      </c>
      <c r="T28" s="67">
        <v>14</v>
      </c>
      <c r="U28" s="60">
        <f t="shared" si="1"/>
        <v>352</v>
      </c>
      <c r="AG28" s="96"/>
    </row>
    <row r="29" spans="1:33" ht="18.75" customHeight="1">
      <c r="A29" s="230"/>
      <c r="B29" s="4" t="s">
        <v>14</v>
      </c>
      <c r="C29" s="4">
        <v>8</v>
      </c>
      <c r="D29" s="4">
        <v>8</v>
      </c>
      <c r="E29" s="4">
        <v>8</v>
      </c>
      <c r="F29" s="4">
        <v>16</v>
      </c>
      <c r="G29" s="4">
        <v>16</v>
      </c>
      <c r="H29" s="4">
        <v>18</v>
      </c>
      <c r="I29" s="4">
        <v>16</v>
      </c>
      <c r="J29" s="4">
        <v>17</v>
      </c>
      <c r="K29" s="227"/>
      <c r="L29" s="4" t="s">
        <v>14</v>
      </c>
      <c r="M29" s="4">
        <v>8</v>
      </c>
      <c r="N29" s="4">
        <v>12</v>
      </c>
      <c r="O29" s="4">
        <v>11</v>
      </c>
      <c r="P29" s="4">
        <v>15</v>
      </c>
      <c r="Q29" s="4">
        <v>4</v>
      </c>
      <c r="R29" s="4">
        <v>13</v>
      </c>
      <c r="S29" s="4">
        <v>4</v>
      </c>
      <c r="T29" s="50">
        <v>1</v>
      </c>
      <c r="U29" s="60">
        <f t="shared" si="1"/>
        <v>175</v>
      </c>
      <c r="AG29" s="96"/>
    </row>
    <row r="30" spans="1:33" ht="18.75" customHeight="1">
      <c r="A30" s="230"/>
      <c r="B30" s="4" t="s">
        <v>15</v>
      </c>
      <c r="C30" s="4">
        <v>20</v>
      </c>
      <c r="D30" s="4">
        <v>27</v>
      </c>
      <c r="E30" s="4">
        <v>24</v>
      </c>
      <c r="F30" s="4">
        <v>20</v>
      </c>
      <c r="G30" s="4">
        <v>27</v>
      </c>
      <c r="H30" s="4">
        <v>20</v>
      </c>
      <c r="I30" s="4">
        <v>18</v>
      </c>
      <c r="J30" s="4">
        <v>10</v>
      </c>
      <c r="K30" s="227"/>
      <c r="L30" s="4" t="s">
        <v>15</v>
      </c>
      <c r="M30" s="4">
        <v>10</v>
      </c>
      <c r="N30" s="4">
        <v>16</v>
      </c>
      <c r="O30" s="4">
        <v>20</v>
      </c>
      <c r="P30" s="4">
        <v>37</v>
      </c>
      <c r="Q30" s="4">
        <v>26</v>
      </c>
      <c r="R30" s="4">
        <v>33</v>
      </c>
      <c r="S30" s="4">
        <v>18</v>
      </c>
      <c r="T30" s="50">
        <v>15</v>
      </c>
      <c r="U30" s="60">
        <f t="shared" si="1"/>
        <v>341</v>
      </c>
      <c r="AG30" s="96"/>
    </row>
    <row r="31" spans="1:33" ht="18.75" customHeight="1">
      <c r="A31" s="230"/>
      <c r="B31" s="4" t="s">
        <v>16</v>
      </c>
      <c r="C31" s="4">
        <v>4</v>
      </c>
      <c r="D31" s="4">
        <v>5</v>
      </c>
      <c r="E31" s="4">
        <v>6</v>
      </c>
      <c r="F31" s="4">
        <v>12</v>
      </c>
      <c r="G31" s="4">
        <v>9</v>
      </c>
      <c r="H31" s="4">
        <v>10</v>
      </c>
      <c r="I31" s="4">
        <v>9</v>
      </c>
      <c r="J31" s="4">
        <v>6</v>
      </c>
      <c r="K31" s="227"/>
      <c r="L31" s="4" t="s">
        <v>16</v>
      </c>
      <c r="M31" s="4">
        <v>4</v>
      </c>
      <c r="N31" s="4">
        <v>11</v>
      </c>
      <c r="O31" s="4">
        <v>7</v>
      </c>
      <c r="P31" s="4">
        <v>3</v>
      </c>
      <c r="Q31" s="4">
        <v>8</v>
      </c>
      <c r="R31" s="4">
        <v>6</v>
      </c>
      <c r="S31" s="4">
        <v>9</v>
      </c>
      <c r="T31" s="50">
        <v>6</v>
      </c>
      <c r="U31" s="60">
        <f t="shared" si="1"/>
        <v>115</v>
      </c>
      <c r="AG31" s="96"/>
    </row>
    <row r="32" spans="1:33" ht="18.75" customHeight="1">
      <c r="A32" s="230"/>
      <c r="B32" s="4" t="s">
        <v>17</v>
      </c>
      <c r="C32" s="4">
        <v>5</v>
      </c>
      <c r="D32" s="4">
        <v>11</v>
      </c>
      <c r="E32" s="4">
        <v>8</v>
      </c>
      <c r="F32" s="4">
        <v>13</v>
      </c>
      <c r="G32" s="4">
        <v>7</v>
      </c>
      <c r="H32" s="4">
        <v>9</v>
      </c>
      <c r="I32" s="4">
        <v>5</v>
      </c>
      <c r="J32" s="4">
        <v>6</v>
      </c>
      <c r="K32" s="227"/>
      <c r="L32" s="4" t="s">
        <v>17</v>
      </c>
      <c r="M32" s="4">
        <v>7</v>
      </c>
      <c r="N32" s="4">
        <v>4</v>
      </c>
      <c r="O32" s="4">
        <v>8</v>
      </c>
      <c r="P32" s="4">
        <v>8</v>
      </c>
      <c r="Q32" s="4">
        <v>6</v>
      </c>
      <c r="R32" s="4">
        <v>5</v>
      </c>
      <c r="S32" s="4">
        <v>5</v>
      </c>
      <c r="T32" s="50">
        <v>4</v>
      </c>
      <c r="U32" s="60">
        <f t="shared" si="1"/>
        <v>111</v>
      </c>
      <c r="AG32" s="96"/>
    </row>
    <row r="33" spans="1:33" ht="18.75" customHeight="1">
      <c r="A33" s="230"/>
      <c r="B33" s="46" t="s">
        <v>18</v>
      </c>
      <c r="C33" s="46">
        <v>17</v>
      </c>
      <c r="D33" s="46">
        <v>10</v>
      </c>
      <c r="E33" s="46">
        <v>5</v>
      </c>
      <c r="F33" s="46">
        <v>2</v>
      </c>
      <c r="G33" s="46">
        <v>6</v>
      </c>
      <c r="H33" s="46">
        <v>10</v>
      </c>
      <c r="I33" s="46">
        <v>8</v>
      </c>
      <c r="J33" s="46">
        <v>6</v>
      </c>
      <c r="K33" s="227"/>
      <c r="L33" s="46" t="s">
        <v>18</v>
      </c>
      <c r="M33" s="46">
        <v>3</v>
      </c>
      <c r="N33" s="46">
        <v>4</v>
      </c>
      <c r="O33" s="46">
        <v>6</v>
      </c>
      <c r="P33" s="46">
        <v>3</v>
      </c>
      <c r="Q33" s="46">
        <v>14</v>
      </c>
      <c r="R33" s="46">
        <v>12</v>
      </c>
      <c r="S33" s="46">
        <v>5</v>
      </c>
      <c r="T33" s="69">
        <v>8</v>
      </c>
      <c r="U33" s="60">
        <f t="shared" si="1"/>
        <v>119</v>
      </c>
      <c r="AG33" s="95"/>
    </row>
    <row r="34" spans="1:33" ht="18.75" customHeight="1">
      <c r="A34" s="193" t="s">
        <v>10</v>
      </c>
      <c r="B34" s="63" t="s">
        <v>13</v>
      </c>
      <c r="C34" s="99">
        <v>18</v>
      </c>
      <c r="D34" s="99">
        <v>16</v>
      </c>
      <c r="E34" s="99">
        <v>20</v>
      </c>
      <c r="F34" s="99">
        <v>28</v>
      </c>
      <c r="G34" s="99">
        <v>35</v>
      </c>
      <c r="H34" s="99">
        <v>30</v>
      </c>
      <c r="I34" s="99">
        <v>28</v>
      </c>
      <c r="J34" s="99">
        <v>21</v>
      </c>
      <c r="K34" s="194" t="s">
        <v>10</v>
      </c>
      <c r="L34" s="63" t="s">
        <v>13</v>
      </c>
      <c r="M34" s="99">
        <v>14</v>
      </c>
      <c r="N34" s="99">
        <v>16</v>
      </c>
      <c r="O34" s="99">
        <v>23</v>
      </c>
      <c r="P34" s="99">
        <v>30</v>
      </c>
      <c r="Q34" s="99">
        <v>27</v>
      </c>
      <c r="R34" s="99">
        <v>28</v>
      </c>
      <c r="S34" s="99">
        <v>20</v>
      </c>
      <c r="T34" s="102">
        <v>8</v>
      </c>
      <c r="U34" s="60">
        <f t="shared" si="1"/>
        <v>362</v>
      </c>
      <c r="AG34" s="96"/>
    </row>
    <row r="35" spans="1:33" ht="18.75" customHeight="1">
      <c r="A35" s="230"/>
      <c r="B35" s="6" t="s">
        <v>14</v>
      </c>
      <c r="C35" s="100">
        <v>4</v>
      </c>
      <c r="D35" s="100">
        <v>5</v>
      </c>
      <c r="E35" s="100">
        <v>10</v>
      </c>
      <c r="F35" s="100">
        <v>14</v>
      </c>
      <c r="G35" s="100">
        <v>15</v>
      </c>
      <c r="H35" s="100">
        <v>14</v>
      </c>
      <c r="I35" s="100">
        <v>12</v>
      </c>
      <c r="J35" s="100">
        <v>7</v>
      </c>
      <c r="K35" s="227"/>
      <c r="L35" s="6" t="s">
        <v>14</v>
      </c>
      <c r="M35" s="100">
        <v>6</v>
      </c>
      <c r="N35" s="100">
        <v>8</v>
      </c>
      <c r="O35" s="100">
        <v>13</v>
      </c>
      <c r="P35" s="100">
        <v>5</v>
      </c>
      <c r="Q35" s="100">
        <v>10</v>
      </c>
      <c r="R35" s="100">
        <v>5</v>
      </c>
      <c r="S35" s="100">
        <v>6</v>
      </c>
      <c r="T35" s="103">
        <v>3</v>
      </c>
      <c r="U35" s="60">
        <f t="shared" si="1"/>
        <v>137</v>
      </c>
      <c r="AG35" s="96"/>
    </row>
    <row r="36" spans="1:33" ht="18.75" customHeight="1">
      <c r="A36" s="230"/>
      <c r="B36" s="6" t="s">
        <v>15</v>
      </c>
      <c r="C36" s="100">
        <v>17</v>
      </c>
      <c r="D36" s="100">
        <v>19</v>
      </c>
      <c r="E36" s="100">
        <v>18</v>
      </c>
      <c r="F36" s="100">
        <v>25</v>
      </c>
      <c r="G36" s="100">
        <v>31</v>
      </c>
      <c r="H36" s="100">
        <v>28</v>
      </c>
      <c r="I36" s="100">
        <v>15</v>
      </c>
      <c r="J36" s="100">
        <v>20</v>
      </c>
      <c r="K36" s="227"/>
      <c r="L36" s="6" t="s">
        <v>15</v>
      </c>
      <c r="M36" s="100">
        <v>20</v>
      </c>
      <c r="N36" s="100">
        <v>14</v>
      </c>
      <c r="O36" s="100">
        <v>20</v>
      </c>
      <c r="P36" s="100">
        <v>22</v>
      </c>
      <c r="Q36" s="100">
        <v>27</v>
      </c>
      <c r="R36" s="100">
        <v>43</v>
      </c>
      <c r="S36" s="100">
        <v>30</v>
      </c>
      <c r="T36" s="103">
        <v>12</v>
      </c>
      <c r="U36" s="60">
        <f t="shared" si="1"/>
        <v>361</v>
      </c>
      <c r="AG36" s="96"/>
    </row>
    <row r="37" spans="1:33" ht="18.75" customHeight="1">
      <c r="A37" s="230"/>
      <c r="B37" s="6" t="s">
        <v>16</v>
      </c>
      <c r="C37" s="100">
        <v>5</v>
      </c>
      <c r="D37" s="100">
        <v>6</v>
      </c>
      <c r="E37" s="100">
        <v>10</v>
      </c>
      <c r="F37" s="100">
        <v>7</v>
      </c>
      <c r="G37" s="100">
        <v>12</v>
      </c>
      <c r="H37" s="100">
        <v>10</v>
      </c>
      <c r="I37" s="100">
        <v>12</v>
      </c>
      <c r="J37" s="100">
        <v>6</v>
      </c>
      <c r="K37" s="227"/>
      <c r="L37" s="6" t="s">
        <v>16</v>
      </c>
      <c r="M37" s="100">
        <v>8</v>
      </c>
      <c r="N37" s="100">
        <v>8</v>
      </c>
      <c r="O37" s="100">
        <v>12</v>
      </c>
      <c r="P37" s="100">
        <v>6</v>
      </c>
      <c r="Q37" s="100">
        <v>5</v>
      </c>
      <c r="R37" s="100">
        <v>10</v>
      </c>
      <c r="S37" s="100">
        <v>7</v>
      </c>
      <c r="T37" s="103">
        <v>2</v>
      </c>
      <c r="U37" s="60">
        <f t="shared" si="1"/>
        <v>126</v>
      </c>
      <c r="AG37" s="96"/>
    </row>
    <row r="38" spans="1:33" ht="18.75" customHeight="1">
      <c r="A38" s="230"/>
      <c r="B38" s="6" t="s">
        <v>17</v>
      </c>
      <c r="C38" s="100">
        <v>6</v>
      </c>
      <c r="D38" s="100">
        <v>7</v>
      </c>
      <c r="E38" s="100">
        <v>6</v>
      </c>
      <c r="F38" s="100">
        <v>8</v>
      </c>
      <c r="G38" s="100">
        <v>17</v>
      </c>
      <c r="H38" s="100">
        <v>14</v>
      </c>
      <c r="I38" s="100">
        <v>10</v>
      </c>
      <c r="J38" s="100">
        <v>4</v>
      </c>
      <c r="K38" s="227"/>
      <c r="L38" s="6" t="s">
        <v>17</v>
      </c>
      <c r="M38" s="100">
        <v>7</v>
      </c>
      <c r="N38" s="100">
        <v>8</v>
      </c>
      <c r="O38" s="100">
        <v>11</v>
      </c>
      <c r="P38" s="100">
        <v>8</v>
      </c>
      <c r="Q38" s="100">
        <v>8</v>
      </c>
      <c r="R38" s="100">
        <v>10</v>
      </c>
      <c r="S38" s="100">
        <v>9</v>
      </c>
      <c r="T38" s="103">
        <v>3</v>
      </c>
      <c r="U38" s="60">
        <f t="shared" si="1"/>
        <v>136</v>
      </c>
      <c r="AG38" s="96"/>
    </row>
    <row r="39" spans="1:33" ht="18.75" customHeight="1">
      <c r="A39" s="230"/>
      <c r="B39" s="47" t="s">
        <v>18</v>
      </c>
      <c r="C39" s="101">
        <v>18</v>
      </c>
      <c r="D39" s="101">
        <v>8</v>
      </c>
      <c r="E39" s="101">
        <v>9</v>
      </c>
      <c r="F39" s="101">
        <v>7</v>
      </c>
      <c r="G39" s="101">
        <v>12</v>
      </c>
      <c r="H39" s="101">
        <v>12</v>
      </c>
      <c r="I39" s="101">
        <v>7</v>
      </c>
      <c r="J39" s="101">
        <v>6</v>
      </c>
      <c r="K39" s="227"/>
      <c r="L39" s="47" t="s">
        <v>18</v>
      </c>
      <c r="M39" s="101">
        <v>3</v>
      </c>
      <c r="N39" s="101">
        <v>4</v>
      </c>
      <c r="O39" s="101">
        <v>5</v>
      </c>
      <c r="P39" s="101">
        <v>5</v>
      </c>
      <c r="Q39" s="101">
        <v>6</v>
      </c>
      <c r="R39" s="101">
        <v>12</v>
      </c>
      <c r="S39" s="101">
        <v>13</v>
      </c>
      <c r="T39" s="104">
        <v>4</v>
      </c>
      <c r="U39" s="60">
        <f t="shared" si="1"/>
        <v>131</v>
      </c>
      <c r="AG39" s="96"/>
    </row>
    <row r="40" spans="1:33" ht="18.75" customHeight="1">
      <c r="A40" s="195" t="s">
        <v>11</v>
      </c>
      <c r="B40" s="56" t="s">
        <v>13</v>
      </c>
      <c r="C40" s="162">
        <v>20</v>
      </c>
      <c r="D40" s="162">
        <v>19</v>
      </c>
      <c r="E40" s="162">
        <v>22</v>
      </c>
      <c r="F40" s="162">
        <v>27</v>
      </c>
      <c r="G40" s="162">
        <v>25</v>
      </c>
      <c r="H40" s="162">
        <v>28</v>
      </c>
      <c r="I40" s="162">
        <v>22</v>
      </c>
      <c r="J40" s="162">
        <v>20</v>
      </c>
      <c r="K40" s="196" t="s">
        <v>11</v>
      </c>
      <c r="L40" s="56" t="s">
        <v>13</v>
      </c>
      <c r="M40" s="162">
        <v>17</v>
      </c>
      <c r="N40" s="162">
        <v>16</v>
      </c>
      <c r="O40" s="162">
        <v>14</v>
      </c>
      <c r="P40" s="162">
        <v>14</v>
      </c>
      <c r="Q40" s="162">
        <v>18</v>
      </c>
      <c r="R40" s="162">
        <v>16</v>
      </c>
      <c r="S40" s="162">
        <v>14</v>
      </c>
      <c r="T40" s="165">
        <v>3</v>
      </c>
      <c r="U40" s="60">
        <f t="shared" si="1"/>
        <v>295</v>
      </c>
      <c r="AG40" s="95"/>
    </row>
    <row r="41" spans="1:33" ht="18.75" customHeight="1">
      <c r="A41" s="230"/>
      <c r="B41" s="4" t="s">
        <v>14</v>
      </c>
      <c r="C41" s="163">
        <v>7</v>
      </c>
      <c r="D41" s="163">
        <v>5</v>
      </c>
      <c r="E41" s="163">
        <v>11</v>
      </c>
      <c r="F41" s="163">
        <v>12</v>
      </c>
      <c r="G41" s="163">
        <v>27</v>
      </c>
      <c r="H41" s="163">
        <v>17</v>
      </c>
      <c r="I41" s="163">
        <v>13</v>
      </c>
      <c r="J41" s="163">
        <v>12</v>
      </c>
      <c r="K41" s="227"/>
      <c r="L41" s="4" t="s">
        <v>14</v>
      </c>
      <c r="M41" s="163">
        <v>9</v>
      </c>
      <c r="N41" s="163">
        <v>12</v>
      </c>
      <c r="O41" s="163">
        <v>7</v>
      </c>
      <c r="P41" s="163">
        <v>4</v>
      </c>
      <c r="Q41" s="163">
        <v>2</v>
      </c>
      <c r="R41" s="163">
        <v>5</v>
      </c>
      <c r="S41" s="163">
        <v>3</v>
      </c>
      <c r="T41" s="166">
        <v>0</v>
      </c>
      <c r="U41" s="60">
        <f t="shared" si="1"/>
        <v>146</v>
      </c>
      <c r="AG41" s="96"/>
    </row>
    <row r="42" spans="1:33" ht="18.75" customHeight="1">
      <c r="A42" s="230"/>
      <c r="B42" s="4" t="s">
        <v>15</v>
      </c>
      <c r="C42" s="163">
        <v>14</v>
      </c>
      <c r="D42" s="163">
        <v>16</v>
      </c>
      <c r="E42" s="163">
        <v>18</v>
      </c>
      <c r="F42" s="163">
        <v>17</v>
      </c>
      <c r="G42" s="163">
        <v>17</v>
      </c>
      <c r="H42" s="163">
        <v>23</v>
      </c>
      <c r="I42" s="163">
        <v>20</v>
      </c>
      <c r="J42" s="163">
        <v>16</v>
      </c>
      <c r="K42" s="227"/>
      <c r="L42" s="4" t="s">
        <v>15</v>
      </c>
      <c r="M42" s="163">
        <v>15</v>
      </c>
      <c r="N42" s="163">
        <v>14</v>
      </c>
      <c r="O42" s="163">
        <v>16</v>
      </c>
      <c r="P42" s="163">
        <v>19</v>
      </c>
      <c r="Q42" s="163">
        <v>24</v>
      </c>
      <c r="R42" s="163">
        <v>18</v>
      </c>
      <c r="S42" s="163">
        <v>17</v>
      </c>
      <c r="T42" s="166">
        <v>16</v>
      </c>
      <c r="U42" s="60">
        <f t="shared" si="1"/>
        <v>280</v>
      </c>
      <c r="AG42" s="96"/>
    </row>
    <row r="43" spans="1:33" ht="18.75" customHeight="1">
      <c r="A43" s="230"/>
      <c r="B43" s="4" t="s">
        <v>16</v>
      </c>
      <c r="C43" s="163">
        <v>4</v>
      </c>
      <c r="D43" s="163">
        <v>3</v>
      </c>
      <c r="E43" s="163">
        <v>10</v>
      </c>
      <c r="F43" s="163">
        <v>16</v>
      </c>
      <c r="G43" s="163">
        <v>4</v>
      </c>
      <c r="H43" s="163">
        <v>11</v>
      </c>
      <c r="I43" s="163">
        <v>6</v>
      </c>
      <c r="J43" s="163">
        <v>4</v>
      </c>
      <c r="K43" s="227"/>
      <c r="L43" s="4" t="s">
        <v>16</v>
      </c>
      <c r="M43" s="163">
        <v>5</v>
      </c>
      <c r="N43" s="163">
        <v>10</v>
      </c>
      <c r="O43" s="163">
        <v>6</v>
      </c>
      <c r="P43" s="163">
        <v>5</v>
      </c>
      <c r="Q43" s="163">
        <v>5</v>
      </c>
      <c r="R43" s="163">
        <v>4</v>
      </c>
      <c r="S43" s="163">
        <v>3</v>
      </c>
      <c r="T43" s="166">
        <v>1</v>
      </c>
      <c r="U43" s="60">
        <f t="shared" si="1"/>
        <v>97</v>
      </c>
      <c r="AG43" s="96"/>
    </row>
    <row r="44" spans="1:33" ht="18.75" customHeight="1">
      <c r="A44" s="230"/>
      <c r="B44" s="4" t="s">
        <v>17</v>
      </c>
      <c r="C44" s="163">
        <v>9</v>
      </c>
      <c r="D44" s="163">
        <v>4</v>
      </c>
      <c r="E44" s="163">
        <v>9</v>
      </c>
      <c r="F44" s="163">
        <v>10</v>
      </c>
      <c r="G44" s="163">
        <v>5</v>
      </c>
      <c r="H44" s="163">
        <v>11</v>
      </c>
      <c r="I44" s="163">
        <v>2</v>
      </c>
      <c r="J44" s="163">
        <v>4</v>
      </c>
      <c r="K44" s="227"/>
      <c r="L44" s="4" t="s">
        <v>17</v>
      </c>
      <c r="M44" s="163">
        <v>3</v>
      </c>
      <c r="N44" s="163">
        <v>5</v>
      </c>
      <c r="O44" s="163">
        <v>7</v>
      </c>
      <c r="P44" s="163">
        <v>4</v>
      </c>
      <c r="Q44" s="163">
        <v>4</v>
      </c>
      <c r="R44" s="163">
        <v>2</v>
      </c>
      <c r="S44" s="163">
        <v>2</v>
      </c>
      <c r="T44" s="166">
        <v>3</v>
      </c>
      <c r="U44" s="60">
        <f t="shared" si="1"/>
        <v>84</v>
      </c>
      <c r="AG44" s="96"/>
    </row>
    <row r="45" spans="1:33" ht="18.75" customHeight="1">
      <c r="A45" s="231"/>
      <c r="B45" s="61" t="s">
        <v>18</v>
      </c>
      <c r="C45" s="164">
        <v>16</v>
      </c>
      <c r="D45" s="164">
        <v>7</v>
      </c>
      <c r="E45" s="164">
        <v>8</v>
      </c>
      <c r="F45" s="164">
        <v>8</v>
      </c>
      <c r="G45" s="164">
        <v>17</v>
      </c>
      <c r="H45" s="164">
        <v>25</v>
      </c>
      <c r="I45" s="164">
        <v>2</v>
      </c>
      <c r="J45" s="164">
        <v>2</v>
      </c>
      <c r="K45" s="232"/>
      <c r="L45" s="61" t="s">
        <v>18</v>
      </c>
      <c r="M45" s="164">
        <v>3</v>
      </c>
      <c r="N45" s="164">
        <v>6</v>
      </c>
      <c r="O45" s="164">
        <v>5</v>
      </c>
      <c r="P45" s="164">
        <v>3</v>
      </c>
      <c r="Q45" s="164">
        <v>9</v>
      </c>
      <c r="R45" s="164">
        <v>4</v>
      </c>
      <c r="S45" s="164">
        <v>2</v>
      </c>
      <c r="T45" s="167">
        <v>2</v>
      </c>
      <c r="U45" s="60">
        <f t="shared" si="1"/>
        <v>119</v>
      </c>
      <c r="AG45" s="96"/>
    </row>
    <row r="46" spans="1:33" ht="18.75" customHeight="1">
      <c r="AG46" s="96"/>
    </row>
    <row r="47" spans="1:33" ht="18.75" customHeight="1">
      <c r="A47" s="1"/>
      <c r="B47" s="1"/>
      <c r="C47" s="183" t="s">
        <v>0</v>
      </c>
      <c r="D47" s="225"/>
      <c r="E47" s="225"/>
      <c r="F47" s="225"/>
      <c r="G47" s="226"/>
      <c r="H47" s="2"/>
      <c r="I47" s="1"/>
    </row>
    <row r="48" spans="1:33" ht="18.75" customHeight="1">
      <c r="A48" s="1"/>
      <c r="B48" s="183" t="s">
        <v>1</v>
      </c>
      <c r="C48" s="225"/>
      <c r="D48" s="226"/>
      <c r="E48" s="1"/>
      <c r="F48" s="184" t="s">
        <v>125</v>
      </c>
      <c r="G48" s="225"/>
      <c r="H48" s="226"/>
      <c r="I48" s="1"/>
      <c r="K48" s="1"/>
      <c r="L48" s="183" t="s">
        <v>26</v>
      </c>
      <c r="M48" s="225"/>
      <c r="N48" s="226"/>
      <c r="O48" s="1"/>
      <c r="P48" s="184" t="s">
        <v>125</v>
      </c>
      <c r="Q48" s="225"/>
      <c r="R48" s="226"/>
      <c r="S48" s="1"/>
    </row>
    <row r="49" spans="1:40" ht="18.75" customHeight="1">
      <c r="A49" s="54" t="s">
        <v>35</v>
      </c>
      <c r="B49" s="54" t="s">
        <v>4</v>
      </c>
      <c r="C49" s="54" t="s">
        <v>12</v>
      </c>
      <c r="D49" s="54" t="s">
        <v>19</v>
      </c>
      <c r="E49" s="54" t="s">
        <v>20</v>
      </c>
      <c r="F49" s="54" t="s">
        <v>21</v>
      </c>
      <c r="G49" s="54" t="s">
        <v>22</v>
      </c>
      <c r="H49" s="54" t="s">
        <v>23</v>
      </c>
      <c r="I49" s="54" t="s">
        <v>24</v>
      </c>
      <c r="J49" s="54" t="s">
        <v>25</v>
      </c>
      <c r="K49" s="54" t="s">
        <v>35</v>
      </c>
      <c r="L49" s="54" t="s">
        <v>4</v>
      </c>
      <c r="M49" s="54" t="s">
        <v>27</v>
      </c>
      <c r="N49" s="54" t="s">
        <v>28</v>
      </c>
      <c r="O49" s="54" t="s">
        <v>29</v>
      </c>
      <c r="P49" s="54" t="s">
        <v>30</v>
      </c>
      <c r="Q49" s="54" t="s">
        <v>31</v>
      </c>
      <c r="R49" s="54" t="s">
        <v>32</v>
      </c>
      <c r="S49" s="54" t="s">
        <v>33</v>
      </c>
      <c r="T49" s="54" t="s">
        <v>34</v>
      </c>
      <c r="U49" s="54" t="s">
        <v>55</v>
      </c>
    </row>
    <row r="50" spans="1:40" ht="18.75" customHeight="1">
      <c r="A50" s="195" t="s">
        <v>5</v>
      </c>
      <c r="B50" s="56" t="s">
        <v>13</v>
      </c>
      <c r="C50" s="57"/>
      <c r="D50" s="57"/>
      <c r="E50" s="56">
        <v>14</v>
      </c>
      <c r="F50" s="56">
        <v>12</v>
      </c>
      <c r="G50" s="56">
        <v>27</v>
      </c>
      <c r="H50" s="56">
        <v>31</v>
      </c>
      <c r="I50" s="56">
        <v>33</v>
      </c>
      <c r="J50" s="56">
        <v>23</v>
      </c>
      <c r="K50" s="196" t="s">
        <v>5</v>
      </c>
      <c r="L50" s="56" t="s">
        <v>13</v>
      </c>
      <c r="M50" s="56">
        <v>16</v>
      </c>
      <c r="N50" s="56">
        <v>16</v>
      </c>
      <c r="O50" s="56">
        <v>12</v>
      </c>
      <c r="P50" s="56">
        <v>6</v>
      </c>
      <c r="Q50" s="56">
        <v>5</v>
      </c>
      <c r="R50" s="57"/>
      <c r="S50" s="57"/>
      <c r="T50" s="58"/>
      <c r="U50" s="59">
        <f>SUM(M50:T50,C50:J50)</f>
        <v>195</v>
      </c>
      <c r="W50" s="197" t="s">
        <v>2</v>
      </c>
      <c r="X50" s="198"/>
      <c r="AG50" s="190" t="s">
        <v>58</v>
      </c>
      <c r="AH50" s="191"/>
      <c r="AI50" s="191"/>
      <c r="AJ50" s="191"/>
      <c r="AK50" s="191"/>
      <c r="AL50" s="191"/>
      <c r="AM50" s="191"/>
      <c r="AN50" s="192"/>
    </row>
    <row r="51" spans="1:40" ht="18.75" customHeight="1">
      <c r="A51" s="230"/>
      <c r="B51" s="4" t="s">
        <v>14</v>
      </c>
      <c r="C51" s="5"/>
      <c r="D51" s="5"/>
      <c r="E51" s="4">
        <v>9</v>
      </c>
      <c r="F51" s="4">
        <v>5</v>
      </c>
      <c r="G51" s="4">
        <v>5</v>
      </c>
      <c r="H51" s="4">
        <v>9</v>
      </c>
      <c r="I51" s="4">
        <v>7</v>
      </c>
      <c r="J51" s="4">
        <v>5</v>
      </c>
      <c r="K51" s="227"/>
      <c r="L51" s="4" t="s">
        <v>14</v>
      </c>
      <c r="M51" s="4">
        <v>6</v>
      </c>
      <c r="N51" s="4">
        <v>7</v>
      </c>
      <c r="O51" s="4">
        <v>4</v>
      </c>
      <c r="P51" s="4">
        <v>0</v>
      </c>
      <c r="Q51" s="4">
        <v>1</v>
      </c>
      <c r="R51" s="5"/>
      <c r="S51" s="5"/>
      <c r="T51" s="49"/>
      <c r="U51" s="59">
        <f t="shared" ref="U51:U91" si="10">SUM(M51:T51,C51:J51)</f>
        <v>58</v>
      </c>
      <c r="W51" s="55" t="s">
        <v>5</v>
      </c>
      <c r="X51" s="48">
        <f>SUM(U50:U55)</f>
        <v>726</v>
      </c>
      <c r="AG51" s="98" t="s">
        <v>4</v>
      </c>
      <c r="AH51" s="98" t="s">
        <v>5</v>
      </c>
      <c r="AI51" s="98" t="s">
        <v>6</v>
      </c>
      <c r="AJ51" s="98" t="s">
        <v>7</v>
      </c>
      <c r="AK51" s="98" t="s">
        <v>8</v>
      </c>
      <c r="AL51" s="98" t="s">
        <v>9</v>
      </c>
      <c r="AM51" s="98" t="s">
        <v>10</v>
      </c>
      <c r="AN51" s="98" t="s">
        <v>11</v>
      </c>
    </row>
    <row r="52" spans="1:40" ht="18.75" customHeight="1">
      <c r="A52" s="230"/>
      <c r="B52" s="4" t="s">
        <v>15</v>
      </c>
      <c r="C52" s="5"/>
      <c r="D52" s="5"/>
      <c r="E52" s="4">
        <v>9</v>
      </c>
      <c r="F52" s="4">
        <v>26</v>
      </c>
      <c r="G52" s="4">
        <v>18</v>
      </c>
      <c r="H52" s="4">
        <v>28</v>
      </c>
      <c r="I52" s="4">
        <v>29</v>
      </c>
      <c r="J52" s="4">
        <v>21</v>
      </c>
      <c r="K52" s="227"/>
      <c r="L52" s="4" t="s">
        <v>15</v>
      </c>
      <c r="M52" s="4">
        <v>25</v>
      </c>
      <c r="N52" s="4">
        <v>23</v>
      </c>
      <c r="O52" s="4">
        <v>15</v>
      </c>
      <c r="P52" s="4">
        <v>9</v>
      </c>
      <c r="Q52" s="4">
        <v>11</v>
      </c>
      <c r="R52" s="5"/>
      <c r="S52" s="5"/>
      <c r="T52" s="49"/>
      <c r="U52" s="59">
        <f t="shared" si="10"/>
        <v>214</v>
      </c>
      <c r="W52" s="55" t="s">
        <v>6</v>
      </c>
      <c r="X52" s="48">
        <f>SUM(U56:U61)</f>
        <v>572</v>
      </c>
      <c r="AG52" s="79" t="s">
        <v>13</v>
      </c>
      <c r="AH52" s="79">
        <f t="shared" ref="AH52:AH57" si="11">U50</f>
        <v>195</v>
      </c>
      <c r="AI52" s="79">
        <f t="shared" ref="AI52:AI57" si="12">U56</f>
        <v>224</v>
      </c>
      <c r="AJ52" s="79">
        <f t="shared" ref="AJ52:AJ57" si="13">U62</f>
        <v>453</v>
      </c>
      <c r="AK52" s="79">
        <f t="shared" ref="AK52:AK57" si="14">U68</f>
        <v>415</v>
      </c>
      <c r="AL52" s="79">
        <f t="shared" ref="AL52:AL57" si="15">U74</f>
        <v>359</v>
      </c>
      <c r="AM52" s="79">
        <f t="shared" ref="AM52:AM57" si="16">U80</f>
        <v>392</v>
      </c>
      <c r="AN52" s="79">
        <f t="shared" ref="AN52:AN57" si="17">U86</f>
        <v>236</v>
      </c>
    </row>
    <row r="53" spans="1:40" ht="18.75" customHeight="1">
      <c r="A53" s="230"/>
      <c r="B53" s="4" t="s">
        <v>16</v>
      </c>
      <c r="C53" s="5"/>
      <c r="D53" s="5"/>
      <c r="E53" s="4">
        <v>6</v>
      </c>
      <c r="F53" s="4">
        <v>5</v>
      </c>
      <c r="G53" s="4">
        <v>17</v>
      </c>
      <c r="H53" s="4">
        <v>9</v>
      </c>
      <c r="I53" s="4">
        <v>10</v>
      </c>
      <c r="J53" s="4">
        <v>10</v>
      </c>
      <c r="K53" s="227"/>
      <c r="L53" s="4" t="s">
        <v>16</v>
      </c>
      <c r="M53" s="4">
        <v>6</v>
      </c>
      <c r="N53" s="4">
        <v>4</v>
      </c>
      <c r="O53" s="4">
        <v>5</v>
      </c>
      <c r="P53" s="4">
        <v>0</v>
      </c>
      <c r="Q53" s="4">
        <v>1</v>
      </c>
      <c r="R53" s="5"/>
      <c r="S53" s="5"/>
      <c r="T53" s="49"/>
      <c r="U53" s="59">
        <f t="shared" si="10"/>
        <v>73</v>
      </c>
      <c r="W53" s="55" t="s">
        <v>7</v>
      </c>
      <c r="X53" s="48">
        <f>SUM(U62:U67)</f>
        <v>1521</v>
      </c>
      <c r="AG53" s="97" t="s">
        <v>14</v>
      </c>
      <c r="AH53" s="97">
        <f t="shared" si="11"/>
        <v>58</v>
      </c>
      <c r="AI53" s="97">
        <f t="shared" si="12"/>
        <v>57</v>
      </c>
      <c r="AJ53" s="97">
        <f t="shared" si="13"/>
        <v>178</v>
      </c>
      <c r="AK53" s="97">
        <f t="shared" si="14"/>
        <v>116</v>
      </c>
      <c r="AL53" s="97">
        <f t="shared" si="15"/>
        <v>144</v>
      </c>
      <c r="AM53" s="97">
        <f t="shared" si="16"/>
        <v>131</v>
      </c>
      <c r="AN53" s="97">
        <f t="shared" si="17"/>
        <v>138</v>
      </c>
    </row>
    <row r="54" spans="1:40" ht="18.75" customHeight="1">
      <c r="A54" s="230"/>
      <c r="B54" s="4" t="s">
        <v>17</v>
      </c>
      <c r="C54" s="5"/>
      <c r="D54" s="5"/>
      <c r="E54" s="4">
        <v>9</v>
      </c>
      <c r="F54" s="4">
        <v>6</v>
      </c>
      <c r="G54" s="4">
        <v>11</v>
      </c>
      <c r="H54" s="4">
        <v>15</v>
      </c>
      <c r="I54" s="4">
        <v>15</v>
      </c>
      <c r="J54" s="4">
        <v>9</v>
      </c>
      <c r="K54" s="227"/>
      <c r="L54" s="4" t="s">
        <v>17</v>
      </c>
      <c r="M54" s="4">
        <v>9</v>
      </c>
      <c r="N54" s="4">
        <v>6</v>
      </c>
      <c r="O54" s="4">
        <v>4</v>
      </c>
      <c r="P54" s="4">
        <v>2</v>
      </c>
      <c r="Q54" s="4">
        <v>3</v>
      </c>
      <c r="R54" s="5"/>
      <c r="S54" s="5"/>
      <c r="T54" s="49"/>
      <c r="U54" s="59">
        <f t="shared" si="10"/>
        <v>89</v>
      </c>
      <c r="W54" s="55" t="s">
        <v>61</v>
      </c>
      <c r="X54" s="48">
        <f>SUM(U68:U73)</f>
        <v>1242</v>
      </c>
      <c r="AG54" s="79" t="s">
        <v>15</v>
      </c>
      <c r="AH54" s="79">
        <f t="shared" si="11"/>
        <v>214</v>
      </c>
      <c r="AI54" s="79">
        <f t="shared" si="12"/>
        <v>127</v>
      </c>
      <c r="AJ54" s="79">
        <f t="shared" si="13"/>
        <v>413</v>
      </c>
      <c r="AK54" s="79">
        <f t="shared" si="14"/>
        <v>347</v>
      </c>
      <c r="AL54" s="79">
        <f t="shared" si="15"/>
        <v>321</v>
      </c>
      <c r="AM54" s="79">
        <f t="shared" si="16"/>
        <v>322</v>
      </c>
      <c r="AN54" s="79">
        <f t="shared" si="17"/>
        <v>249</v>
      </c>
    </row>
    <row r="55" spans="1:40" ht="18.75" customHeight="1">
      <c r="A55" s="230"/>
      <c r="B55" s="46" t="s">
        <v>18</v>
      </c>
      <c r="C55" s="64"/>
      <c r="D55" s="64"/>
      <c r="E55" s="46">
        <v>16</v>
      </c>
      <c r="F55" s="46">
        <v>6</v>
      </c>
      <c r="G55" s="46">
        <v>12</v>
      </c>
      <c r="H55" s="46">
        <v>23</v>
      </c>
      <c r="I55" s="46">
        <v>19</v>
      </c>
      <c r="J55" s="46">
        <v>3</v>
      </c>
      <c r="K55" s="227"/>
      <c r="L55" s="46" t="s">
        <v>18</v>
      </c>
      <c r="M55" s="46">
        <v>9</v>
      </c>
      <c r="N55" s="46">
        <v>3</v>
      </c>
      <c r="O55" s="46">
        <v>4</v>
      </c>
      <c r="P55" s="46">
        <v>2</v>
      </c>
      <c r="Q55" s="46">
        <v>0</v>
      </c>
      <c r="R55" s="64"/>
      <c r="S55" s="64"/>
      <c r="T55" s="65"/>
      <c r="U55" s="59">
        <f t="shared" si="10"/>
        <v>97</v>
      </c>
      <c r="W55" s="55" t="s">
        <v>9</v>
      </c>
      <c r="X55" s="48">
        <f>SUM(U74:U79)</f>
        <v>1164</v>
      </c>
      <c r="AG55" s="97" t="s">
        <v>16</v>
      </c>
      <c r="AH55" s="97">
        <f t="shared" si="11"/>
        <v>73</v>
      </c>
      <c r="AI55" s="97">
        <f t="shared" si="12"/>
        <v>70</v>
      </c>
      <c r="AJ55" s="97">
        <f t="shared" si="13"/>
        <v>150</v>
      </c>
      <c r="AK55" s="97">
        <f t="shared" si="14"/>
        <v>118</v>
      </c>
      <c r="AL55" s="97">
        <f t="shared" si="15"/>
        <v>118</v>
      </c>
      <c r="AM55" s="97">
        <f t="shared" si="16"/>
        <v>126</v>
      </c>
      <c r="AN55" s="97">
        <f t="shared" si="17"/>
        <v>107</v>
      </c>
    </row>
    <row r="56" spans="1:40" ht="18.75" customHeight="1">
      <c r="A56" s="193" t="s">
        <v>6</v>
      </c>
      <c r="B56" s="63" t="s">
        <v>13</v>
      </c>
      <c r="C56" s="57"/>
      <c r="D56" s="57"/>
      <c r="E56" s="57"/>
      <c r="F56" s="63">
        <v>24</v>
      </c>
      <c r="G56" s="63">
        <v>33</v>
      </c>
      <c r="H56" s="63">
        <v>39</v>
      </c>
      <c r="I56" s="63">
        <v>41</v>
      </c>
      <c r="J56" s="63">
        <v>22</v>
      </c>
      <c r="K56" s="194" t="s">
        <v>6</v>
      </c>
      <c r="L56" s="63" t="s">
        <v>13</v>
      </c>
      <c r="M56" s="63">
        <v>12</v>
      </c>
      <c r="N56" s="63">
        <v>12</v>
      </c>
      <c r="O56" s="63">
        <v>22</v>
      </c>
      <c r="P56" s="63">
        <v>19</v>
      </c>
      <c r="Q56" s="57"/>
      <c r="R56" s="57"/>
      <c r="S56" s="57"/>
      <c r="T56" s="58"/>
      <c r="U56" s="59">
        <f t="shared" si="10"/>
        <v>224</v>
      </c>
      <c r="W56" s="55" t="s">
        <v>10</v>
      </c>
      <c r="X56" s="48">
        <f>SUM(U80:U85)</f>
        <v>1247</v>
      </c>
      <c r="AG56" s="79" t="s">
        <v>17</v>
      </c>
      <c r="AH56" s="79">
        <f t="shared" si="11"/>
        <v>89</v>
      </c>
      <c r="AI56" s="79">
        <f t="shared" si="12"/>
        <v>43</v>
      </c>
      <c r="AJ56" s="79">
        <f t="shared" si="13"/>
        <v>146</v>
      </c>
      <c r="AK56" s="79">
        <f t="shared" si="14"/>
        <v>111</v>
      </c>
      <c r="AL56" s="79">
        <f t="shared" si="15"/>
        <v>102</v>
      </c>
      <c r="AM56" s="79">
        <f t="shared" si="16"/>
        <v>133</v>
      </c>
      <c r="AN56" s="79">
        <f t="shared" si="17"/>
        <v>78</v>
      </c>
    </row>
    <row r="57" spans="1:40" ht="18.75" customHeight="1">
      <c r="A57" s="230"/>
      <c r="B57" s="6" t="s">
        <v>14</v>
      </c>
      <c r="C57" s="5"/>
      <c r="D57" s="5"/>
      <c r="E57" s="5"/>
      <c r="F57" s="6">
        <v>2</v>
      </c>
      <c r="G57" s="6">
        <v>11</v>
      </c>
      <c r="H57" s="6">
        <v>12</v>
      </c>
      <c r="I57" s="6">
        <v>13</v>
      </c>
      <c r="J57" s="6">
        <v>4</v>
      </c>
      <c r="K57" s="227"/>
      <c r="L57" s="6" t="s">
        <v>14</v>
      </c>
      <c r="M57" s="6">
        <v>2</v>
      </c>
      <c r="N57" s="6">
        <v>4</v>
      </c>
      <c r="O57" s="6">
        <v>4</v>
      </c>
      <c r="P57" s="6">
        <v>5</v>
      </c>
      <c r="Q57" s="5"/>
      <c r="R57" s="5"/>
      <c r="S57" s="5"/>
      <c r="T57" s="49"/>
      <c r="U57" s="59">
        <f t="shared" si="10"/>
        <v>57</v>
      </c>
      <c r="W57" s="81" t="s">
        <v>11</v>
      </c>
      <c r="X57" s="80">
        <f>SUM(U86:U91)</f>
        <v>917</v>
      </c>
      <c r="AG57" s="97" t="s">
        <v>18</v>
      </c>
      <c r="AH57" s="97">
        <f t="shared" si="11"/>
        <v>97</v>
      </c>
      <c r="AI57" s="97">
        <f t="shared" si="12"/>
        <v>51</v>
      </c>
      <c r="AJ57" s="97">
        <f t="shared" si="13"/>
        <v>181</v>
      </c>
      <c r="AK57" s="97">
        <f t="shared" si="14"/>
        <v>135</v>
      </c>
      <c r="AL57" s="97">
        <f t="shared" si="15"/>
        <v>120</v>
      </c>
      <c r="AM57" s="97">
        <f t="shared" si="16"/>
        <v>143</v>
      </c>
      <c r="AN57" s="97">
        <f t="shared" si="17"/>
        <v>109</v>
      </c>
    </row>
    <row r="58" spans="1:40" ht="18.75" customHeight="1">
      <c r="A58" s="230"/>
      <c r="B58" s="6" t="s">
        <v>15</v>
      </c>
      <c r="C58" s="5"/>
      <c r="D58" s="5"/>
      <c r="E58" s="5"/>
      <c r="F58" s="6">
        <v>17</v>
      </c>
      <c r="G58" s="6">
        <v>21</v>
      </c>
      <c r="H58" s="6">
        <v>25</v>
      </c>
      <c r="I58" s="6">
        <v>36</v>
      </c>
      <c r="J58" s="6">
        <v>5</v>
      </c>
      <c r="K58" s="227"/>
      <c r="L58" s="6" t="s">
        <v>15</v>
      </c>
      <c r="M58" s="6">
        <v>6</v>
      </c>
      <c r="N58" s="6">
        <v>5</v>
      </c>
      <c r="O58" s="6">
        <v>6</v>
      </c>
      <c r="P58" s="6">
        <v>6</v>
      </c>
      <c r="Q58" s="5"/>
      <c r="R58" s="5"/>
      <c r="S58" s="5"/>
      <c r="T58" s="49"/>
      <c r="U58" s="59">
        <f t="shared" si="10"/>
        <v>127</v>
      </c>
      <c r="W58" s="79" t="s">
        <v>63</v>
      </c>
      <c r="X58" s="82">
        <f>SUM(X51:X57)</f>
        <v>7389</v>
      </c>
    </row>
    <row r="59" spans="1:40" ht="18.75" customHeight="1">
      <c r="A59" s="230"/>
      <c r="B59" s="6" t="s">
        <v>16</v>
      </c>
      <c r="C59" s="5"/>
      <c r="D59" s="5"/>
      <c r="E59" s="5"/>
      <c r="F59" s="6">
        <v>8</v>
      </c>
      <c r="G59" s="6">
        <v>11</v>
      </c>
      <c r="H59" s="6">
        <v>15</v>
      </c>
      <c r="I59" s="6">
        <v>14</v>
      </c>
      <c r="J59" s="6">
        <v>10</v>
      </c>
      <c r="K59" s="227"/>
      <c r="L59" s="6" t="s">
        <v>16</v>
      </c>
      <c r="M59" s="6">
        <v>3</v>
      </c>
      <c r="N59" s="6">
        <v>2</v>
      </c>
      <c r="O59" s="6">
        <v>6</v>
      </c>
      <c r="P59" s="6">
        <v>1</v>
      </c>
      <c r="Q59" s="5"/>
      <c r="R59" s="5"/>
      <c r="S59" s="5"/>
      <c r="T59" s="49"/>
      <c r="U59" s="59">
        <f t="shared" si="10"/>
        <v>70</v>
      </c>
    </row>
    <row r="60" spans="1:40" ht="18.75" customHeight="1">
      <c r="A60" s="230"/>
      <c r="B60" s="6" t="s">
        <v>17</v>
      </c>
      <c r="C60" s="5"/>
      <c r="D60" s="5"/>
      <c r="E60" s="5"/>
      <c r="F60" s="6">
        <v>5</v>
      </c>
      <c r="G60" s="6">
        <v>8</v>
      </c>
      <c r="H60" s="6">
        <v>8</v>
      </c>
      <c r="I60" s="6">
        <v>8</v>
      </c>
      <c r="J60" s="6">
        <v>5</v>
      </c>
      <c r="K60" s="227"/>
      <c r="L60" s="6" t="s">
        <v>17</v>
      </c>
      <c r="M60" s="6">
        <v>3</v>
      </c>
      <c r="N60" s="6">
        <v>2</v>
      </c>
      <c r="O60" s="6">
        <v>2</v>
      </c>
      <c r="P60" s="6">
        <v>2</v>
      </c>
      <c r="Q60" s="5"/>
      <c r="R60" s="5"/>
      <c r="S60" s="5"/>
      <c r="T60" s="49"/>
      <c r="U60" s="59">
        <f t="shared" si="10"/>
        <v>43</v>
      </c>
    </row>
    <row r="61" spans="1:40" ht="18.75" customHeight="1">
      <c r="A61" s="230"/>
      <c r="B61" s="47" t="s">
        <v>18</v>
      </c>
      <c r="C61" s="64"/>
      <c r="D61" s="64"/>
      <c r="E61" s="64"/>
      <c r="F61" s="47">
        <v>3</v>
      </c>
      <c r="G61" s="47">
        <v>7</v>
      </c>
      <c r="H61" s="47">
        <v>9</v>
      </c>
      <c r="I61" s="47">
        <v>9</v>
      </c>
      <c r="J61" s="47">
        <v>10</v>
      </c>
      <c r="K61" s="227"/>
      <c r="L61" s="47" t="s">
        <v>18</v>
      </c>
      <c r="M61" s="47">
        <v>4</v>
      </c>
      <c r="N61" s="47">
        <v>4</v>
      </c>
      <c r="O61" s="47">
        <v>2</v>
      </c>
      <c r="P61" s="47">
        <v>3</v>
      </c>
      <c r="Q61" s="64"/>
      <c r="R61" s="64"/>
      <c r="S61" s="64"/>
      <c r="T61" s="65"/>
      <c r="U61" s="59">
        <f t="shared" si="10"/>
        <v>51</v>
      </c>
    </row>
    <row r="62" spans="1:40" ht="18.75" customHeight="1">
      <c r="A62" s="195" t="s">
        <v>7</v>
      </c>
      <c r="B62" s="56" t="s">
        <v>13</v>
      </c>
      <c r="C62" s="56">
        <v>12</v>
      </c>
      <c r="D62" s="56">
        <v>16</v>
      </c>
      <c r="E62" s="56">
        <v>18</v>
      </c>
      <c r="F62" s="56">
        <v>28</v>
      </c>
      <c r="G62" s="56">
        <v>45</v>
      </c>
      <c r="H62" s="56">
        <v>36</v>
      </c>
      <c r="I62" s="56">
        <v>37</v>
      </c>
      <c r="J62" s="56">
        <v>28</v>
      </c>
      <c r="K62" s="196" t="s">
        <v>7</v>
      </c>
      <c r="L62" s="56" t="s">
        <v>13</v>
      </c>
      <c r="M62" s="56">
        <v>21</v>
      </c>
      <c r="N62" s="56">
        <v>20</v>
      </c>
      <c r="O62" s="56">
        <v>20</v>
      </c>
      <c r="P62" s="56">
        <v>30</v>
      </c>
      <c r="Q62" s="56">
        <v>48</v>
      </c>
      <c r="R62" s="56">
        <v>34</v>
      </c>
      <c r="S62" s="56">
        <v>34</v>
      </c>
      <c r="T62" s="67">
        <v>26</v>
      </c>
      <c r="U62" s="59">
        <f t="shared" si="10"/>
        <v>453</v>
      </c>
    </row>
    <row r="63" spans="1:40" ht="18.75" customHeight="1">
      <c r="A63" s="230"/>
      <c r="B63" s="4" t="s">
        <v>14</v>
      </c>
      <c r="C63" s="4">
        <v>9</v>
      </c>
      <c r="D63" s="4">
        <v>7</v>
      </c>
      <c r="E63" s="4">
        <v>8</v>
      </c>
      <c r="F63" s="4">
        <v>17</v>
      </c>
      <c r="G63" s="4">
        <v>17</v>
      </c>
      <c r="H63" s="4">
        <v>13</v>
      </c>
      <c r="I63" s="4">
        <v>15</v>
      </c>
      <c r="J63" s="4">
        <v>12</v>
      </c>
      <c r="K63" s="227"/>
      <c r="L63" s="4" t="s">
        <v>14</v>
      </c>
      <c r="M63" s="4">
        <v>12</v>
      </c>
      <c r="N63" s="4">
        <v>10</v>
      </c>
      <c r="O63" s="4">
        <v>14</v>
      </c>
      <c r="P63" s="4">
        <v>8</v>
      </c>
      <c r="Q63" s="4">
        <v>12</v>
      </c>
      <c r="R63" s="4">
        <v>13</v>
      </c>
      <c r="S63" s="4">
        <v>7</v>
      </c>
      <c r="T63" s="50">
        <v>4</v>
      </c>
      <c r="U63" s="59">
        <f t="shared" si="10"/>
        <v>178</v>
      </c>
    </row>
    <row r="64" spans="1:40" ht="18.75" customHeight="1">
      <c r="A64" s="230"/>
      <c r="B64" s="4" t="s">
        <v>15</v>
      </c>
      <c r="C64" s="4">
        <v>23</v>
      </c>
      <c r="D64" s="4">
        <v>16</v>
      </c>
      <c r="E64" s="4">
        <v>29</v>
      </c>
      <c r="F64" s="4">
        <v>26</v>
      </c>
      <c r="G64" s="4">
        <v>26</v>
      </c>
      <c r="H64" s="4">
        <v>18</v>
      </c>
      <c r="I64" s="4">
        <v>26</v>
      </c>
      <c r="J64" s="4">
        <v>28</v>
      </c>
      <c r="K64" s="227"/>
      <c r="L64" s="4" t="s">
        <v>15</v>
      </c>
      <c r="M64" s="4">
        <v>15</v>
      </c>
      <c r="N64" s="4">
        <v>18</v>
      </c>
      <c r="O64" s="4">
        <v>20</v>
      </c>
      <c r="P64" s="4">
        <v>32</v>
      </c>
      <c r="Q64" s="4">
        <v>37</v>
      </c>
      <c r="R64" s="4">
        <v>46</v>
      </c>
      <c r="S64" s="4">
        <v>30</v>
      </c>
      <c r="T64" s="50">
        <v>23</v>
      </c>
      <c r="U64" s="59">
        <f t="shared" si="10"/>
        <v>413</v>
      </c>
    </row>
    <row r="65" spans="1:21" ht="18.75" customHeight="1">
      <c r="A65" s="230"/>
      <c r="B65" s="4" t="s">
        <v>16</v>
      </c>
      <c r="C65" s="4">
        <v>1</v>
      </c>
      <c r="D65" s="4">
        <v>6</v>
      </c>
      <c r="E65" s="4">
        <v>6</v>
      </c>
      <c r="F65" s="4">
        <v>7</v>
      </c>
      <c r="G65" s="4">
        <v>15</v>
      </c>
      <c r="H65" s="4">
        <v>16</v>
      </c>
      <c r="I65" s="4">
        <v>17</v>
      </c>
      <c r="J65" s="4">
        <v>11</v>
      </c>
      <c r="K65" s="227"/>
      <c r="L65" s="4" t="s">
        <v>16</v>
      </c>
      <c r="M65" s="4">
        <v>10</v>
      </c>
      <c r="N65" s="4">
        <v>8</v>
      </c>
      <c r="O65" s="4">
        <v>11</v>
      </c>
      <c r="P65" s="4">
        <v>10</v>
      </c>
      <c r="Q65" s="4">
        <v>12</v>
      </c>
      <c r="R65" s="4">
        <v>8</v>
      </c>
      <c r="S65" s="4">
        <v>6</v>
      </c>
      <c r="T65" s="50">
        <v>6</v>
      </c>
      <c r="U65" s="59">
        <f t="shared" si="10"/>
        <v>150</v>
      </c>
    </row>
    <row r="66" spans="1:21" ht="18.75" customHeight="1">
      <c r="A66" s="230"/>
      <c r="B66" s="4" t="s">
        <v>17</v>
      </c>
      <c r="C66" s="4">
        <v>3</v>
      </c>
      <c r="D66" s="4">
        <v>6</v>
      </c>
      <c r="E66" s="4">
        <v>5</v>
      </c>
      <c r="F66" s="4">
        <v>8</v>
      </c>
      <c r="G66" s="4">
        <v>15</v>
      </c>
      <c r="H66" s="4">
        <v>19</v>
      </c>
      <c r="I66" s="4">
        <v>9</v>
      </c>
      <c r="J66" s="4">
        <v>6</v>
      </c>
      <c r="K66" s="227"/>
      <c r="L66" s="4" t="s">
        <v>17</v>
      </c>
      <c r="M66" s="4">
        <v>10</v>
      </c>
      <c r="N66" s="4">
        <v>7</v>
      </c>
      <c r="O66" s="4">
        <v>9</v>
      </c>
      <c r="P66" s="4">
        <v>9</v>
      </c>
      <c r="Q66" s="4">
        <v>11</v>
      </c>
      <c r="R66" s="4">
        <v>12</v>
      </c>
      <c r="S66" s="4">
        <v>12</v>
      </c>
      <c r="T66" s="50">
        <v>5</v>
      </c>
      <c r="U66" s="59">
        <f t="shared" si="10"/>
        <v>146</v>
      </c>
    </row>
    <row r="67" spans="1:21" ht="18.75" customHeight="1">
      <c r="A67" s="230"/>
      <c r="B67" s="46" t="s">
        <v>18</v>
      </c>
      <c r="C67" s="46">
        <v>16</v>
      </c>
      <c r="D67" s="46">
        <v>9</v>
      </c>
      <c r="E67" s="46">
        <v>9</v>
      </c>
      <c r="F67" s="46">
        <v>6</v>
      </c>
      <c r="G67" s="46">
        <v>15</v>
      </c>
      <c r="H67" s="46">
        <v>20</v>
      </c>
      <c r="I67" s="46">
        <v>12</v>
      </c>
      <c r="J67" s="46">
        <v>12</v>
      </c>
      <c r="K67" s="227"/>
      <c r="L67" s="46" t="s">
        <v>18</v>
      </c>
      <c r="M67" s="46">
        <v>5</v>
      </c>
      <c r="N67" s="46">
        <v>2</v>
      </c>
      <c r="O67" s="46">
        <v>5</v>
      </c>
      <c r="P67" s="46">
        <v>12</v>
      </c>
      <c r="Q67" s="46">
        <v>21</v>
      </c>
      <c r="R67" s="46">
        <v>18</v>
      </c>
      <c r="S67" s="46">
        <v>15</v>
      </c>
      <c r="T67" s="69">
        <v>4</v>
      </c>
      <c r="U67" s="59">
        <f t="shared" si="10"/>
        <v>181</v>
      </c>
    </row>
    <row r="68" spans="1:21" ht="18.75" customHeight="1">
      <c r="A68" s="193" t="s">
        <v>8</v>
      </c>
      <c r="B68" s="63" t="s">
        <v>13</v>
      </c>
      <c r="C68" s="63">
        <v>10</v>
      </c>
      <c r="D68" s="63">
        <v>11</v>
      </c>
      <c r="E68" s="63">
        <v>18</v>
      </c>
      <c r="F68" s="63">
        <v>16</v>
      </c>
      <c r="G68" s="63">
        <v>27</v>
      </c>
      <c r="H68" s="63">
        <v>47</v>
      </c>
      <c r="I68" s="63">
        <v>46</v>
      </c>
      <c r="J68" s="63">
        <v>30</v>
      </c>
      <c r="K68" s="194" t="s">
        <v>8</v>
      </c>
      <c r="L68" s="63" t="s">
        <v>13</v>
      </c>
      <c r="M68" s="63">
        <v>24</v>
      </c>
      <c r="N68" s="63">
        <v>24</v>
      </c>
      <c r="O68" s="63">
        <v>31</v>
      </c>
      <c r="P68" s="63">
        <v>24</v>
      </c>
      <c r="Q68" s="63">
        <v>40</v>
      </c>
      <c r="R68" s="63">
        <v>38</v>
      </c>
      <c r="S68" s="63">
        <v>21</v>
      </c>
      <c r="T68" s="68">
        <v>8</v>
      </c>
      <c r="U68" s="59">
        <f t="shared" si="10"/>
        <v>415</v>
      </c>
    </row>
    <row r="69" spans="1:21" ht="18.75" customHeight="1">
      <c r="A69" s="230"/>
      <c r="B69" s="6" t="s">
        <v>14</v>
      </c>
      <c r="C69" s="6">
        <v>2</v>
      </c>
      <c r="D69" s="6">
        <v>2</v>
      </c>
      <c r="E69" s="6">
        <v>7</v>
      </c>
      <c r="F69" s="6">
        <v>8</v>
      </c>
      <c r="G69" s="6">
        <v>8</v>
      </c>
      <c r="H69" s="6">
        <v>15</v>
      </c>
      <c r="I69" s="6">
        <v>9</v>
      </c>
      <c r="J69" s="6">
        <v>15</v>
      </c>
      <c r="K69" s="227"/>
      <c r="L69" s="6" t="s">
        <v>14</v>
      </c>
      <c r="M69" s="6">
        <v>8</v>
      </c>
      <c r="N69" s="6">
        <v>12</v>
      </c>
      <c r="O69" s="6">
        <v>6</v>
      </c>
      <c r="P69" s="6">
        <v>6</v>
      </c>
      <c r="Q69" s="6">
        <v>8</v>
      </c>
      <c r="R69" s="6">
        <v>3</v>
      </c>
      <c r="S69" s="6">
        <v>5</v>
      </c>
      <c r="T69" s="51">
        <v>2</v>
      </c>
      <c r="U69" s="59">
        <f t="shared" si="10"/>
        <v>116</v>
      </c>
    </row>
    <row r="70" spans="1:21" ht="18.75" customHeight="1">
      <c r="A70" s="230"/>
      <c r="B70" s="6" t="s">
        <v>15</v>
      </c>
      <c r="C70" s="6">
        <v>12</v>
      </c>
      <c r="D70" s="6">
        <v>13</v>
      </c>
      <c r="E70" s="6">
        <v>12</v>
      </c>
      <c r="F70" s="6">
        <v>14</v>
      </c>
      <c r="G70" s="6">
        <v>32</v>
      </c>
      <c r="H70" s="6">
        <v>29</v>
      </c>
      <c r="I70" s="6">
        <v>26</v>
      </c>
      <c r="J70" s="6">
        <v>24</v>
      </c>
      <c r="K70" s="227"/>
      <c r="L70" s="6" t="s">
        <v>15</v>
      </c>
      <c r="M70" s="6">
        <v>23</v>
      </c>
      <c r="N70" s="6">
        <v>29</v>
      </c>
      <c r="O70" s="6">
        <v>26</v>
      </c>
      <c r="P70" s="6">
        <v>23</v>
      </c>
      <c r="Q70" s="6">
        <v>22</v>
      </c>
      <c r="R70" s="6">
        <v>24</v>
      </c>
      <c r="S70" s="6">
        <v>24</v>
      </c>
      <c r="T70" s="51">
        <v>14</v>
      </c>
      <c r="U70" s="59">
        <f t="shared" si="10"/>
        <v>347</v>
      </c>
    </row>
    <row r="71" spans="1:21" ht="18.75" customHeight="1">
      <c r="A71" s="230"/>
      <c r="B71" s="6" t="s">
        <v>16</v>
      </c>
      <c r="C71" s="6">
        <v>4</v>
      </c>
      <c r="D71" s="6">
        <v>4</v>
      </c>
      <c r="E71" s="6">
        <v>3</v>
      </c>
      <c r="F71" s="6">
        <v>6</v>
      </c>
      <c r="G71" s="6">
        <v>11</v>
      </c>
      <c r="H71" s="6">
        <v>13</v>
      </c>
      <c r="I71" s="6">
        <v>11</v>
      </c>
      <c r="J71" s="6">
        <v>12</v>
      </c>
      <c r="K71" s="227"/>
      <c r="L71" s="6" t="s">
        <v>16</v>
      </c>
      <c r="M71" s="6">
        <v>7</v>
      </c>
      <c r="N71" s="6">
        <v>15</v>
      </c>
      <c r="O71" s="6">
        <v>6</v>
      </c>
      <c r="P71" s="6">
        <v>2</v>
      </c>
      <c r="Q71" s="6">
        <v>9</v>
      </c>
      <c r="R71" s="6">
        <v>9</v>
      </c>
      <c r="S71" s="6">
        <v>4</v>
      </c>
      <c r="T71" s="51">
        <v>2</v>
      </c>
      <c r="U71" s="59">
        <f t="shared" si="10"/>
        <v>118</v>
      </c>
    </row>
    <row r="72" spans="1:21" ht="18.75" customHeight="1">
      <c r="A72" s="230"/>
      <c r="B72" s="6" t="s">
        <v>17</v>
      </c>
      <c r="C72" s="6">
        <v>5</v>
      </c>
      <c r="D72" s="6">
        <v>7</v>
      </c>
      <c r="E72" s="6">
        <v>5</v>
      </c>
      <c r="F72" s="6">
        <v>7</v>
      </c>
      <c r="G72" s="6">
        <v>10</v>
      </c>
      <c r="H72" s="6">
        <v>10</v>
      </c>
      <c r="I72" s="6">
        <v>9</v>
      </c>
      <c r="J72" s="6">
        <v>8</v>
      </c>
      <c r="K72" s="227"/>
      <c r="L72" s="6" t="s">
        <v>17</v>
      </c>
      <c r="M72" s="6">
        <v>7</v>
      </c>
      <c r="N72" s="6">
        <v>3</v>
      </c>
      <c r="O72" s="6">
        <v>10</v>
      </c>
      <c r="P72" s="6">
        <v>10</v>
      </c>
      <c r="Q72" s="6">
        <v>6</v>
      </c>
      <c r="R72" s="6">
        <v>3</v>
      </c>
      <c r="S72" s="6">
        <v>5</v>
      </c>
      <c r="T72" s="51">
        <v>6</v>
      </c>
      <c r="U72" s="59">
        <f t="shared" si="10"/>
        <v>111</v>
      </c>
    </row>
    <row r="73" spans="1:21" ht="18.75" customHeight="1">
      <c r="A73" s="230"/>
      <c r="B73" s="47" t="s">
        <v>18</v>
      </c>
      <c r="C73" s="47">
        <v>12</v>
      </c>
      <c r="D73" s="47">
        <v>8</v>
      </c>
      <c r="E73" s="47">
        <v>6</v>
      </c>
      <c r="F73" s="47">
        <v>5</v>
      </c>
      <c r="G73" s="47">
        <v>12</v>
      </c>
      <c r="H73" s="47">
        <v>9</v>
      </c>
      <c r="I73" s="47">
        <v>12</v>
      </c>
      <c r="J73" s="47">
        <v>10</v>
      </c>
      <c r="K73" s="227"/>
      <c r="L73" s="47" t="s">
        <v>18</v>
      </c>
      <c r="M73" s="47">
        <v>6</v>
      </c>
      <c r="N73" s="47">
        <v>2</v>
      </c>
      <c r="O73" s="47">
        <v>3</v>
      </c>
      <c r="P73" s="47">
        <v>10</v>
      </c>
      <c r="Q73" s="47">
        <v>15</v>
      </c>
      <c r="R73" s="47">
        <v>12</v>
      </c>
      <c r="S73" s="47">
        <v>10</v>
      </c>
      <c r="T73" s="70">
        <v>3</v>
      </c>
      <c r="U73" s="59">
        <f t="shared" si="10"/>
        <v>135</v>
      </c>
    </row>
    <row r="74" spans="1:21" ht="18.75" customHeight="1">
      <c r="A74" s="195" t="s">
        <v>9</v>
      </c>
      <c r="B74" s="56" t="s">
        <v>13</v>
      </c>
      <c r="C74" s="56">
        <v>17</v>
      </c>
      <c r="D74" s="56">
        <v>21</v>
      </c>
      <c r="E74" s="56">
        <v>16</v>
      </c>
      <c r="F74" s="56">
        <v>29</v>
      </c>
      <c r="G74" s="56"/>
      <c r="H74" s="56">
        <v>42</v>
      </c>
      <c r="I74" s="56">
        <v>32</v>
      </c>
      <c r="J74" s="56">
        <v>23</v>
      </c>
      <c r="K74" s="196" t="s">
        <v>9</v>
      </c>
      <c r="L74" s="56" t="s">
        <v>13</v>
      </c>
      <c r="M74" s="56">
        <v>14</v>
      </c>
      <c r="N74" s="56">
        <v>25</v>
      </c>
      <c r="O74" s="56"/>
      <c r="P74" s="56">
        <v>37</v>
      </c>
      <c r="Q74" s="56">
        <v>36</v>
      </c>
      <c r="R74" s="56">
        <v>31</v>
      </c>
      <c r="S74" s="56">
        <v>24</v>
      </c>
      <c r="T74" s="67">
        <v>12</v>
      </c>
      <c r="U74" s="59">
        <f t="shared" si="10"/>
        <v>359</v>
      </c>
    </row>
    <row r="75" spans="1:21" ht="18.75" customHeight="1">
      <c r="A75" s="230"/>
      <c r="B75" s="4" t="s">
        <v>14</v>
      </c>
      <c r="C75" s="4">
        <v>6</v>
      </c>
      <c r="D75" s="4">
        <v>12</v>
      </c>
      <c r="E75" s="4">
        <v>10</v>
      </c>
      <c r="F75" s="4">
        <v>16</v>
      </c>
      <c r="G75" s="4"/>
      <c r="H75" s="4">
        <v>16</v>
      </c>
      <c r="I75" s="4">
        <v>16</v>
      </c>
      <c r="J75" s="4">
        <v>8</v>
      </c>
      <c r="K75" s="227"/>
      <c r="L75" s="4" t="s">
        <v>14</v>
      </c>
      <c r="M75" s="4">
        <v>12</v>
      </c>
      <c r="N75" s="4">
        <v>13</v>
      </c>
      <c r="O75" s="4"/>
      <c r="P75" s="4">
        <v>9</v>
      </c>
      <c r="Q75" s="4">
        <v>11</v>
      </c>
      <c r="R75" s="4">
        <v>10</v>
      </c>
      <c r="S75" s="4">
        <v>3</v>
      </c>
      <c r="T75" s="50">
        <v>2</v>
      </c>
      <c r="U75" s="59">
        <f t="shared" si="10"/>
        <v>144</v>
      </c>
    </row>
    <row r="76" spans="1:21" ht="18.75" customHeight="1">
      <c r="A76" s="230"/>
      <c r="B76" s="4" t="s">
        <v>15</v>
      </c>
      <c r="C76" s="4">
        <v>26</v>
      </c>
      <c r="D76" s="4">
        <v>25</v>
      </c>
      <c r="E76" s="4">
        <v>21</v>
      </c>
      <c r="F76" s="4">
        <v>27</v>
      </c>
      <c r="G76" s="4"/>
      <c r="H76" s="4">
        <v>24</v>
      </c>
      <c r="I76" s="4">
        <v>26</v>
      </c>
      <c r="J76" s="4">
        <v>13</v>
      </c>
      <c r="K76" s="227"/>
      <c r="L76" s="4" t="s">
        <v>15</v>
      </c>
      <c r="M76" s="4">
        <v>16</v>
      </c>
      <c r="N76" s="4">
        <v>18</v>
      </c>
      <c r="O76" s="4"/>
      <c r="P76" s="4">
        <v>30</v>
      </c>
      <c r="Q76" s="4">
        <v>28</v>
      </c>
      <c r="R76" s="4">
        <v>36</v>
      </c>
      <c r="S76" s="4">
        <v>16</v>
      </c>
      <c r="T76" s="50">
        <v>15</v>
      </c>
      <c r="U76" s="59">
        <f t="shared" si="10"/>
        <v>321</v>
      </c>
    </row>
    <row r="77" spans="1:21" ht="18.75" customHeight="1">
      <c r="A77" s="230"/>
      <c r="B77" s="4" t="s">
        <v>16</v>
      </c>
      <c r="C77" s="4">
        <v>2</v>
      </c>
      <c r="D77" s="4">
        <v>8</v>
      </c>
      <c r="E77" s="4">
        <v>7</v>
      </c>
      <c r="F77" s="4">
        <v>14</v>
      </c>
      <c r="G77" s="4"/>
      <c r="H77" s="4">
        <v>17</v>
      </c>
      <c r="I77" s="4">
        <v>6</v>
      </c>
      <c r="J77" s="4">
        <v>7</v>
      </c>
      <c r="K77" s="227"/>
      <c r="L77" s="4" t="s">
        <v>16</v>
      </c>
      <c r="M77" s="4">
        <v>7</v>
      </c>
      <c r="N77" s="4">
        <v>12</v>
      </c>
      <c r="O77" s="4"/>
      <c r="P77" s="4">
        <v>7</v>
      </c>
      <c r="Q77" s="4">
        <v>4</v>
      </c>
      <c r="R77" s="4">
        <v>12</v>
      </c>
      <c r="S77" s="4">
        <v>8</v>
      </c>
      <c r="T77" s="50">
        <v>7</v>
      </c>
      <c r="U77" s="59">
        <f t="shared" si="10"/>
        <v>118</v>
      </c>
    </row>
    <row r="78" spans="1:21" ht="18.75" customHeight="1">
      <c r="A78" s="230"/>
      <c r="B78" s="4" t="s">
        <v>17</v>
      </c>
      <c r="C78" s="4">
        <v>8</v>
      </c>
      <c r="D78" s="4">
        <v>8</v>
      </c>
      <c r="E78" s="4">
        <v>4</v>
      </c>
      <c r="F78" s="4">
        <v>6</v>
      </c>
      <c r="G78" s="4"/>
      <c r="H78" s="4">
        <v>11</v>
      </c>
      <c r="I78" s="4">
        <v>6</v>
      </c>
      <c r="J78" s="4">
        <v>4</v>
      </c>
      <c r="K78" s="227"/>
      <c r="L78" s="4" t="s">
        <v>17</v>
      </c>
      <c r="M78" s="4">
        <v>5</v>
      </c>
      <c r="N78" s="4">
        <v>12</v>
      </c>
      <c r="O78" s="4"/>
      <c r="P78" s="4">
        <v>9</v>
      </c>
      <c r="Q78" s="4">
        <v>11</v>
      </c>
      <c r="R78" s="4">
        <v>7</v>
      </c>
      <c r="S78" s="4">
        <v>5</v>
      </c>
      <c r="T78" s="50">
        <v>6</v>
      </c>
      <c r="U78" s="59">
        <f t="shared" si="10"/>
        <v>102</v>
      </c>
    </row>
    <row r="79" spans="1:21" ht="18.75" customHeight="1">
      <c r="A79" s="230"/>
      <c r="B79" s="46" t="s">
        <v>18</v>
      </c>
      <c r="C79" s="46">
        <v>21</v>
      </c>
      <c r="D79" s="46">
        <v>8</v>
      </c>
      <c r="E79" s="46">
        <v>2</v>
      </c>
      <c r="F79" s="46">
        <v>10</v>
      </c>
      <c r="G79" s="46"/>
      <c r="H79" s="46">
        <v>12</v>
      </c>
      <c r="I79" s="46">
        <v>9</v>
      </c>
      <c r="J79" s="46">
        <v>6</v>
      </c>
      <c r="K79" s="227"/>
      <c r="L79" s="46" t="s">
        <v>18</v>
      </c>
      <c r="M79" s="46">
        <v>8</v>
      </c>
      <c r="N79" s="46">
        <v>7</v>
      </c>
      <c r="O79" s="46"/>
      <c r="P79" s="46">
        <v>12</v>
      </c>
      <c r="Q79" s="46">
        <v>11</v>
      </c>
      <c r="R79" s="46">
        <v>7</v>
      </c>
      <c r="S79" s="46">
        <v>6</v>
      </c>
      <c r="T79" s="69">
        <v>1</v>
      </c>
      <c r="U79" s="59">
        <f t="shared" si="10"/>
        <v>120</v>
      </c>
    </row>
    <row r="80" spans="1:21" ht="18.75" customHeight="1">
      <c r="A80" s="193" t="s">
        <v>10</v>
      </c>
      <c r="B80" s="63" t="s">
        <v>13</v>
      </c>
      <c r="C80" s="99">
        <v>19</v>
      </c>
      <c r="D80" s="99">
        <v>17</v>
      </c>
      <c r="E80" s="99">
        <v>18</v>
      </c>
      <c r="F80" s="99">
        <v>30</v>
      </c>
      <c r="G80" s="99">
        <v>37</v>
      </c>
      <c r="H80" s="99">
        <v>38</v>
      </c>
      <c r="I80" s="99">
        <v>35</v>
      </c>
      <c r="J80" s="99">
        <v>13</v>
      </c>
      <c r="K80" s="194" t="s">
        <v>10</v>
      </c>
      <c r="L80" s="63" t="s">
        <v>13</v>
      </c>
      <c r="M80" s="99">
        <v>27</v>
      </c>
      <c r="N80" s="99">
        <v>10</v>
      </c>
      <c r="O80" s="99">
        <v>25</v>
      </c>
      <c r="P80" s="99">
        <v>40</v>
      </c>
      <c r="Q80" s="99">
        <v>30</v>
      </c>
      <c r="R80" s="99">
        <v>19</v>
      </c>
      <c r="S80" s="99">
        <v>24</v>
      </c>
      <c r="T80" s="102">
        <v>10</v>
      </c>
      <c r="U80" s="59">
        <f t="shared" si="10"/>
        <v>392</v>
      </c>
    </row>
    <row r="81" spans="1:40" ht="18.75" customHeight="1">
      <c r="A81" s="230"/>
      <c r="B81" s="6" t="s">
        <v>14</v>
      </c>
      <c r="C81" s="100">
        <v>9</v>
      </c>
      <c r="D81" s="100">
        <v>6</v>
      </c>
      <c r="E81" s="100">
        <v>8</v>
      </c>
      <c r="F81" s="100">
        <v>13</v>
      </c>
      <c r="G81" s="100">
        <v>15</v>
      </c>
      <c r="H81" s="100">
        <v>12</v>
      </c>
      <c r="I81" s="100">
        <v>12</v>
      </c>
      <c r="J81" s="100">
        <v>10</v>
      </c>
      <c r="K81" s="215"/>
      <c r="L81" s="6" t="s">
        <v>14</v>
      </c>
      <c r="M81" s="100">
        <v>8</v>
      </c>
      <c r="N81" s="100">
        <v>11</v>
      </c>
      <c r="O81" s="100">
        <v>7</v>
      </c>
      <c r="P81" s="100">
        <v>7</v>
      </c>
      <c r="Q81" s="100">
        <v>5</v>
      </c>
      <c r="R81" s="100">
        <v>5</v>
      </c>
      <c r="S81" s="100">
        <v>3</v>
      </c>
      <c r="T81" s="103">
        <v>0</v>
      </c>
      <c r="U81" s="59">
        <f t="shared" si="10"/>
        <v>131</v>
      </c>
    </row>
    <row r="82" spans="1:40" ht="18.75" customHeight="1">
      <c r="A82" s="230"/>
      <c r="B82" s="6" t="s">
        <v>15</v>
      </c>
      <c r="C82" s="100">
        <v>13</v>
      </c>
      <c r="D82" s="100">
        <v>16</v>
      </c>
      <c r="E82" s="100">
        <v>15</v>
      </c>
      <c r="F82" s="100">
        <v>11</v>
      </c>
      <c r="G82" s="100">
        <v>15</v>
      </c>
      <c r="H82" s="100">
        <v>21</v>
      </c>
      <c r="I82" s="100">
        <v>25</v>
      </c>
      <c r="J82" s="100">
        <v>22</v>
      </c>
      <c r="K82" s="215"/>
      <c r="L82" s="6" t="s">
        <v>15</v>
      </c>
      <c r="M82" s="100">
        <v>14</v>
      </c>
      <c r="N82" s="100">
        <v>16</v>
      </c>
      <c r="O82" s="100">
        <v>17</v>
      </c>
      <c r="P82" s="100">
        <v>26</v>
      </c>
      <c r="Q82" s="100">
        <v>34</v>
      </c>
      <c r="R82" s="100">
        <v>36</v>
      </c>
      <c r="S82" s="100">
        <v>33</v>
      </c>
      <c r="T82" s="103">
        <v>8</v>
      </c>
      <c r="U82" s="59">
        <f t="shared" si="10"/>
        <v>322</v>
      </c>
    </row>
    <row r="83" spans="1:40" ht="18.75" customHeight="1">
      <c r="A83" s="230"/>
      <c r="B83" s="6" t="s">
        <v>16</v>
      </c>
      <c r="C83" s="100">
        <v>6</v>
      </c>
      <c r="D83" s="100">
        <v>7</v>
      </c>
      <c r="E83" s="100">
        <v>4</v>
      </c>
      <c r="F83" s="100">
        <v>8</v>
      </c>
      <c r="G83" s="100">
        <v>12</v>
      </c>
      <c r="H83" s="100">
        <v>14</v>
      </c>
      <c r="I83" s="100">
        <v>16</v>
      </c>
      <c r="J83" s="100">
        <v>5</v>
      </c>
      <c r="K83" s="215"/>
      <c r="L83" s="6" t="s">
        <v>16</v>
      </c>
      <c r="M83" s="100">
        <v>4</v>
      </c>
      <c r="N83" s="100">
        <v>7</v>
      </c>
      <c r="O83" s="100">
        <v>9</v>
      </c>
      <c r="P83" s="100">
        <v>7</v>
      </c>
      <c r="Q83" s="100">
        <v>6</v>
      </c>
      <c r="R83" s="100">
        <v>8</v>
      </c>
      <c r="S83" s="100">
        <v>10</v>
      </c>
      <c r="T83" s="103">
        <v>3</v>
      </c>
      <c r="U83" s="59">
        <f t="shared" si="10"/>
        <v>126</v>
      </c>
    </row>
    <row r="84" spans="1:40" ht="18.75" customHeight="1">
      <c r="A84" s="230"/>
      <c r="B84" s="6" t="s">
        <v>17</v>
      </c>
      <c r="C84" s="100">
        <v>5</v>
      </c>
      <c r="D84" s="100">
        <v>9</v>
      </c>
      <c r="E84" s="100">
        <v>6</v>
      </c>
      <c r="F84" s="100">
        <v>7</v>
      </c>
      <c r="G84" s="100">
        <v>18</v>
      </c>
      <c r="H84" s="100">
        <v>5</v>
      </c>
      <c r="I84" s="100">
        <v>18</v>
      </c>
      <c r="J84" s="100">
        <v>8</v>
      </c>
      <c r="K84" s="215"/>
      <c r="L84" s="6" t="s">
        <v>17</v>
      </c>
      <c r="M84" s="100">
        <v>8</v>
      </c>
      <c r="N84" s="100">
        <v>3</v>
      </c>
      <c r="O84" s="100">
        <v>5</v>
      </c>
      <c r="P84" s="100">
        <v>12</v>
      </c>
      <c r="Q84" s="100">
        <v>7</v>
      </c>
      <c r="R84" s="100">
        <v>11</v>
      </c>
      <c r="S84" s="100">
        <v>6</v>
      </c>
      <c r="T84" s="103">
        <v>5</v>
      </c>
      <c r="U84" s="59">
        <f t="shared" si="10"/>
        <v>133</v>
      </c>
    </row>
    <row r="85" spans="1:40" ht="18.75" customHeight="1">
      <c r="A85" s="230"/>
      <c r="B85" s="47" t="s">
        <v>18</v>
      </c>
      <c r="C85" s="101">
        <v>18</v>
      </c>
      <c r="D85" s="101">
        <v>9</v>
      </c>
      <c r="E85" s="101">
        <v>8</v>
      </c>
      <c r="F85" s="101">
        <v>9</v>
      </c>
      <c r="G85" s="101">
        <v>10</v>
      </c>
      <c r="H85" s="101">
        <v>7</v>
      </c>
      <c r="I85" s="101">
        <v>10</v>
      </c>
      <c r="J85" s="101">
        <v>8</v>
      </c>
      <c r="K85" s="215"/>
      <c r="L85" s="47" t="s">
        <v>18</v>
      </c>
      <c r="M85" s="101">
        <v>6</v>
      </c>
      <c r="N85" s="101">
        <v>5</v>
      </c>
      <c r="O85" s="101">
        <v>1</v>
      </c>
      <c r="P85" s="101">
        <v>13</v>
      </c>
      <c r="Q85" s="101">
        <v>10</v>
      </c>
      <c r="R85" s="101">
        <v>10</v>
      </c>
      <c r="S85" s="101">
        <v>16</v>
      </c>
      <c r="T85" s="104">
        <v>3</v>
      </c>
      <c r="U85" s="59">
        <f t="shared" si="10"/>
        <v>143</v>
      </c>
    </row>
    <row r="86" spans="1:40" ht="18.75" customHeight="1">
      <c r="A86" s="195" t="s">
        <v>11</v>
      </c>
      <c r="B86" s="56" t="s">
        <v>13</v>
      </c>
      <c r="C86" s="162">
        <v>13</v>
      </c>
      <c r="D86" s="162">
        <v>16</v>
      </c>
      <c r="E86" s="162">
        <v>19</v>
      </c>
      <c r="F86" s="162">
        <v>23</v>
      </c>
      <c r="G86" s="162">
        <v>24</v>
      </c>
      <c r="H86" s="162">
        <v>24</v>
      </c>
      <c r="I86" s="162">
        <v>25</v>
      </c>
      <c r="J86" s="162">
        <v>16</v>
      </c>
      <c r="K86" s="196" t="s">
        <v>11</v>
      </c>
      <c r="L86" s="56" t="s">
        <v>13</v>
      </c>
      <c r="M86" s="162">
        <v>12</v>
      </c>
      <c r="N86" s="162">
        <v>14</v>
      </c>
      <c r="O86" s="162">
        <v>11</v>
      </c>
      <c r="P86" s="162">
        <v>19</v>
      </c>
      <c r="Q86" s="162">
        <v>20</v>
      </c>
      <c r="R86" s="162"/>
      <c r="S86" s="162"/>
      <c r="T86" s="165"/>
      <c r="U86" s="59">
        <f t="shared" si="10"/>
        <v>236</v>
      </c>
    </row>
    <row r="87" spans="1:40" ht="18.75" customHeight="1">
      <c r="A87" s="230"/>
      <c r="B87" s="4" t="s">
        <v>14</v>
      </c>
      <c r="C87" s="163">
        <v>5</v>
      </c>
      <c r="D87" s="163">
        <v>8</v>
      </c>
      <c r="E87" s="163">
        <v>13</v>
      </c>
      <c r="F87" s="163">
        <v>10</v>
      </c>
      <c r="G87" s="163">
        <v>12</v>
      </c>
      <c r="H87" s="163">
        <v>16</v>
      </c>
      <c r="I87" s="163">
        <v>19</v>
      </c>
      <c r="J87" s="163">
        <v>11</v>
      </c>
      <c r="K87" s="215"/>
      <c r="L87" s="4" t="s">
        <v>14</v>
      </c>
      <c r="M87" s="163">
        <v>10</v>
      </c>
      <c r="N87" s="163">
        <v>10</v>
      </c>
      <c r="O87" s="163">
        <v>12</v>
      </c>
      <c r="P87" s="163">
        <v>4</v>
      </c>
      <c r="Q87" s="163">
        <v>8</v>
      </c>
      <c r="R87" s="163"/>
      <c r="S87" s="163"/>
      <c r="T87" s="166"/>
      <c r="U87" s="59">
        <f t="shared" si="10"/>
        <v>138</v>
      </c>
    </row>
    <row r="88" spans="1:40" ht="18.75" customHeight="1">
      <c r="A88" s="230"/>
      <c r="B88" s="4" t="s">
        <v>15</v>
      </c>
      <c r="C88" s="163">
        <v>17</v>
      </c>
      <c r="D88" s="163">
        <v>17</v>
      </c>
      <c r="E88" s="163">
        <v>19</v>
      </c>
      <c r="F88" s="163">
        <v>21</v>
      </c>
      <c r="G88" s="163">
        <v>21</v>
      </c>
      <c r="H88" s="163">
        <v>18</v>
      </c>
      <c r="I88" s="163">
        <v>23</v>
      </c>
      <c r="J88" s="163">
        <v>20</v>
      </c>
      <c r="K88" s="215"/>
      <c r="L88" s="4" t="s">
        <v>15</v>
      </c>
      <c r="M88" s="163">
        <v>12</v>
      </c>
      <c r="N88" s="163">
        <v>16</v>
      </c>
      <c r="O88" s="163">
        <v>17</v>
      </c>
      <c r="P88" s="163">
        <v>23</v>
      </c>
      <c r="Q88" s="163">
        <v>25</v>
      </c>
      <c r="R88" s="163"/>
      <c r="S88" s="163"/>
      <c r="T88" s="166"/>
      <c r="U88" s="59">
        <f t="shared" si="10"/>
        <v>249</v>
      </c>
    </row>
    <row r="89" spans="1:40" ht="18.75" customHeight="1">
      <c r="A89" s="230"/>
      <c r="B89" s="4" t="s">
        <v>16</v>
      </c>
      <c r="C89" s="163">
        <v>2</v>
      </c>
      <c r="D89" s="163">
        <v>4</v>
      </c>
      <c r="E89" s="163">
        <v>7</v>
      </c>
      <c r="F89" s="163">
        <v>15</v>
      </c>
      <c r="G89" s="163">
        <v>9</v>
      </c>
      <c r="H89" s="163">
        <v>19</v>
      </c>
      <c r="I89" s="163">
        <v>14</v>
      </c>
      <c r="J89" s="163">
        <v>11</v>
      </c>
      <c r="K89" s="215"/>
      <c r="L89" s="4" t="s">
        <v>16</v>
      </c>
      <c r="M89" s="163">
        <v>6</v>
      </c>
      <c r="N89" s="163">
        <v>4</v>
      </c>
      <c r="O89" s="163">
        <v>2</v>
      </c>
      <c r="P89" s="163">
        <v>9</v>
      </c>
      <c r="Q89" s="163">
        <v>5</v>
      </c>
      <c r="R89" s="163"/>
      <c r="S89" s="163"/>
      <c r="T89" s="166"/>
      <c r="U89" s="59">
        <f t="shared" si="10"/>
        <v>107</v>
      </c>
    </row>
    <row r="90" spans="1:40" ht="15.75" customHeight="1">
      <c r="A90" s="230"/>
      <c r="B90" s="4" t="s">
        <v>17</v>
      </c>
      <c r="C90" s="163">
        <v>7</v>
      </c>
      <c r="D90" s="163">
        <v>5</v>
      </c>
      <c r="E90" s="163">
        <v>4</v>
      </c>
      <c r="F90" s="163">
        <v>8</v>
      </c>
      <c r="G90" s="163">
        <v>12</v>
      </c>
      <c r="H90" s="163">
        <v>12</v>
      </c>
      <c r="I90" s="163">
        <v>6</v>
      </c>
      <c r="J90" s="163">
        <v>3</v>
      </c>
      <c r="K90" s="215"/>
      <c r="L90" s="4" t="s">
        <v>17</v>
      </c>
      <c r="M90" s="163">
        <v>3</v>
      </c>
      <c r="N90" s="163">
        <v>6</v>
      </c>
      <c r="O90" s="163">
        <v>4</v>
      </c>
      <c r="P90" s="163">
        <v>4</v>
      </c>
      <c r="Q90" s="163">
        <v>4</v>
      </c>
      <c r="R90" s="163"/>
      <c r="S90" s="163"/>
      <c r="T90" s="166"/>
      <c r="U90" s="59">
        <f t="shared" si="10"/>
        <v>78</v>
      </c>
    </row>
    <row r="91" spans="1:40" ht="15.75" customHeight="1">
      <c r="A91" s="231"/>
      <c r="B91" s="61" t="s">
        <v>18</v>
      </c>
      <c r="C91" s="164">
        <v>6</v>
      </c>
      <c r="D91" s="164">
        <v>9</v>
      </c>
      <c r="E91" s="164">
        <v>7</v>
      </c>
      <c r="F91" s="164">
        <v>9</v>
      </c>
      <c r="G91" s="164">
        <v>16</v>
      </c>
      <c r="H91" s="164">
        <v>18</v>
      </c>
      <c r="I91" s="164">
        <v>17</v>
      </c>
      <c r="J91" s="164">
        <v>5</v>
      </c>
      <c r="K91" s="216"/>
      <c r="L91" s="61" t="s">
        <v>18</v>
      </c>
      <c r="M91" s="164">
        <v>4</v>
      </c>
      <c r="N91" s="164">
        <v>2</v>
      </c>
      <c r="O91" s="164">
        <v>5</v>
      </c>
      <c r="P91" s="164">
        <v>7</v>
      </c>
      <c r="Q91" s="164">
        <v>4</v>
      </c>
      <c r="R91" s="164"/>
      <c r="S91" s="164"/>
      <c r="T91" s="167"/>
      <c r="U91" s="59">
        <f t="shared" si="10"/>
        <v>109</v>
      </c>
    </row>
    <row r="93" spans="1:40" ht="15.75" customHeight="1">
      <c r="A93" s="1"/>
      <c r="B93" s="1"/>
      <c r="C93" s="183" t="s">
        <v>0</v>
      </c>
      <c r="D93" s="225"/>
      <c r="E93" s="225"/>
      <c r="F93" s="225"/>
      <c r="G93" s="226"/>
      <c r="H93" s="2"/>
      <c r="I93" s="1"/>
    </row>
    <row r="94" spans="1:40" ht="15.75" customHeight="1">
      <c r="A94" s="1"/>
      <c r="B94" s="183" t="s">
        <v>1</v>
      </c>
      <c r="C94" s="225"/>
      <c r="D94" s="226"/>
      <c r="E94" s="1"/>
      <c r="F94" s="184" t="s">
        <v>126</v>
      </c>
      <c r="G94" s="225"/>
      <c r="H94" s="226"/>
      <c r="I94" s="1"/>
      <c r="K94" s="1"/>
      <c r="L94" s="183" t="s">
        <v>26</v>
      </c>
      <c r="M94" s="225"/>
      <c r="N94" s="226"/>
      <c r="O94" s="1"/>
      <c r="P94" s="184" t="s">
        <v>127</v>
      </c>
      <c r="Q94" s="225"/>
      <c r="R94" s="226"/>
      <c r="S94" s="1"/>
    </row>
    <row r="95" spans="1:40" ht="15.75" customHeight="1">
      <c r="A95" s="54" t="s">
        <v>35</v>
      </c>
      <c r="B95" s="54" t="s">
        <v>4</v>
      </c>
      <c r="C95" s="54" t="s">
        <v>12</v>
      </c>
      <c r="D95" s="54" t="s">
        <v>19</v>
      </c>
      <c r="E95" s="54" t="s">
        <v>20</v>
      </c>
      <c r="F95" s="54" t="s">
        <v>21</v>
      </c>
      <c r="G95" s="54" t="s">
        <v>22</v>
      </c>
      <c r="H95" s="54" t="s">
        <v>23</v>
      </c>
      <c r="I95" s="54" t="s">
        <v>24</v>
      </c>
      <c r="J95" s="54" t="s">
        <v>25</v>
      </c>
      <c r="K95" s="54" t="s">
        <v>35</v>
      </c>
      <c r="L95" s="54" t="s">
        <v>4</v>
      </c>
      <c r="M95" s="54" t="s">
        <v>27</v>
      </c>
      <c r="N95" s="54" t="s">
        <v>28</v>
      </c>
      <c r="O95" s="54" t="s">
        <v>29</v>
      </c>
      <c r="P95" s="54" t="s">
        <v>30</v>
      </c>
      <c r="Q95" s="54" t="s">
        <v>31</v>
      </c>
      <c r="R95" s="54" t="s">
        <v>32</v>
      </c>
      <c r="S95" s="54" t="s">
        <v>33</v>
      </c>
      <c r="T95" s="54" t="s">
        <v>34</v>
      </c>
      <c r="U95" s="54" t="s">
        <v>55</v>
      </c>
    </row>
    <row r="96" spans="1:40" ht="15.75" customHeight="1">
      <c r="A96" s="195" t="s">
        <v>5</v>
      </c>
      <c r="B96" s="56" t="s">
        <v>13</v>
      </c>
      <c r="C96" s="57"/>
      <c r="D96" s="57"/>
      <c r="E96" s="56">
        <v>6</v>
      </c>
      <c r="F96" s="56">
        <v>23</v>
      </c>
      <c r="G96" s="56">
        <v>30</v>
      </c>
      <c r="H96" s="56">
        <v>35</v>
      </c>
      <c r="I96" s="56">
        <v>26</v>
      </c>
      <c r="J96" s="56">
        <v>24</v>
      </c>
      <c r="K96" s="196" t="s">
        <v>5</v>
      </c>
      <c r="L96" s="56" t="s">
        <v>13</v>
      </c>
      <c r="M96" s="56">
        <v>14</v>
      </c>
      <c r="N96" s="56">
        <v>20</v>
      </c>
      <c r="O96" s="56">
        <v>14</v>
      </c>
      <c r="P96" s="56">
        <v>28</v>
      </c>
      <c r="Q96" s="56">
        <v>17</v>
      </c>
      <c r="R96" s="57"/>
      <c r="S96" s="57"/>
      <c r="T96" s="58"/>
      <c r="U96" s="59">
        <f>SUM(M96:T96,C96:J96)</f>
        <v>237</v>
      </c>
      <c r="W96" s="197" t="s">
        <v>2</v>
      </c>
      <c r="X96" s="198"/>
      <c r="AG96" s="190" t="s">
        <v>58</v>
      </c>
      <c r="AH96" s="191"/>
      <c r="AI96" s="191"/>
      <c r="AJ96" s="191"/>
      <c r="AK96" s="191"/>
      <c r="AL96" s="191"/>
      <c r="AM96" s="191"/>
      <c r="AN96" s="192"/>
    </row>
    <row r="97" spans="1:40" ht="15.75" customHeight="1">
      <c r="A97" s="230"/>
      <c r="B97" s="4" t="s">
        <v>14</v>
      </c>
      <c r="C97" s="5"/>
      <c r="D97" s="5"/>
      <c r="E97" s="4">
        <v>5</v>
      </c>
      <c r="F97" s="4">
        <v>5</v>
      </c>
      <c r="G97" s="4">
        <v>3</v>
      </c>
      <c r="H97" s="4">
        <v>8</v>
      </c>
      <c r="I97" s="56">
        <v>9</v>
      </c>
      <c r="J97" s="4">
        <v>4</v>
      </c>
      <c r="K97" s="227"/>
      <c r="L97" s="4" t="s">
        <v>14</v>
      </c>
      <c r="M97" s="4">
        <v>6</v>
      </c>
      <c r="N97" s="4">
        <v>8</v>
      </c>
      <c r="O97" s="4">
        <v>3</v>
      </c>
      <c r="P97" s="4">
        <v>5</v>
      </c>
      <c r="Q97" s="4">
        <v>5</v>
      </c>
      <c r="R97" s="5"/>
      <c r="S97" s="5"/>
      <c r="T97" s="49"/>
      <c r="U97" s="59">
        <f t="shared" ref="U97:U137" si="18">SUM(M97:T97,C97:J97)</f>
        <v>61</v>
      </c>
      <c r="W97" s="55" t="s">
        <v>5</v>
      </c>
      <c r="X97" s="48">
        <f>SUM(U96:U101)</f>
        <v>658</v>
      </c>
      <c r="AG97" s="98" t="s">
        <v>4</v>
      </c>
      <c r="AH97" s="98" t="s">
        <v>5</v>
      </c>
      <c r="AI97" s="98" t="s">
        <v>6</v>
      </c>
      <c r="AJ97" s="98" t="s">
        <v>7</v>
      </c>
      <c r="AK97" s="98" t="s">
        <v>8</v>
      </c>
      <c r="AL97" s="98" t="s">
        <v>9</v>
      </c>
      <c r="AM97" s="98" t="s">
        <v>10</v>
      </c>
      <c r="AN97" s="98" t="s">
        <v>11</v>
      </c>
    </row>
    <row r="98" spans="1:40" ht="15.75" customHeight="1">
      <c r="A98" s="230"/>
      <c r="B98" s="4" t="s">
        <v>15</v>
      </c>
      <c r="C98" s="5"/>
      <c r="D98" s="5"/>
      <c r="E98" s="4">
        <v>3</v>
      </c>
      <c r="F98" s="4">
        <v>5</v>
      </c>
      <c r="G98" s="4">
        <v>21</v>
      </c>
      <c r="H98" s="4">
        <v>20</v>
      </c>
      <c r="I98" s="56">
        <v>21</v>
      </c>
      <c r="J98" s="4">
        <v>20</v>
      </c>
      <c r="K98" s="227"/>
      <c r="L98" s="4" t="s">
        <v>15</v>
      </c>
      <c r="M98" s="4">
        <v>19</v>
      </c>
      <c r="N98" s="4">
        <v>25</v>
      </c>
      <c r="O98" s="4">
        <v>18</v>
      </c>
      <c r="P98" s="4">
        <v>27</v>
      </c>
      <c r="Q98" s="4">
        <v>15</v>
      </c>
      <c r="R98" s="5"/>
      <c r="S98" s="5"/>
      <c r="T98" s="49"/>
      <c r="U98" s="59">
        <f t="shared" si="18"/>
        <v>194</v>
      </c>
      <c r="W98" s="55" t="s">
        <v>6</v>
      </c>
      <c r="X98" s="48">
        <f>SUM(U102:U107)</f>
        <v>627</v>
      </c>
      <c r="AG98" s="79" t="s">
        <v>13</v>
      </c>
      <c r="AH98" s="79">
        <f t="shared" ref="AH98:AH103" si="19">U96</f>
        <v>237</v>
      </c>
      <c r="AI98" s="79">
        <f t="shared" ref="AI98:AI103" si="20">U102</f>
        <v>254</v>
      </c>
      <c r="AJ98" s="79">
        <f t="shared" ref="AJ98:AJ103" si="21">U108</f>
        <v>490</v>
      </c>
      <c r="AK98" s="79">
        <f t="shared" ref="AK98:AK103" si="22">U114</f>
        <v>398</v>
      </c>
      <c r="AL98" s="79">
        <f t="shared" ref="AL98:AL103" si="23">U120</f>
        <v>406</v>
      </c>
      <c r="AM98" s="79">
        <f t="shared" ref="AM98:AM103" si="24">U126</f>
        <v>346</v>
      </c>
      <c r="AN98" s="79">
        <f t="shared" ref="AN98:AN103" si="25">U132</f>
        <v>314</v>
      </c>
    </row>
    <row r="99" spans="1:40" ht="15.75" customHeight="1">
      <c r="A99" s="230"/>
      <c r="B99" s="4" t="s">
        <v>16</v>
      </c>
      <c r="C99" s="5"/>
      <c r="D99" s="5"/>
      <c r="E99" s="4">
        <v>2</v>
      </c>
      <c r="F99" s="4">
        <v>1</v>
      </c>
      <c r="G99" s="4">
        <v>6</v>
      </c>
      <c r="H99" s="4">
        <v>8</v>
      </c>
      <c r="I99" s="56">
        <v>7</v>
      </c>
      <c r="J99" s="4">
        <v>9</v>
      </c>
      <c r="K99" s="227"/>
      <c r="L99" s="4" t="s">
        <v>16</v>
      </c>
      <c r="M99" s="4">
        <v>5</v>
      </c>
      <c r="N99" s="4">
        <v>5</v>
      </c>
      <c r="O99" s="4">
        <v>5</v>
      </c>
      <c r="P99" s="4">
        <v>7</v>
      </c>
      <c r="Q99" s="4">
        <v>2</v>
      </c>
      <c r="R99" s="5"/>
      <c r="S99" s="5"/>
      <c r="T99" s="49"/>
      <c r="U99" s="59">
        <f t="shared" si="18"/>
        <v>57</v>
      </c>
      <c r="W99" s="55" t="s">
        <v>7</v>
      </c>
      <c r="X99" s="48">
        <f>SUM(U108:U113)</f>
        <v>1623</v>
      </c>
      <c r="AG99" s="97" t="s">
        <v>14</v>
      </c>
      <c r="AH99" s="97">
        <f t="shared" si="19"/>
        <v>61</v>
      </c>
      <c r="AI99" s="97">
        <f t="shared" si="20"/>
        <v>75</v>
      </c>
      <c r="AJ99" s="97">
        <f t="shared" si="21"/>
        <v>197</v>
      </c>
      <c r="AK99" s="97">
        <f t="shared" si="22"/>
        <v>143</v>
      </c>
      <c r="AL99" s="97">
        <f t="shared" si="23"/>
        <v>173</v>
      </c>
      <c r="AM99" s="97">
        <f t="shared" si="24"/>
        <v>138</v>
      </c>
      <c r="AN99" s="97">
        <f t="shared" si="25"/>
        <v>145</v>
      </c>
    </row>
    <row r="100" spans="1:40" ht="15.75" customHeight="1">
      <c r="A100" s="230"/>
      <c r="B100" s="4" t="s">
        <v>17</v>
      </c>
      <c r="C100" s="5"/>
      <c r="D100" s="5"/>
      <c r="E100" s="4">
        <v>0</v>
      </c>
      <c r="F100" s="4">
        <v>2</v>
      </c>
      <c r="G100" s="4">
        <v>5</v>
      </c>
      <c r="H100" s="4">
        <v>5</v>
      </c>
      <c r="I100" s="56">
        <v>5</v>
      </c>
      <c r="J100" s="4">
        <v>10</v>
      </c>
      <c r="K100" s="227"/>
      <c r="L100" s="4" t="s">
        <v>17</v>
      </c>
      <c r="M100" s="4">
        <v>2</v>
      </c>
      <c r="N100" s="4">
        <v>4</v>
      </c>
      <c r="O100" s="4">
        <v>3</v>
      </c>
      <c r="P100" s="4">
        <v>4</v>
      </c>
      <c r="Q100" s="4">
        <v>9</v>
      </c>
      <c r="R100" s="5"/>
      <c r="S100" s="5"/>
      <c r="T100" s="49"/>
      <c r="U100" s="59">
        <f t="shared" si="18"/>
        <v>49</v>
      </c>
      <c r="W100" s="55" t="s">
        <v>61</v>
      </c>
      <c r="X100" s="48">
        <f>SUM(U114:U119)</f>
        <v>1285</v>
      </c>
      <c r="AG100" s="79" t="s">
        <v>15</v>
      </c>
      <c r="AH100" s="79">
        <f t="shared" si="19"/>
        <v>194</v>
      </c>
      <c r="AI100" s="79">
        <f t="shared" si="20"/>
        <v>134</v>
      </c>
      <c r="AJ100" s="79">
        <f t="shared" si="21"/>
        <v>428</v>
      </c>
      <c r="AK100" s="79">
        <f t="shared" si="22"/>
        <v>350</v>
      </c>
      <c r="AL100" s="79">
        <f t="shared" si="23"/>
        <v>346</v>
      </c>
      <c r="AM100" s="79">
        <f t="shared" si="24"/>
        <v>321</v>
      </c>
      <c r="AN100" s="79">
        <f t="shared" si="25"/>
        <v>292</v>
      </c>
    </row>
    <row r="101" spans="1:40" ht="15.75" customHeight="1">
      <c r="A101" s="230"/>
      <c r="B101" s="46" t="s">
        <v>18</v>
      </c>
      <c r="C101" s="64"/>
      <c r="D101" s="64"/>
      <c r="E101" s="46">
        <v>7</v>
      </c>
      <c r="F101" s="46">
        <v>4</v>
      </c>
      <c r="G101" s="46">
        <v>7</v>
      </c>
      <c r="H101" s="46">
        <v>5</v>
      </c>
      <c r="I101" s="56">
        <v>6</v>
      </c>
      <c r="J101" s="46">
        <v>4</v>
      </c>
      <c r="K101" s="227"/>
      <c r="L101" s="46" t="s">
        <v>18</v>
      </c>
      <c r="M101" s="46">
        <v>9</v>
      </c>
      <c r="N101" s="46">
        <v>4</v>
      </c>
      <c r="O101" s="46">
        <v>5</v>
      </c>
      <c r="P101" s="46">
        <v>9</v>
      </c>
      <c r="Q101" s="46"/>
      <c r="R101" s="64"/>
      <c r="S101" s="64"/>
      <c r="T101" s="65"/>
      <c r="U101" s="59">
        <f t="shared" si="18"/>
        <v>60</v>
      </c>
      <c r="W101" s="55" t="s">
        <v>9</v>
      </c>
      <c r="X101" s="48">
        <f>SUM(U120:U125)</f>
        <v>1285</v>
      </c>
      <c r="AG101" s="97" t="s">
        <v>16</v>
      </c>
      <c r="AH101" s="97">
        <f t="shared" si="19"/>
        <v>57</v>
      </c>
      <c r="AI101" s="97">
        <f t="shared" si="20"/>
        <v>58</v>
      </c>
      <c r="AJ101" s="97">
        <f t="shared" si="21"/>
        <v>159</v>
      </c>
      <c r="AK101" s="97">
        <f t="shared" si="22"/>
        <v>142</v>
      </c>
      <c r="AL101" s="97">
        <f t="shared" si="23"/>
        <v>125</v>
      </c>
      <c r="AM101" s="97">
        <f t="shared" si="24"/>
        <v>117</v>
      </c>
      <c r="AN101" s="97">
        <f t="shared" si="25"/>
        <v>97</v>
      </c>
    </row>
    <row r="102" spans="1:40" ht="15.75" customHeight="1">
      <c r="A102" s="193" t="s">
        <v>6</v>
      </c>
      <c r="B102" s="63" t="s">
        <v>13</v>
      </c>
      <c r="C102" s="57"/>
      <c r="D102" s="57"/>
      <c r="E102" s="57"/>
      <c r="F102" s="63">
        <v>21</v>
      </c>
      <c r="G102" s="63">
        <v>41</v>
      </c>
      <c r="H102" s="63">
        <v>45</v>
      </c>
      <c r="I102" s="63">
        <v>38</v>
      </c>
      <c r="J102" s="63">
        <v>40</v>
      </c>
      <c r="K102" s="194" t="s">
        <v>6</v>
      </c>
      <c r="L102" s="63" t="s">
        <v>13</v>
      </c>
      <c r="M102" s="63">
        <v>18</v>
      </c>
      <c r="N102" s="63">
        <v>19</v>
      </c>
      <c r="O102" s="63">
        <v>20</v>
      </c>
      <c r="P102" s="63">
        <v>12</v>
      </c>
      <c r="Q102" s="57"/>
      <c r="R102" s="57"/>
      <c r="S102" s="57"/>
      <c r="T102" s="58"/>
      <c r="U102" s="59">
        <f t="shared" si="18"/>
        <v>254</v>
      </c>
      <c r="W102" s="55" t="s">
        <v>10</v>
      </c>
      <c r="X102" s="48">
        <f>SUM(U126:U131)</f>
        <v>1174</v>
      </c>
      <c r="AG102" s="79" t="s">
        <v>17</v>
      </c>
      <c r="AH102" s="79">
        <f t="shared" si="19"/>
        <v>49</v>
      </c>
      <c r="AI102" s="79">
        <f t="shared" si="20"/>
        <v>51</v>
      </c>
      <c r="AJ102" s="79">
        <f t="shared" si="21"/>
        <v>161</v>
      </c>
      <c r="AK102" s="79">
        <f t="shared" si="22"/>
        <v>138</v>
      </c>
      <c r="AL102" s="79">
        <f t="shared" si="23"/>
        <v>108</v>
      </c>
      <c r="AM102" s="79">
        <f t="shared" si="24"/>
        <v>119</v>
      </c>
      <c r="AN102" s="79">
        <f t="shared" si="25"/>
        <v>66</v>
      </c>
    </row>
    <row r="103" spans="1:40" ht="15.75" customHeight="1">
      <c r="A103" s="230"/>
      <c r="B103" s="6" t="s">
        <v>14</v>
      </c>
      <c r="C103" s="5"/>
      <c r="D103" s="5"/>
      <c r="E103" s="5"/>
      <c r="F103" s="6">
        <v>3</v>
      </c>
      <c r="G103" s="6">
        <v>10</v>
      </c>
      <c r="H103" s="6">
        <v>12</v>
      </c>
      <c r="I103" s="6">
        <v>14</v>
      </c>
      <c r="J103" s="6">
        <v>12</v>
      </c>
      <c r="K103" s="227"/>
      <c r="L103" s="6" t="s">
        <v>14</v>
      </c>
      <c r="M103" s="6">
        <v>8</v>
      </c>
      <c r="N103" s="6">
        <v>4</v>
      </c>
      <c r="O103" s="6">
        <v>8</v>
      </c>
      <c r="P103" s="6">
        <v>4</v>
      </c>
      <c r="Q103" s="5"/>
      <c r="R103" s="5"/>
      <c r="S103" s="5"/>
      <c r="T103" s="49"/>
      <c r="U103" s="59">
        <f t="shared" si="18"/>
        <v>75</v>
      </c>
      <c r="W103" s="81" t="s">
        <v>11</v>
      </c>
      <c r="X103" s="80">
        <f>SUM(U132:U137)</f>
        <v>1033</v>
      </c>
      <c r="AG103" s="97" t="s">
        <v>18</v>
      </c>
      <c r="AH103" s="97">
        <f t="shared" si="19"/>
        <v>60</v>
      </c>
      <c r="AI103" s="97">
        <f t="shared" si="20"/>
        <v>55</v>
      </c>
      <c r="AJ103" s="97">
        <f t="shared" si="21"/>
        <v>188</v>
      </c>
      <c r="AK103" s="97">
        <f t="shared" si="22"/>
        <v>114</v>
      </c>
      <c r="AL103" s="97">
        <f t="shared" si="23"/>
        <v>127</v>
      </c>
      <c r="AM103" s="97">
        <f t="shared" si="24"/>
        <v>133</v>
      </c>
      <c r="AN103" s="97">
        <f t="shared" si="25"/>
        <v>119</v>
      </c>
    </row>
    <row r="104" spans="1:40" ht="15.75" customHeight="1">
      <c r="A104" s="230"/>
      <c r="B104" s="6" t="s">
        <v>15</v>
      </c>
      <c r="C104" s="5"/>
      <c r="D104" s="5"/>
      <c r="E104" s="5"/>
      <c r="F104" s="6">
        <v>14</v>
      </c>
      <c r="G104" s="6">
        <v>25</v>
      </c>
      <c r="H104" s="6">
        <v>31</v>
      </c>
      <c r="I104" s="6">
        <v>20</v>
      </c>
      <c r="J104" s="6">
        <v>15</v>
      </c>
      <c r="K104" s="227"/>
      <c r="L104" s="6" t="s">
        <v>15</v>
      </c>
      <c r="M104" s="6">
        <v>12</v>
      </c>
      <c r="N104" s="6">
        <v>6</v>
      </c>
      <c r="O104" s="6">
        <v>7</v>
      </c>
      <c r="P104" s="6">
        <v>4</v>
      </c>
      <c r="Q104" s="5"/>
      <c r="R104" s="5"/>
      <c r="S104" s="5"/>
      <c r="T104" s="49"/>
      <c r="U104" s="59">
        <f t="shared" si="18"/>
        <v>134</v>
      </c>
      <c r="W104" s="79" t="s">
        <v>63</v>
      </c>
      <c r="X104" s="82">
        <f>SUM(X97:X103)</f>
        <v>7685</v>
      </c>
    </row>
    <row r="105" spans="1:40" ht="15.75" customHeight="1">
      <c r="A105" s="230"/>
      <c r="B105" s="6" t="s">
        <v>16</v>
      </c>
      <c r="C105" s="5"/>
      <c r="D105" s="5"/>
      <c r="E105" s="5"/>
      <c r="F105" s="6">
        <v>3</v>
      </c>
      <c r="G105" s="6">
        <v>4</v>
      </c>
      <c r="H105" s="6">
        <v>12</v>
      </c>
      <c r="I105" s="6">
        <v>6</v>
      </c>
      <c r="J105" s="6">
        <v>12</v>
      </c>
      <c r="K105" s="227"/>
      <c r="L105" s="6" t="s">
        <v>16</v>
      </c>
      <c r="M105" s="6">
        <v>8</v>
      </c>
      <c r="N105" s="6">
        <v>4</v>
      </c>
      <c r="O105" s="6">
        <v>6</v>
      </c>
      <c r="P105" s="6">
        <v>3</v>
      </c>
      <c r="Q105" s="5"/>
      <c r="R105" s="5"/>
      <c r="S105" s="5"/>
      <c r="T105" s="49"/>
      <c r="U105" s="59">
        <f t="shared" si="18"/>
        <v>58</v>
      </c>
    </row>
    <row r="106" spans="1:40" ht="15.75" customHeight="1">
      <c r="A106" s="230"/>
      <c r="B106" s="6" t="s">
        <v>17</v>
      </c>
      <c r="C106" s="5"/>
      <c r="D106" s="5"/>
      <c r="E106" s="5"/>
      <c r="F106" s="6">
        <v>3</v>
      </c>
      <c r="G106" s="6">
        <v>8</v>
      </c>
      <c r="H106" s="6">
        <v>10</v>
      </c>
      <c r="I106" s="6">
        <v>8</v>
      </c>
      <c r="J106" s="6">
        <v>10</v>
      </c>
      <c r="K106" s="227"/>
      <c r="L106" s="6" t="s">
        <v>17</v>
      </c>
      <c r="M106" s="6">
        <v>5</v>
      </c>
      <c r="N106" s="6">
        <v>3</v>
      </c>
      <c r="O106" s="6">
        <v>2</v>
      </c>
      <c r="P106" s="6">
        <v>2</v>
      </c>
      <c r="Q106" s="5"/>
      <c r="R106" s="5"/>
      <c r="S106" s="5"/>
      <c r="T106" s="49"/>
      <c r="U106" s="59">
        <f t="shared" si="18"/>
        <v>51</v>
      </c>
    </row>
    <row r="107" spans="1:40" ht="15.75" customHeight="1">
      <c r="A107" s="230"/>
      <c r="B107" s="47" t="s">
        <v>18</v>
      </c>
      <c r="C107" s="64"/>
      <c r="D107" s="64"/>
      <c r="E107" s="64"/>
      <c r="F107" s="47">
        <v>3</v>
      </c>
      <c r="G107" s="47">
        <v>8</v>
      </c>
      <c r="H107" s="47">
        <v>9</v>
      </c>
      <c r="I107" s="47">
        <v>10</v>
      </c>
      <c r="J107" s="47">
        <v>12</v>
      </c>
      <c r="K107" s="227"/>
      <c r="L107" s="47" t="s">
        <v>18</v>
      </c>
      <c r="M107" s="47">
        <v>4</v>
      </c>
      <c r="N107" s="47">
        <v>3</v>
      </c>
      <c r="O107" s="47">
        <v>4</v>
      </c>
      <c r="P107" s="47">
        <v>2</v>
      </c>
      <c r="Q107" s="64"/>
      <c r="R107" s="64"/>
      <c r="S107" s="64"/>
      <c r="T107" s="65"/>
      <c r="U107" s="59">
        <f t="shared" si="18"/>
        <v>55</v>
      </c>
    </row>
    <row r="108" spans="1:40" ht="15.75" customHeight="1">
      <c r="A108" s="195" t="s">
        <v>7</v>
      </c>
      <c r="B108" s="56" t="s">
        <v>13</v>
      </c>
      <c r="C108" s="56">
        <v>25</v>
      </c>
      <c r="D108" s="56">
        <v>20</v>
      </c>
      <c r="E108" s="56">
        <v>20</v>
      </c>
      <c r="F108" s="56">
        <v>22</v>
      </c>
      <c r="G108" s="56">
        <v>35</v>
      </c>
      <c r="H108" s="56">
        <v>31</v>
      </c>
      <c r="I108" s="56">
        <v>44</v>
      </c>
      <c r="J108" s="56">
        <v>34</v>
      </c>
      <c r="K108" s="196" t="s">
        <v>7</v>
      </c>
      <c r="L108" s="56" t="s">
        <v>13</v>
      </c>
      <c r="M108" s="56">
        <v>34</v>
      </c>
      <c r="N108" s="56">
        <v>20</v>
      </c>
      <c r="O108" s="56">
        <v>25</v>
      </c>
      <c r="P108" s="56">
        <v>29</v>
      </c>
      <c r="Q108" s="56">
        <v>38</v>
      </c>
      <c r="R108" s="56">
        <v>53</v>
      </c>
      <c r="S108" s="56">
        <v>39</v>
      </c>
      <c r="T108" s="67">
        <v>21</v>
      </c>
      <c r="U108" s="59">
        <f t="shared" si="18"/>
        <v>490</v>
      </c>
    </row>
    <row r="109" spans="1:40" ht="15.75" customHeight="1">
      <c r="A109" s="230"/>
      <c r="B109" s="4" t="s">
        <v>14</v>
      </c>
      <c r="C109" s="4">
        <v>4</v>
      </c>
      <c r="D109" s="4">
        <v>7</v>
      </c>
      <c r="E109" s="4">
        <v>14</v>
      </c>
      <c r="F109" s="4">
        <v>11</v>
      </c>
      <c r="G109" s="4">
        <v>15</v>
      </c>
      <c r="H109" s="4">
        <v>14</v>
      </c>
      <c r="I109" s="4">
        <v>17</v>
      </c>
      <c r="J109" s="4">
        <v>14</v>
      </c>
      <c r="K109" s="227"/>
      <c r="L109" s="4" t="s">
        <v>14</v>
      </c>
      <c r="M109" s="4">
        <v>14</v>
      </c>
      <c r="N109" s="4">
        <v>12</v>
      </c>
      <c r="O109" s="4">
        <v>14</v>
      </c>
      <c r="P109" s="4">
        <v>12</v>
      </c>
      <c r="Q109" s="4">
        <v>10</v>
      </c>
      <c r="R109" s="4">
        <v>16</v>
      </c>
      <c r="S109" s="4">
        <v>13</v>
      </c>
      <c r="T109" s="50">
        <v>10</v>
      </c>
      <c r="U109" s="59">
        <f t="shared" si="18"/>
        <v>197</v>
      </c>
    </row>
    <row r="110" spans="1:40" ht="15.75" customHeight="1">
      <c r="A110" s="230"/>
      <c r="B110" s="4" t="s">
        <v>15</v>
      </c>
      <c r="C110" s="4">
        <v>22</v>
      </c>
      <c r="D110" s="4">
        <v>14</v>
      </c>
      <c r="E110" s="4">
        <v>21</v>
      </c>
      <c r="F110" s="4">
        <v>22</v>
      </c>
      <c r="G110" s="4">
        <v>41</v>
      </c>
      <c r="H110" s="4">
        <v>23</v>
      </c>
      <c r="I110" s="4">
        <v>20</v>
      </c>
      <c r="J110" s="4">
        <v>21</v>
      </c>
      <c r="K110" s="227"/>
      <c r="L110" s="4" t="s">
        <v>15</v>
      </c>
      <c r="M110" s="4">
        <v>21</v>
      </c>
      <c r="N110" s="4">
        <v>15</v>
      </c>
      <c r="O110" s="4">
        <v>30</v>
      </c>
      <c r="P110" s="4">
        <v>39</v>
      </c>
      <c r="Q110" s="4">
        <v>38</v>
      </c>
      <c r="R110" s="4">
        <v>37</v>
      </c>
      <c r="S110" s="4">
        <v>41</v>
      </c>
      <c r="T110" s="50">
        <v>23</v>
      </c>
      <c r="U110" s="59">
        <f t="shared" si="18"/>
        <v>428</v>
      </c>
    </row>
    <row r="111" spans="1:40" ht="15.75" customHeight="1">
      <c r="A111" s="230"/>
      <c r="B111" s="4" t="s">
        <v>16</v>
      </c>
      <c r="C111" s="4">
        <v>3</v>
      </c>
      <c r="D111" s="4">
        <v>5</v>
      </c>
      <c r="E111" s="4">
        <v>7</v>
      </c>
      <c r="F111" s="4">
        <v>10</v>
      </c>
      <c r="G111" s="4">
        <v>14</v>
      </c>
      <c r="H111" s="4">
        <v>21</v>
      </c>
      <c r="I111" s="4">
        <v>12</v>
      </c>
      <c r="J111" s="4">
        <v>6</v>
      </c>
      <c r="K111" s="227"/>
      <c r="L111" s="4" t="s">
        <v>16</v>
      </c>
      <c r="M111" s="4">
        <v>10</v>
      </c>
      <c r="N111" s="4">
        <v>8</v>
      </c>
      <c r="O111" s="4">
        <v>10</v>
      </c>
      <c r="P111" s="4">
        <v>6</v>
      </c>
      <c r="Q111" s="4">
        <v>8</v>
      </c>
      <c r="R111" s="4">
        <v>16</v>
      </c>
      <c r="S111" s="4">
        <v>19</v>
      </c>
      <c r="T111" s="50">
        <v>4</v>
      </c>
      <c r="U111" s="59">
        <f t="shared" si="18"/>
        <v>159</v>
      </c>
    </row>
    <row r="112" spans="1:40" ht="15.75" customHeight="1">
      <c r="A112" s="230"/>
      <c r="B112" s="4" t="s">
        <v>17</v>
      </c>
      <c r="C112" s="4">
        <v>4</v>
      </c>
      <c r="D112" s="4">
        <v>6</v>
      </c>
      <c r="E112" s="4">
        <v>5</v>
      </c>
      <c r="F112" s="4">
        <v>9</v>
      </c>
      <c r="G112" s="4">
        <v>14</v>
      </c>
      <c r="H112" s="4">
        <v>23</v>
      </c>
      <c r="I112" s="4">
        <v>15</v>
      </c>
      <c r="J112" s="4">
        <v>12</v>
      </c>
      <c r="K112" s="227"/>
      <c r="L112" s="4" t="s">
        <v>17</v>
      </c>
      <c r="M112" s="4">
        <v>7</v>
      </c>
      <c r="N112" s="4">
        <v>8</v>
      </c>
      <c r="O112" s="4">
        <v>6</v>
      </c>
      <c r="P112" s="4">
        <v>14</v>
      </c>
      <c r="Q112" s="4">
        <v>20</v>
      </c>
      <c r="R112" s="4">
        <v>9</v>
      </c>
      <c r="S112" s="4">
        <v>8</v>
      </c>
      <c r="T112" s="50">
        <v>1</v>
      </c>
      <c r="U112" s="59">
        <f t="shared" si="18"/>
        <v>161</v>
      </c>
    </row>
    <row r="113" spans="1:21" ht="15.75" customHeight="1">
      <c r="A113" s="230"/>
      <c r="B113" s="46" t="s">
        <v>18</v>
      </c>
      <c r="C113" s="46">
        <v>6</v>
      </c>
      <c r="D113" s="46">
        <v>7</v>
      </c>
      <c r="E113" s="46">
        <v>12</v>
      </c>
      <c r="F113" s="46">
        <v>5</v>
      </c>
      <c r="G113" s="46">
        <v>19</v>
      </c>
      <c r="H113" s="46">
        <v>22</v>
      </c>
      <c r="I113" s="46">
        <v>22</v>
      </c>
      <c r="J113" s="46">
        <v>13</v>
      </c>
      <c r="K113" s="227"/>
      <c r="L113" s="46" t="s">
        <v>18</v>
      </c>
      <c r="M113" s="46">
        <v>7</v>
      </c>
      <c r="N113" s="46">
        <v>5</v>
      </c>
      <c r="O113" s="46">
        <v>4</v>
      </c>
      <c r="P113" s="46">
        <v>12</v>
      </c>
      <c r="Q113" s="46">
        <v>18</v>
      </c>
      <c r="R113" s="46">
        <v>14</v>
      </c>
      <c r="S113" s="46">
        <v>14</v>
      </c>
      <c r="T113" s="69">
        <v>8</v>
      </c>
      <c r="U113" s="59">
        <f t="shared" si="18"/>
        <v>188</v>
      </c>
    </row>
    <row r="114" spans="1:21" ht="15.75" customHeight="1">
      <c r="A114" s="193" t="s">
        <v>8</v>
      </c>
      <c r="B114" s="63" t="s">
        <v>13</v>
      </c>
      <c r="C114" s="63">
        <v>24</v>
      </c>
      <c r="D114" s="63">
        <v>15</v>
      </c>
      <c r="E114" s="63">
        <v>19</v>
      </c>
      <c r="F114" s="63">
        <v>25</v>
      </c>
      <c r="G114" s="63">
        <v>29</v>
      </c>
      <c r="H114" s="63">
        <v>40</v>
      </c>
      <c r="I114" s="63">
        <v>24</v>
      </c>
      <c r="J114" s="63">
        <v>18</v>
      </c>
      <c r="K114" s="194" t="s">
        <v>8</v>
      </c>
      <c r="L114" s="63" t="s">
        <v>13</v>
      </c>
      <c r="M114" s="63">
        <v>15</v>
      </c>
      <c r="N114" s="63">
        <v>11</v>
      </c>
      <c r="O114" s="63">
        <v>17</v>
      </c>
      <c r="P114" s="63">
        <v>31</v>
      </c>
      <c r="Q114" s="63">
        <v>42</v>
      </c>
      <c r="R114" s="63">
        <v>43</v>
      </c>
      <c r="S114" s="63">
        <v>31</v>
      </c>
      <c r="T114" s="68">
        <v>14</v>
      </c>
      <c r="U114" s="59">
        <f t="shared" si="18"/>
        <v>398</v>
      </c>
    </row>
    <row r="115" spans="1:21" ht="15.75" customHeight="1">
      <c r="A115" s="230"/>
      <c r="B115" s="6" t="s">
        <v>14</v>
      </c>
      <c r="C115" s="6">
        <v>8</v>
      </c>
      <c r="D115" s="6">
        <v>5</v>
      </c>
      <c r="E115" s="6">
        <v>9</v>
      </c>
      <c r="F115" s="6">
        <v>10</v>
      </c>
      <c r="G115" s="6">
        <v>11</v>
      </c>
      <c r="H115" s="6">
        <v>17</v>
      </c>
      <c r="I115" s="6">
        <v>14</v>
      </c>
      <c r="J115" s="6">
        <v>13</v>
      </c>
      <c r="K115" s="227"/>
      <c r="L115" s="6" t="s">
        <v>14</v>
      </c>
      <c r="M115" s="6">
        <v>14</v>
      </c>
      <c r="N115" s="6">
        <v>9</v>
      </c>
      <c r="O115" s="6">
        <v>6</v>
      </c>
      <c r="P115" s="6">
        <v>8</v>
      </c>
      <c r="Q115" s="6">
        <v>7</v>
      </c>
      <c r="R115" s="6">
        <v>5</v>
      </c>
      <c r="S115" s="6">
        <v>5</v>
      </c>
      <c r="T115" s="51">
        <v>2</v>
      </c>
      <c r="U115" s="59">
        <f t="shared" si="18"/>
        <v>143</v>
      </c>
    </row>
    <row r="116" spans="1:21" ht="15.75" customHeight="1">
      <c r="A116" s="230"/>
      <c r="B116" s="6" t="s">
        <v>15</v>
      </c>
      <c r="C116" s="6">
        <v>20</v>
      </c>
      <c r="D116" s="6">
        <v>16</v>
      </c>
      <c r="E116" s="6">
        <v>18</v>
      </c>
      <c r="F116" s="6">
        <v>21</v>
      </c>
      <c r="G116" s="6">
        <v>20</v>
      </c>
      <c r="H116" s="6">
        <v>16</v>
      </c>
      <c r="I116" s="6">
        <v>20</v>
      </c>
      <c r="J116" s="6">
        <v>16</v>
      </c>
      <c r="K116" s="227"/>
      <c r="L116" s="6" t="s">
        <v>15</v>
      </c>
      <c r="M116" s="6">
        <v>9</v>
      </c>
      <c r="N116" s="6">
        <v>19</v>
      </c>
      <c r="O116" s="6">
        <v>24</v>
      </c>
      <c r="P116" s="6">
        <v>21</v>
      </c>
      <c r="Q116" s="6">
        <v>27</v>
      </c>
      <c r="R116" s="6">
        <v>48</v>
      </c>
      <c r="S116" s="6">
        <v>31</v>
      </c>
      <c r="T116" s="51">
        <v>24</v>
      </c>
      <c r="U116" s="59">
        <f t="shared" si="18"/>
        <v>350</v>
      </c>
    </row>
    <row r="117" spans="1:21" ht="15.75" customHeight="1">
      <c r="A117" s="230"/>
      <c r="B117" s="6" t="s">
        <v>16</v>
      </c>
      <c r="C117" s="6">
        <v>7</v>
      </c>
      <c r="D117" s="6">
        <v>6</v>
      </c>
      <c r="E117" s="6">
        <v>3</v>
      </c>
      <c r="F117" s="6">
        <v>11</v>
      </c>
      <c r="G117" s="6">
        <v>13</v>
      </c>
      <c r="H117" s="6">
        <v>21</v>
      </c>
      <c r="I117" s="6">
        <v>9</v>
      </c>
      <c r="J117" s="6">
        <v>3</v>
      </c>
      <c r="K117" s="227"/>
      <c r="L117" s="6" t="s">
        <v>16</v>
      </c>
      <c r="M117" s="6">
        <v>14</v>
      </c>
      <c r="N117" s="6">
        <v>2</v>
      </c>
      <c r="O117" s="6">
        <v>5</v>
      </c>
      <c r="P117" s="6">
        <v>6</v>
      </c>
      <c r="Q117" s="6">
        <v>11</v>
      </c>
      <c r="R117" s="6">
        <v>10</v>
      </c>
      <c r="S117" s="6">
        <v>15</v>
      </c>
      <c r="T117" s="51">
        <v>6</v>
      </c>
      <c r="U117" s="59">
        <f t="shared" si="18"/>
        <v>142</v>
      </c>
    </row>
    <row r="118" spans="1:21" ht="15.75" customHeight="1">
      <c r="A118" s="230"/>
      <c r="B118" s="6" t="s">
        <v>17</v>
      </c>
      <c r="C118" s="6">
        <v>10</v>
      </c>
      <c r="D118" s="6">
        <v>6</v>
      </c>
      <c r="E118" s="6">
        <v>7</v>
      </c>
      <c r="F118" s="6">
        <v>12</v>
      </c>
      <c r="G118" s="6">
        <v>11</v>
      </c>
      <c r="H118" s="6">
        <v>13</v>
      </c>
      <c r="I118" s="6">
        <v>12</v>
      </c>
      <c r="J118" s="6">
        <v>6</v>
      </c>
      <c r="K118" s="227"/>
      <c r="L118" s="6" t="s">
        <v>17</v>
      </c>
      <c r="M118" s="6">
        <v>9</v>
      </c>
      <c r="N118" s="6">
        <v>9</v>
      </c>
      <c r="O118" s="6">
        <v>4</v>
      </c>
      <c r="P118" s="6">
        <v>7</v>
      </c>
      <c r="Q118" s="6">
        <v>6</v>
      </c>
      <c r="R118" s="6">
        <v>14</v>
      </c>
      <c r="S118" s="6">
        <v>9</v>
      </c>
      <c r="T118" s="51">
        <v>3</v>
      </c>
      <c r="U118" s="59">
        <f t="shared" si="18"/>
        <v>138</v>
      </c>
    </row>
    <row r="119" spans="1:21" ht="15.75" customHeight="1">
      <c r="A119" s="230"/>
      <c r="B119" s="47" t="s">
        <v>18</v>
      </c>
      <c r="C119" s="47">
        <v>19</v>
      </c>
      <c r="D119" s="47">
        <v>7</v>
      </c>
      <c r="E119" s="47">
        <v>5</v>
      </c>
      <c r="F119" s="47">
        <v>13</v>
      </c>
      <c r="G119" s="47">
        <v>10</v>
      </c>
      <c r="H119" s="47">
        <v>6</v>
      </c>
      <c r="I119" s="47">
        <v>4</v>
      </c>
      <c r="J119" s="47">
        <v>5</v>
      </c>
      <c r="K119" s="227"/>
      <c r="L119" s="47" t="s">
        <v>18</v>
      </c>
      <c r="M119" s="47">
        <v>2</v>
      </c>
      <c r="N119" s="47">
        <v>1</v>
      </c>
      <c r="O119" s="47">
        <v>4</v>
      </c>
      <c r="P119" s="47">
        <v>7</v>
      </c>
      <c r="Q119" s="47">
        <v>4</v>
      </c>
      <c r="R119" s="47">
        <v>12</v>
      </c>
      <c r="S119" s="47">
        <v>12</v>
      </c>
      <c r="T119" s="70">
        <v>3</v>
      </c>
      <c r="U119" s="59">
        <f t="shared" si="18"/>
        <v>114</v>
      </c>
    </row>
    <row r="120" spans="1:21" ht="15.75" customHeight="1">
      <c r="A120" s="195" t="s">
        <v>9</v>
      </c>
      <c r="B120" s="56" t="s">
        <v>13</v>
      </c>
      <c r="C120" s="56">
        <v>13</v>
      </c>
      <c r="D120" s="56">
        <v>31</v>
      </c>
      <c r="E120" s="56">
        <v>23</v>
      </c>
      <c r="F120" s="56">
        <v>28</v>
      </c>
      <c r="G120" s="56">
        <v>42</v>
      </c>
      <c r="H120" s="56">
        <v>33</v>
      </c>
      <c r="I120" s="56">
        <v>30</v>
      </c>
      <c r="J120" s="56">
        <v>25</v>
      </c>
      <c r="K120" s="196" t="s">
        <v>9</v>
      </c>
      <c r="L120" s="56" t="s">
        <v>13</v>
      </c>
      <c r="M120" s="56">
        <v>18</v>
      </c>
      <c r="N120" s="56">
        <v>10</v>
      </c>
      <c r="O120" s="56">
        <v>20</v>
      </c>
      <c r="P120" s="56">
        <v>27</v>
      </c>
      <c r="Q120" s="56">
        <v>28</v>
      </c>
      <c r="R120" s="56">
        <v>43</v>
      </c>
      <c r="S120" s="56">
        <v>19</v>
      </c>
      <c r="T120" s="67">
        <v>16</v>
      </c>
      <c r="U120" s="59">
        <f t="shared" si="18"/>
        <v>406</v>
      </c>
    </row>
    <row r="121" spans="1:21" ht="15.75" customHeight="1">
      <c r="A121" s="230"/>
      <c r="B121" s="4" t="s">
        <v>14</v>
      </c>
      <c r="C121" s="4">
        <v>6</v>
      </c>
      <c r="D121" s="4">
        <v>13</v>
      </c>
      <c r="E121" s="4">
        <v>14</v>
      </c>
      <c r="F121" s="4">
        <v>19</v>
      </c>
      <c r="G121" s="4">
        <v>16</v>
      </c>
      <c r="H121" s="4">
        <v>16</v>
      </c>
      <c r="I121" s="4">
        <v>12</v>
      </c>
      <c r="J121" s="4">
        <v>12</v>
      </c>
      <c r="K121" s="227"/>
      <c r="L121" s="4" t="s">
        <v>14</v>
      </c>
      <c r="M121" s="4">
        <v>12</v>
      </c>
      <c r="N121" s="4">
        <v>12</v>
      </c>
      <c r="O121" s="4">
        <v>8</v>
      </c>
      <c r="P121" s="4">
        <v>12</v>
      </c>
      <c r="Q121" s="4">
        <v>5</v>
      </c>
      <c r="R121" s="4">
        <v>9</v>
      </c>
      <c r="S121" s="4">
        <v>3</v>
      </c>
      <c r="T121" s="50">
        <v>4</v>
      </c>
      <c r="U121" s="59">
        <f t="shared" si="18"/>
        <v>173</v>
      </c>
    </row>
    <row r="122" spans="1:21" ht="15.75" customHeight="1">
      <c r="A122" s="230"/>
      <c r="B122" s="4" t="s">
        <v>15</v>
      </c>
      <c r="C122" s="4">
        <v>27</v>
      </c>
      <c r="D122" s="4">
        <v>23</v>
      </c>
      <c r="E122" s="4">
        <v>18</v>
      </c>
      <c r="F122" s="4">
        <v>22</v>
      </c>
      <c r="G122" s="4">
        <v>23</v>
      </c>
      <c r="H122" s="4">
        <v>26</v>
      </c>
      <c r="I122" s="4">
        <v>20</v>
      </c>
      <c r="J122" s="4">
        <v>17</v>
      </c>
      <c r="K122" s="227"/>
      <c r="L122" s="4" t="s">
        <v>15</v>
      </c>
      <c r="M122" s="4">
        <v>14</v>
      </c>
      <c r="N122" s="4">
        <v>16</v>
      </c>
      <c r="O122" s="4">
        <v>19</v>
      </c>
      <c r="P122" s="4">
        <v>24</v>
      </c>
      <c r="Q122" s="4">
        <v>26</v>
      </c>
      <c r="R122" s="4">
        <v>31</v>
      </c>
      <c r="S122" s="4">
        <v>21</v>
      </c>
      <c r="T122" s="50">
        <v>19</v>
      </c>
      <c r="U122" s="59">
        <f t="shared" si="18"/>
        <v>346</v>
      </c>
    </row>
    <row r="123" spans="1:21" ht="15.75" customHeight="1">
      <c r="A123" s="230"/>
      <c r="B123" s="4" t="s">
        <v>16</v>
      </c>
      <c r="C123" s="4">
        <v>4</v>
      </c>
      <c r="D123" s="4">
        <v>7</v>
      </c>
      <c r="E123" s="4">
        <v>7</v>
      </c>
      <c r="F123" s="4">
        <v>6</v>
      </c>
      <c r="G123" s="4">
        <v>12</v>
      </c>
      <c r="H123" s="4">
        <v>12</v>
      </c>
      <c r="I123" s="4">
        <v>8</v>
      </c>
      <c r="J123" s="4">
        <v>10</v>
      </c>
      <c r="K123" s="227"/>
      <c r="L123" s="4" t="s">
        <v>16</v>
      </c>
      <c r="M123" s="4">
        <v>11</v>
      </c>
      <c r="N123" s="4">
        <v>8</v>
      </c>
      <c r="O123" s="4">
        <v>5</v>
      </c>
      <c r="P123" s="4">
        <v>6</v>
      </c>
      <c r="Q123" s="4">
        <v>8</v>
      </c>
      <c r="R123" s="4">
        <v>7</v>
      </c>
      <c r="S123" s="4">
        <v>7</v>
      </c>
      <c r="T123" s="50">
        <v>7</v>
      </c>
      <c r="U123" s="59">
        <f t="shared" si="18"/>
        <v>125</v>
      </c>
    </row>
    <row r="124" spans="1:21" ht="15.75" customHeight="1">
      <c r="A124" s="230"/>
      <c r="B124" s="4" t="s">
        <v>17</v>
      </c>
      <c r="C124" s="4">
        <v>10</v>
      </c>
      <c r="D124" s="4">
        <v>6</v>
      </c>
      <c r="E124" s="4">
        <v>10</v>
      </c>
      <c r="F124" s="4">
        <v>10</v>
      </c>
      <c r="G124" s="4">
        <v>8</v>
      </c>
      <c r="H124" s="4">
        <v>9</v>
      </c>
      <c r="I124" s="4">
        <v>6</v>
      </c>
      <c r="J124" s="4">
        <v>9</v>
      </c>
      <c r="K124" s="227"/>
      <c r="L124" s="4" t="s">
        <v>17</v>
      </c>
      <c r="M124" s="4">
        <v>4</v>
      </c>
      <c r="N124" s="4">
        <v>2</v>
      </c>
      <c r="O124" s="4">
        <v>11</v>
      </c>
      <c r="P124" s="4">
        <v>4</v>
      </c>
      <c r="Q124" s="4">
        <v>6</v>
      </c>
      <c r="R124" s="4">
        <v>6</v>
      </c>
      <c r="S124" s="4">
        <v>4</v>
      </c>
      <c r="T124" s="50">
        <v>3</v>
      </c>
      <c r="U124" s="59">
        <f t="shared" si="18"/>
        <v>108</v>
      </c>
    </row>
    <row r="125" spans="1:21" ht="15.75" customHeight="1">
      <c r="A125" s="230"/>
      <c r="B125" s="46" t="s">
        <v>18</v>
      </c>
      <c r="C125" s="46">
        <v>22</v>
      </c>
      <c r="D125" s="46">
        <v>7</v>
      </c>
      <c r="E125" s="46">
        <v>5</v>
      </c>
      <c r="F125" s="46">
        <v>6</v>
      </c>
      <c r="G125" s="46">
        <v>9</v>
      </c>
      <c r="H125" s="46">
        <v>12</v>
      </c>
      <c r="I125" s="46">
        <v>6</v>
      </c>
      <c r="J125" s="46">
        <v>9</v>
      </c>
      <c r="K125" s="227"/>
      <c r="L125" s="46" t="s">
        <v>18</v>
      </c>
      <c r="M125" s="46">
        <v>3</v>
      </c>
      <c r="N125" s="46">
        <v>6</v>
      </c>
      <c r="O125" s="46">
        <v>3</v>
      </c>
      <c r="P125" s="46">
        <v>6</v>
      </c>
      <c r="Q125" s="46">
        <v>7</v>
      </c>
      <c r="R125" s="46">
        <v>17</v>
      </c>
      <c r="S125" s="46">
        <v>4</v>
      </c>
      <c r="T125" s="69">
        <v>5</v>
      </c>
      <c r="U125" s="59">
        <f t="shared" si="18"/>
        <v>127</v>
      </c>
    </row>
    <row r="126" spans="1:21" ht="15.75" customHeight="1">
      <c r="A126" s="193" t="s">
        <v>10</v>
      </c>
      <c r="B126" s="63" t="s">
        <v>13</v>
      </c>
      <c r="C126" s="99">
        <v>18</v>
      </c>
      <c r="D126" s="99">
        <v>14</v>
      </c>
      <c r="E126" s="99">
        <v>15</v>
      </c>
      <c r="F126" s="99">
        <v>32</v>
      </c>
      <c r="G126" s="99">
        <v>35</v>
      </c>
      <c r="H126" s="99">
        <v>33</v>
      </c>
      <c r="I126" s="99">
        <v>30</v>
      </c>
      <c r="J126" s="99">
        <v>13</v>
      </c>
      <c r="K126" s="194" t="s">
        <v>10</v>
      </c>
      <c r="L126" s="63" t="s">
        <v>13</v>
      </c>
      <c r="M126" s="99">
        <v>16</v>
      </c>
      <c r="N126" s="99">
        <v>8</v>
      </c>
      <c r="O126" s="99">
        <v>16</v>
      </c>
      <c r="P126" s="99">
        <v>28</v>
      </c>
      <c r="Q126" s="99">
        <v>28</v>
      </c>
      <c r="R126" s="99">
        <v>26</v>
      </c>
      <c r="S126" s="99">
        <v>22</v>
      </c>
      <c r="T126" s="102">
        <v>12</v>
      </c>
      <c r="U126" s="59">
        <f t="shared" si="18"/>
        <v>346</v>
      </c>
    </row>
    <row r="127" spans="1:21" ht="15.75" customHeight="1">
      <c r="A127" s="230"/>
      <c r="B127" s="6" t="s">
        <v>14</v>
      </c>
      <c r="C127" s="100">
        <v>6</v>
      </c>
      <c r="D127" s="100">
        <v>3</v>
      </c>
      <c r="E127" s="100">
        <v>6</v>
      </c>
      <c r="F127" s="100">
        <v>13</v>
      </c>
      <c r="G127" s="100">
        <v>18</v>
      </c>
      <c r="H127" s="100">
        <v>16</v>
      </c>
      <c r="I127" s="100">
        <v>18</v>
      </c>
      <c r="J127" s="100">
        <v>7</v>
      </c>
      <c r="K127" s="227"/>
      <c r="L127" s="6" t="s">
        <v>14</v>
      </c>
      <c r="M127" s="100">
        <v>10</v>
      </c>
      <c r="N127" s="100">
        <v>6</v>
      </c>
      <c r="O127" s="100">
        <v>7</v>
      </c>
      <c r="P127" s="100">
        <v>6</v>
      </c>
      <c r="Q127" s="100">
        <v>9</v>
      </c>
      <c r="R127" s="100">
        <v>3</v>
      </c>
      <c r="S127" s="100">
        <v>3</v>
      </c>
      <c r="T127" s="103">
        <v>7</v>
      </c>
      <c r="U127" s="59">
        <f t="shared" si="18"/>
        <v>138</v>
      </c>
    </row>
    <row r="128" spans="1:21" ht="15.75" customHeight="1">
      <c r="A128" s="230"/>
      <c r="B128" s="6" t="s">
        <v>15</v>
      </c>
      <c r="C128" s="100">
        <v>20</v>
      </c>
      <c r="D128" s="100">
        <v>19</v>
      </c>
      <c r="E128" s="100">
        <v>17</v>
      </c>
      <c r="F128" s="100">
        <v>14</v>
      </c>
      <c r="G128" s="100">
        <v>25</v>
      </c>
      <c r="H128" s="100">
        <v>24</v>
      </c>
      <c r="I128" s="100">
        <v>25</v>
      </c>
      <c r="J128" s="100">
        <v>17</v>
      </c>
      <c r="K128" s="227"/>
      <c r="L128" s="6" t="s">
        <v>15</v>
      </c>
      <c r="M128" s="100">
        <v>10</v>
      </c>
      <c r="N128" s="100">
        <v>13</v>
      </c>
      <c r="O128" s="100">
        <v>19</v>
      </c>
      <c r="P128" s="100">
        <v>20</v>
      </c>
      <c r="Q128" s="100">
        <v>31</v>
      </c>
      <c r="R128" s="100">
        <v>24</v>
      </c>
      <c r="S128" s="100">
        <v>23</v>
      </c>
      <c r="T128" s="103">
        <v>20</v>
      </c>
      <c r="U128" s="59">
        <f t="shared" si="18"/>
        <v>321</v>
      </c>
    </row>
    <row r="129" spans="1:40" ht="15.75" customHeight="1">
      <c r="A129" s="230"/>
      <c r="B129" s="6" t="s">
        <v>16</v>
      </c>
      <c r="C129" s="100">
        <v>5</v>
      </c>
      <c r="D129" s="100">
        <v>4</v>
      </c>
      <c r="E129" s="100">
        <v>7</v>
      </c>
      <c r="F129" s="100">
        <v>13</v>
      </c>
      <c r="G129" s="100">
        <v>15</v>
      </c>
      <c r="H129" s="100">
        <v>10</v>
      </c>
      <c r="I129" s="100">
        <v>11</v>
      </c>
      <c r="J129" s="100">
        <v>6</v>
      </c>
      <c r="K129" s="227"/>
      <c r="L129" s="6" t="s">
        <v>16</v>
      </c>
      <c r="M129" s="100">
        <v>3</v>
      </c>
      <c r="N129" s="100">
        <v>5</v>
      </c>
      <c r="O129" s="100">
        <v>4</v>
      </c>
      <c r="P129" s="100">
        <v>6</v>
      </c>
      <c r="Q129" s="100">
        <v>3</v>
      </c>
      <c r="R129" s="100">
        <v>11</v>
      </c>
      <c r="S129" s="100">
        <v>8</v>
      </c>
      <c r="T129" s="103">
        <v>6</v>
      </c>
      <c r="U129" s="59">
        <f t="shared" si="18"/>
        <v>117</v>
      </c>
    </row>
    <row r="130" spans="1:40" ht="15.75" customHeight="1">
      <c r="A130" s="230"/>
      <c r="B130" s="6" t="s">
        <v>17</v>
      </c>
      <c r="C130" s="100">
        <v>8</v>
      </c>
      <c r="D130" s="100">
        <v>9</v>
      </c>
      <c r="E130" s="100">
        <v>5</v>
      </c>
      <c r="F130" s="100">
        <v>6</v>
      </c>
      <c r="G130" s="100">
        <v>14</v>
      </c>
      <c r="H130" s="100">
        <v>12</v>
      </c>
      <c r="I130" s="100">
        <v>10</v>
      </c>
      <c r="J130" s="100">
        <v>2</v>
      </c>
      <c r="K130" s="227"/>
      <c r="L130" s="6" t="s">
        <v>17</v>
      </c>
      <c r="M130" s="100">
        <v>12</v>
      </c>
      <c r="N130" s="100">
        <v>4</v>
      </c>
      <c r="O130" s="100">
        <v>6</v>
      </c>
      <c r="P130" s="100">
        <v>5</v>
      </c>
      <c r="Q130" s="100">
        <v>9</v>
      </c>
      <c r="R130" s="100">
        <v>2</v>
      </c>
      <c r="S130" s="100">
        <v>10</v>
      </c>
      <c r="T130" s="103">
        <v>5</v>
      </c>
      <c r="U130" s="59">
        <f t="shared" si="18"/>
        <v>119</v>
      </c>
    </row>
    <row r="131" spans="1:40" ht="15.75" customHeight="1">
      <c r="A131" s="230"/>
      <c r="B131" s="47" t="s">
        <v>18</v>
      </c>
      <c r="C131" s="101">
        <v>15</v>
      </c>
      <c r="D131" s="101">
        <v>7</v>
      </c>
      <c r="E131" s="101">
        <v>8</v>
      </c>
      <c r="F131" s="101">
        <v>7</v>
      </c>
      <c r="G131" s="101">
        <v>11</v>
      </c>
      <c r="H131" s="101">
        <v>12</v>
      </c>
      <c r="I131" s="101">
        <v>11</v>
      </c>
      <c r="J131" s="101">
        <v>5</v>
      </c>
      <c r="K131" s="227"/>
      <c r="L131" s="47" t="s">
        <v>18</v>
      </c>
      <c r="M131" s="101">
        <v>5</v>
      </c>
      <c r="N131" s="101">
        <v>4</v>
      </c>
      <c r="O131" s="101">
        <v>6</v>
      </c>
      <c r="P131" s="101">
        <v>7</v>
      </c>
      <c r="Q131" s="101">
        <v>10</v>
      </c>
      <c r="R131" s="101">
        <v>10</v>
      </c>
      <c r="S131" s="101">
        <v>12</v>
      </c>
      <c r="T131" s="104">
        <v>3</v>
      </c>
      <c r="U131" s="59">
        <f t="shared" si="18"/>
        <v>133</v>
      </c>
    </row>
    <row r="132" spans="1:40" ht="15.75" customHeight="1">
      <c r="A132" s="195" t="s">
        <v>11</v>
      </c>
      <c r="B132" s="56" t="s">
        <v>13</v>
      </c>
      <c r="C132" s="162">
        <v>8</v>
      </c>
      <c r="D132" s="162">
        <v>15</v>
      </c>
      <c r="E132" s="162">
        <v>25</v>
      </c>
      <c r="F132" s="162">
        <v>36</v>
      </c>
      <c r="G132" s="162">
        <v>37</v>
      </c>
      <c r="H132" s="162">
        <v>32</v>
      </c>
      <c r="I132" s="162">
        <v>28</v>
      </c>
      <c r="J132" s="162">
        <v>21</v>
      </c>
      <c r="K132" s="196" t="s">
        <v>11</v>
      </c>
      <c r="L132" s="56" t="s">
        <v>13</v>
      </c>
      <c r="M132" s="162">
        <v>13</v>
      </c>
      <c r="N132" s="162">
        <v>17</v>
      </c>
      <c r="O132" s="162">
        <v>18</v>
      </c>
      <c r="P132" s="162">
        <v>17</v>
      </c>
      <c r="Q132" s="162">
        <v>16</v>
      </c>
      <c r="R132" s="162">
        <v>25</v>
      </c>
      <c r="S132" s="162">
        <v>6</v>
      </c>
      <c r="T132" s="165">
        <v>0</v>
      </c>
      <c r="U132" s="59">
        <f t="shared" si="18"/>
        <v>314</v>
      </c>
    </row>
    <row r="133" spans="1:40" ht="15.75" customHeight="1">
      <c r="A133" s="230"/>
      <c r="B133" s="4" t="s">
        <v>14</v>
      </c>
      <c r="C133" s="163">
        <v>5</v>
      </c>
      <c r="D133" s="163">
        <v>7</v>
      </c>
      <c r="E133" s="163">
        <v>11</v>
      </c>
      <c r="F133" s="163">
        <v>15</v>
      </c>
      <c r="G133" s="163">
        <v>15</v>
      </c>
      <c r="H133" s="163">
        <v>13</v>
      </c>
      <c r="I133" s="163">
        <v>21</v>
      </c>
      <c r="J133" s="163">
        <v>13</v>
      </c>
      <c r="K133" s="227"/>
      <c r="L133" s="4" t="s">
        <v>14</v>
      </c>
      <c r="M133" s="163">
        <v>10</v>
      </c>
      <c r="N133" s="163">
        <v>14</v>
      </c>
      <c r="O133" s="163">
        <v>11</v>
      </c>
      <c r="P133" s="163">
        <v>3</v>
      </c>
      <c r="Q133" s="163">
        <v>5</v>
      </c>
      <c r="R133" s="163">
        <v>0</v>
      </c>
      <c r="S133" s="163">
        <v>1</v>
      </c>
      <c r="T133" s="166">
        <v>1</v>
      </c>
      <c r="U133" s="59">
        <f t="shared" si="18"/>
        <v>145</v>
      </c>
    </row>
    <row r="134" spans="1:40" ht="15.75" customHeight="1">
      <c r="A134" s="230"/>
      <c r="B134" s="4" t="s">
        <v>15</v>
      </c>
      <c r="C134" s="163">
        <v>11</v>
      </c>
      <c r="D134" s="163">
        <v>18</v>
      </c>
      <c r="E134" s="163">
        <v>15</v>
      </c>
      <c r="F134" s="163">
        <v>19</v>
      </c>
      <c r="G134" s="163">
        <v>30</v>
      </c>
      <c r="H134" s="163">
        <v>17</v>
      </c>
      <c r="I134" s="163">
        <v>23</v>
      </c>
      <c r="J134" s="163">
        <v>20</v>
      </c>
      <c r="K134" s="227"/>
      <c r="L134" s="4" t="s">
        <v>15</v>
      </c>
      <c r="M134" s="163">
        <v>19</v>
      </c>
      <c r="N134" s="163">
        <v>17</v>
      </c>
      <c r="O134" s="163">
        <v>19</v>
      </c>
      <c r="P134" s="163">
        <v>21</v>
      </c>
      <c r="Q134" s="163">
        <v>20</v>
      </c>
      <c r="R134" s="163">
        <v>24</v>
      </c>
      <c r="S134" s="163">
        <v>13</v>
      </c>
      <c r="T134" s="166">
        <v>6</v>
      </c>
      <c r="U134" s="59">
        <f t="shared" si="18"/>
        <v>292</v>
      </c>
    </row>
    <row r="135" spans="1:40" ht="15.75" customHeight="1">
      <c r="A135" s="230"/>
      <c r="B135" s="4" t="s">
        <v>16</v>
      </c>
      <c r="C135" s="163">
        <v>1</v>
      </c>
      <c r="D135" s="163">
        <v>3</v>
      </c>
      <c r="E135" s="163">
        <v>5</v>
      </c>
      <c r="F135" s="163">
        <v>9</v>
      </c>
      <c r="G135" s="163">
        <v>13</v>
      </c>
      <c r="H135" s="163">
        <v>12</v>
      </c>
      <c r="I135" s="163">
        <v>15</v>
      </c>
      <c r="J135" s="163">
        <v>6</v>
      </c>
      <c r="K135" s="227"/>
      <c r="L135" s="4" t="s">
        <v>16</v>
      </c>
      <c r="M135" s="163">
        <v>4</v>
      </c>
      <c r="N135" s="163">
        <v>2</v>
      </c>
      <c r="O135" s="163">
        <v>1</v>
      </c>
      <c r="P135" s="163">
        <v>10</v>
      </c>
      <c r="Q135" s="163">
        <v>9</v>
      </c>
      <c r="R135" s="163">
        <v>3</v>
      </c>
      <c r="S135" s="163">
        <v>3</v>
      </c>
      <c r="T135" s="166">
        <v>1</v>
      </c>
      <c r="U135" s="59">
        <f t="shared" si="18"/>
        <v>97</v>
      </c>
    </row>
    <row r="136" spans="1:40" ht="15.75" customHeight="1">
      <c r="A136" s="230"/>
      <c r="B136" s="4" t="s">
        <v>17</v>
      </c>
      <c r="C136" s="163">
        <v>1</v>
      </c>
      <c r="D136" s="163">
        <v>4</v>
      </c>
      <c r="E136" s="163">
        <v>4</v>
      </c>
      <c r="F136" s="163">
        <v>7</v>
      </c>
      <c r="G136" s="163">
        <v>7</v>
      </c>
      <c r="H136" s="163">
        <v>3</v>
      </c>
      <c r="I136" s="163">
        <v>9</v>
      </c>
      <c r="J136" s="163">
        <v>5</v>
      </c>
      <c r="K136" s="227"/>
      <c r="L136" s="4" t="s">
        <v>17</v>
      </c>
      <c r="M136" s="163">
        <v>4</v>
      </c>
      <c r="N136" s="163">
        <v>5</v>
      </c>
      <c r="O136" s="163">
        <v>4</v>
      </c>
      <c r="P136" s="163">
        <v>4</v>
      </c>
      <c r="Q136" s="163">
        <v>5</v>
      </c>
      <c r="R136" s="163">
        <v>2</v>
      </c>
      <c r="S136" s="163">
        <v>1</v>
      </c>
      <c r="T136" s="166">
        <v>1</v>
      </c>
      <c r="U136" s="59">
        <f t="shared" si="18"/>
        <v>66</v>
      </c>
    </row>
    <row r="137" spans="1:40" ht="15.75" customHeight="1">
      <c r="A137" s="231"/>
      <c r="B137" s="61" t="s">
        <v>18</v>
      </c>
      <c r="C137" s="164">
        <v>5</v>
      </c>
      <c r="D137" s="164">
        <v>11</v>
      </c>
      <c r="E137" s="164">
        <v>7</v>
      </c>
      <c r="F137" s="164">
        <v>8</v>
      </c>
      <c r="G137" s="164">
        <v>15</v>
      </c>
      <c r="H137" s="164">
        <v>10</v>
      </c>
      <c r="I137" s="164">
        <v>10</v>
      </c>
      <c r="J137" s="164">
        <v>12</v>
      </c>
      <c r="K137" s="232"/>
      <c r="L137" s="61" t="s">
        <v>18</v>
      </c>
      <c r="M137" s="164">
        <v>5</v>
      </c>
      <c r="N137" s="164">
        <v>3</v>
      </c>
      <c r="O137" s="164">
        <v>3</v>
      </c>
      <c r="P137" s="164">
        <v>10</v>
      </c>
      <c r="Q137" s="164">
        <v>11</v>
      </c>
      <c r="R137" s="164">
        <v>6</v>
      </c>
      <c r="S137" s="164">
        <v>2</v>
      </c>
      <c r="T137" s="167">
        <v>1</v>
      </c>
      <c r="U137" s="59">
        <f t="shared" si="18"/>
        <v>119</v>
      </c>
    </row>
    <row r="139" spans="1:40" ht="15.75" customHeight="1">
      <c r="A139" s="1"/>
      <c r="B139" s="1"/>
      <c r="C139" s="183" t="s">
        <v>0</v>
      </c>
      <c r="D139" s="225"/>
      <c r="E139" s="225"/>
      <c r="F139" s="225"/>
      <c r="G139" s="226"/>
      <c r="H139" s="2"/>
      <c r="I139" s="1"/>
    </row>
    <row r="140" spans="1:40" ht="15.75" customHeight="1">
      <c r="A140" s="1"/>
      <c r="B140" s="183" t="s">
        <v>1</v>
      </c>
      <c r="C140" s="225"/>
      <c r="D140" s="226"/>
      <c r="E140" s="1"/>
      <c r="F140" s="184" t="s">
        <v>128</v>
      </c>
      <c r="G140" s="225"/>
      <c r="H140" s="226"/>
      <c r="I140" s="1"/>
      <c r="K140" s="1"/>
      <c r="L140" s="183" t="s">
        <v>26</v>
      </c>
      <c r="M140" s="225"/>
      <c r="N140" s="226"/>
      <c r="O140" s="1"/>
      <c r="P140" s="184" t="s">
        <v>128</v>
      </c>
      <c r="Q140" s="225"/>
      <c r="R140" s="226"/>
      <c r="S140" s="1"/>
    </row>
    <row r="141" spans="1:40" ht="15.75" customHeight="1">
      <c r="A141" s="54" t="s">
        <v>35</v>
      </c>
      <c r="B141" s="54" t="s">
        <v>4</v>
      </c>
      <c r="C141" s="54" t="s">
        <v>12</v>
      </c>
      <c r="D141" s="54" t="s">
        <v>19</v>
      </c>
      <c r="E141" s="54" t="s">
        <v>20</v>
      </c>
      <c r="F141" s="54" t="s">
        <v>21</v>
      </c>
      <c r="G141" s="54" t="s">
        <v>22</v>
      </c>
      <c r="H141" s="54" t="s">
        <v>23</v>
      </c>
      <c r="I141" s="54" t="s">
        <v>24</v>
      </c>
      <c r="J141" s="54" t="s">
        <v>25</v>
      </c>
      <c r="K141" s="54" t="s">
        <v>35</v>
      </c>
      <c r="L141" s="54" t="s">
        <v>4</v>
      </c>
      <c r="M141" s="54" t="s">
        <v>27</v>
      </c>
      <c r="N141" s="54" t="s">
        <v>28</v>
      </c>
      <c r="O141" s="54" t="s">
        <v>29</v>
      </c>
      <c r="P141" s="54" t="s">
        <v>30</v>
      </c>
      <c r="Q141" s="54" t="s">
        <v>31</v>
      </c>
      <c r="R141" s="54" t="s">
        <v>32</v>
      </c>
      <c r="S141" s="54" t="s">
        <v>33</v>
      </c>
      <c r="T141" s="54" t="s">
        <v>34</v>
      </c>
      <c r="U141" s="54" t="s">
        <v>55</v>
      </c>
    </row>
    <row r="142" spans="1:40" ht="15.75" customHeight="1">
      <c r="A142" s="195" t="s">
        <v>5</v>
      </c>
      <c r="B142" s="56" t="s">
        <v>13</v>
      </c>
      <c r="C142" s="57"/>
      <c r="D142" s="57"/>
      <c r="E142" s="56">
        <v>25</v>
      </c>
      <c r="F142" s="56">
        <v>29</v>
      </c>
      <c r="G142" s="56">
        <v>23</v>
      </c>
      <c r="H142" s="56">
        <v>46</v>
      </c>
      <c r="I142" s="56">
        <v>38</v>
      </c>
      <c r="J142" s="56">
        <v>36</v>
      </c>
      <c r="K142" s="217" t="s">
        <v>5</v>
      </c>
      <c r="L142" s="169" t="s">
        <v>13</v>
      </c>
      <c r="M142" s="56">
        <v>29</v>
      </c>
      <c r="N142" s="56">
        <v>26</v>
      </c>
      <c r="O142" s="56">
        <v>16</v>
      </c>
      <c r="P142" s="56">
        <v>19</v>
      </c>
      <c r="Q142" s="56">
        <v>20</v>
      </c>
      <c r="R142" s="57"/>
      <c r="S142" s="57"/>
      <c r="T142" s="58"/>
      <c r="U142" s="59">
        <f>SUM(M142:T142,C142:J142)</f>
        <v>307</v>
      </c>
      <c r="W142" s="197" t="s">
        <v>2</v>
      </c>
      <c r="X142" s="198"/>
      <c r="AG142" s="190" t="s">
        <v>58</v>
      </c>
      <c r="AH142" s="191"/>
      <c r="AI142" s="191"/>
      <c r="AJ142" s="191"/>
      <c r="AK142" s="191"/>
      <c r="AL142" s="191"/>
      <c r="AM142" s="191"/>
      <c r="AN142" s="192"/>
    </row>
    <row r="143" spans="1:40" ht="15.75" customHeight="1">
      <c r="A143" s="230"/>
      <c r="B143" s="4" t="s">
        <v>14</v>
      </c>
      <c r="C143" s="5"/>
      <c r="D143" s="5"/>
      <c r="E143" s="4">
        <v>5</v>
      </c>
      <c r="F143" s="4">
        <v>4</v>
      </c>
      <c r="G143" s="4">
        <v>7</v>
      </c>
      <c r="H143" s="4">
        <v>13</v>
      </c>
      <c r="I143" s="4">
        <v>13</v>
      </c>
      <c r="J143" s="4">
        <v>7</v>
      </c>
      <c r="K143" s="227"/>
      <c r="L143" s="171" t="s">
        <v>14</v>
      </c>
      <c r="M143" s="4">
        <v>8</v>
      </c>
      <c r="N143" s="4">
        <v>5</v>
      </c>
      <c r="O143" s="4">
        <v>6</v>
      </c>
      <c r="P143" s="4">
        <v>4</v>
      </c>
      <c r="Q143" s="4">
        <v>5</v>
      </c>
      <c r="R143" s="5"/>
      <c r="S143" s="5"/>
      <c r="T143" s="49"/>
      <c r="U143" s="59">
        <f t="shared" ref="U143:U183" si="26">SUM(M143:T143,C143:J143)</f>
        <v>77</v>
      </c>
      <c r="W143" s="55" t="s">
        <v>5</v>
      </c>
      <c r="X143" s="48">
        <f>SUM(U142:U147)</f>
        <v>913</v>
      </c>
      <c r="AG143" s="98" t="s">
        <v>4</v>
      </c>
      <c r="AH143" s="98" t="s">
        <v>5</v>
      </c>
      <c r="AI143" s="98" t="s">
        <v>6</v>
      </c>
      <c r="AJ143" s="98" t="s">
        <v>7</v>
      </c>
      <c r="AK143" s="98" t="s">
        <v>8</v>
      </c>
      <c r="AL143" s="98" t="s">
        <v>9</v>
      </c>
      <c r="AM143" s="98" t="s">
        <v>10</v>
      </c>
      <c r="AN143" s="98" t="s">
        <v>11</v>
      </c>
    </row>
    <row r="144" spans="1:40" ht="15.75" customHeight="1">
      <c r="A144" s="230"/>
      <c r="B144" s="4" t="s">
        <v>15</v>
      </c>
      <c r="C144" s="5"/>
      <c r="D144" s="5"/>
      <c r="E144" s="4">
        <v>10</v>
      </c>
      <c r="F144" s="4">
        <v>12</v>
      </c>
      <c r="G144" s="4">
        <v>24</v>
      </c>
      <c r="H144" s="4">
        <v>36</v>
      </c>
      <c r="I144" s="4">
        <v>31</v>
      </c>
      <c r="J144" s="4">
        <v>30</v>
      </c>
      <c r="K144" s="227"/>
      <c r="L144" s="171" t="s">
        <v>15</v>
      </c>
      <c r="M144" s="4">
        <v>25</v>
      </c>
      <c r="N144" s="4">
        <v>28</v>
      </c>
      <c r="O144" s="4">
        <v>21</v>
      </c>
      <c r="P144" s="4">
        <v>22</v>
      </c>
      <c r="Q144" s="4">
        <v>21</v>
      </c>
      <c r="R144" s="5"/>
      <c r="S144" s="5"/>
      <c r="T144" s="49"/>
      <c r="U144" s="59">
        <f t="shared" si="26"/>
        <v>260</v>
      </c>
      <c r="W144" s="55" t="s">
        <v>6</v>
      </c>
      <c r="X144" s="48">
        <f>SUM(U148:U153)</f>
        <v>466</v>
      </c>
      <c r="AG144" s="79" t="s">
        <v>13</v>
      </c>
      <c r="AH144" s="79">
        <f t="shared" ref="AH144:AH149" si="27">U142</f>
        <v>307</v>
      </c>
      <c r="AI144" s="79">
        <f t="shared" ref="AI144:AI149" si="28">U148</f>
        <v>171</v>
      </c>
      <c r="AJ144" s="79">
        <f t="shared" ref="AJ144:AJ149" si="29">U154</f>
        <v>405</v>
      </c>
      <c r="AK144" s="79">
        <f t="shared" ref="AK144:AK149" si="30">U160</f>
        <v>400</v>
      </c>
      <c r="AL144" s="79">
        <f t="shared" ref="AL144:AL149" si="31">U166</f>
        <v>381</v>
      </c>
      <c r="AM144" s="79">
        <f t="shared" ref="AM144:AM149" si="32">U172</f>
        <v>176</v>
      </c>
      <c r="AN144" s="79">
        <f t="shared" ref="AN144:AN149" si="33">U178</f>
        <v>327</v>
      </c>
    </row>
    <row r="145" spans="1:40" ht="15.75" customHeight="1">
      <c r="A145" s="230"/>
      <c r="B145" s="4" t="s">
        <v>16</v>
      </c>
      <c r="C145" s="5"/>
      <c r="D145" s="5"/>
      <c r="E145" s="4">
        <v>5</v>
      </c>
      <c r="F145" s="4">
        <v>7</v>
      </c>
      <c r="G145" s="4">
        <v>7</v>
      </c>
      <c r="H145" s="4">
        <v>10</v>
      </c>
      <c r="I145" s="4">
        <v>12</v>
      </c>
      <c r="J145" s="4">
        <v>13</v>
      </c>
      <c r="K145" s="227"/>
      <c r="L145" s="171" t="s">
        <v>16</v>
      </c>
      <c r="M145" s="4">
        <v>6</v>
      </c>
      <c r="N145" s="4">
        <v>6</v>
      </c>
      <c r="O145" s="4">
        <v>3</v>
      </c>
      <c r="P145" s="4">
        <v>3</v>
      </c>
      <c r="Q145" s="4">
        <v>3</v>
      </c>
      <c r="R145" s="5"/>
      <c r="S145" s="5"/>
      <c r="T145" s="49"/>
      <c r="U145" s="59">
        <f t="shared" si="26"/>
        <v>75</v>
      </c>
      <c r="W145" s="55" t="s">
        <v>7</v>
      </c>
      <c r="X145" s="48">
        <f>SUM(U154:U159)</f>
        <v>1478</v>
      </c>
      <c r="AG145" s="97" t="s">
        <v>14</v>
      </c>
      <c r="AH145" s="97">
        <f t="shared" si="27"/>
        <v>77</v>
      </c>
      <c r="AI145" s="97">
        <f t="shared" si="28"/>
        <v>49</v>
      </c>
      <c r="AJ145" s="97">
        <f t="shared" si="29"/>
        <v>193</v>
      </c>
      <c r="AK145" s="97">
        <f t="shared" si="30"/>
        <v>131</v>
      </c>
      <c r="AL145" s="97">
        <f t="shared" si="31"/>
        <v>119</v>
      </c>
      <c r="AM145" s="97">
        <f t="shared" si="32"/>
        <v>61</v>
      </c>
      <c r="AN145" s="97">
        <f t="shared" si="33"/>
        <v>107</v>
      </c>
    </row>
    <row r="146" spans="1:40" ht="15.75" customHeight="1">
      <c r="A146" s="230"/>
      <c r="B146" s="4" t="s">
        <v>17</v>
      </c>
      <c r="C146" s="5"/>
      <c r="D146" s="5"/>
      <c r="E146" s="4">
        <v>8</v>
      </c>
      <c r="F146" s="4">
        <v>12</v>
      </c>
      <c r="G146" s="4">
        <v>10</v>
      </c>
      <c r="H146" s="4">
        <v>27</v>
      </c>
      <c r="I146" s="4">
        <v>9</v>
      </c>
      <c r="J146" s="4">
        <v>9</v>
      </c>
      <c r="K146" s="227"/>
      <c r="L146" s="171" t="s">
        <v>17</v>
      </c>
      <c r="M146" s="4">
        <v>10</v>
      </c>
      <c r="N146" s="4">
        <v>2</v>
      </c>
      <c r="O146" s="4">
        <v>4</v>
      </c>
      <c r="P146" s="4">
        <v>7</v>
      </c>
      <c r="Q146" s="4">
        <v>3</v>
      </c>
      <c r="R146" s="5"/>
      <c r="S146" s="5"/>
      <c r="T146" s="49"/>
      <c r="U146" s="59">
        <f t="shared" si="26"/>
        <v>101</v>
      </c>
      <c r="W146" s="55" t="s">
        <v>61</v>
      </c>
      <c r="X146" s="48">
        <f>SUM(U160:U165)</f>
        <v>1380</v>
      </c>
      <c r="AG146" s="79" t="s">
        <v>15</v>
      </c>
      <c r="AH146" s="79">
        <f t="shared" si="27"/>
        <v>260</v>
      </c>
      <c r="AI146" s="79">
        <f t="shared" si="28"/>
        <v>124</v>
      </c>
      <c r="AJ146" s="79">
        <f t="shared" si="29"/>
        <v>438</v>
      </c>
      <c r="AK146" s="79">
        <f t="shared" si="30"/>
        <v>405</v>
      </c>
      <c r="AL146" s="79">
        <f t="shared" si="31"/>
        <v>394</v>
      </c>
      <c r="AM146" s="79">
        <f t="shared" si="32"/>
        <v>117</v>
      </c>
      <c r="AN146" s="79">
        <f t="shared" si="33"/>
        <v>264</v>
      </c>
    </row>
    <row r="147" spans="1:40" ht="15.75" customHeight="1">
      <c r="A147" s="230"/>
      <c r="B147" s="46" t="s">
        <v>18</v>
      </c>
      <c r="C147" s="64"/>
      <c r="D147" s="64"/>
      <c r="E147" s="46">
        <v>15</v>
      </c>
      <c r="F147" s="46">
        <v>6</v>
      </c>
      <c r="G147" s="46">
        <v>7</v>
      </c>
      <c r="H147" s="46">
        <v>12</v>
      </c>
      <c r="I147" s="46">
        <v>13</v>
      </c>
      <c r="J147" s="46">
        <v>5</v>
      </c>
      <c r="K147" s="227"/>
      <c r="L147" s="173" t="s">
        <v>18</v>
      </c>
      <c r="M147" s="46">
        <v>6</v>
      </c>
      <c r="N147" s="46">
        <v>8</v>
      </c>
      <c r="O147" s="46">
        <v>9</v>
      </c>
      <c r="P147" s="46">
        <v>9</v>
      </c>
      <c r="Q147" s="46">
        <v>3</v>
      </c>
      <c r="R147" s="64"/>
      <c r="S147" s="64"/>
      <c r="T147" s="65"/>
      <c r="U147" s="59">
        <f t="shared" si="26"/>
        <v>93</v>
      </c>
      <c r="W147" s="55" t="s">
        <v>9</v>
      </c>
      <c r="X147" s="48">
        <f>SUM(U166:U171)</f>
        <v>1240</v>
      </c>
      <c r="AG147" s="97" t="s">
        <v>16</v>
      </c>
      <c r="AH147" s="97">
        <f t="shared" si="27"/>
        <v>75</v>
      </c>
      <c r="AI147" s="97">
        <f t="shared" si="28"/>
        <v>45</v>
      </c>
      <c r="AJ147" s="97">
        <f t="shared" si="29"/>
        <v>141</v>
      </c>
      <c r="AK147" s="97">
        <f t="shared" si="30"/>
        <v>154</v>
      </c>
      <c r="AL147" s="97">
        <f t="shared" si="31"/>
        <v>109</v>
      </c>
      <c r="AM147" s="97">
        <f t="shared" si="32"/>
        <v>66</v>
      </c>
      <c r="AN147" s="97">
        <f t="shared" si="33"/>
        <v>112</v>
      </c>
    </row>
    <row r="148" spans="1:40" ht="15.75" customHeight="1">
      <c r="A148" s="193" t="s">
        <v>6</v>
      </c>
      <c r="B148" s="63" t="s">
        <v>13</v>
      </c>
      <c r="C148" s="57"/>
      <c r="D148" s="57"/>
      <c r="E148" s="57"/>
      <c r="F148" s="63">
        <v>13</v>
      </c>
      <c r="G148" s="63">
        <v>37</v>
      </c>
      <c r="H148" s="63">
        <v>33</v>
      </c>
      <c r="I148" s="63" t="s">
        <v>129</v>
      </c>
      <c r="J148" s="63">
        <v>20</v>
      </c>
      <c r="K148" s="218" t="s">
        <v>6</v>
      </c>
      <c r="L148" s="174" t="s">
        <v>13</v>
      </c>
      <c r="M148" s="63">
        <v>13</v>
      </c>
      <c r="N148" s="63">
        <v>17</v>
      </c>
      <c r="O148" s="63">
        <v>15</v>
      </c>
      <c r="P148" s="63">
        <v>23</v>
      </c>
      <c r="Q148" s="57"/>
      <c r="R148" s="57"/>
      <c r="S148" s="57"/>
      <c r="T148" s="58"/>
      <c r="U148" s="59">
        <f t="shared" si="26"/>
        <v>171</v>
      </c>
      <c r="W148" s="55" t="s">
        <v>10</v>
      </c>
      <c r="X148" s="48">
        <f>SUM(U172:U177)</f>
        <v>528</v>
      </c>
      <c r="AG148" s="79" t="s">
        <v>17</v>
      </c>
      <c r="AH148" s="79">
        <f t="shared" si="27"/>
        <v>101</v>
      </c>
      <c r="AI148" s="79">
        <f t="shared" si="28"/>
        <v>30</v>
      </c>
      <c r="AJ148" s="79">
        <f t="shared" si="29"/>
        <v>142</v>
      </c>
      <c r="AK148" s="79">
        <f t="shared" si="30"/>
        <v>122</v>
      </c>
      <c r="AL148" s="79">
        <f t="shared" si="31"/>
        <v>108</v>
      </c>
      <c r="AM148" s="79">
        <f t="shared" si="32"/>
        <v>51</v>
      </c>
      <c r="AN148" s="79">
        <f t="shared" si="33"/>
        <v>91</v>
      </c>
    </row>
    <row r="149" spans="1:40" ht="15.75" customHeight="1">
      <c r="A149" s="230"/>
      <c r="B149" s="6" t="s">
        <v>14</v>
      </c>
      <c r="C149" s="5"/>
      <c r="D149" s="5"/>
      <c r="E149" s="5"/>
      <c r="F149" s="6">
        <v>4</v>
      </c>
      <c r="G149" s="6">
        <v>10</v>
      </c>
      <c r="H149" s="6">
        <v>9</v>
      </c>
      <c r="I149" s="6" t="s">
        <v>129</v>
      </c>
      <c r="J149" s="6">
        <v>9</v>
      </c>
      <c r="K149" s="227"/>
      <c r="L149" s="175" t="s">
        <v>14</v>
      </c>
      <c r="M149" s="6">
        <v>3</v>
      </c>
      <c r="N149" s="6">
        <v>3</v>
      </c>
      <c r="O149" s="6">
        <v>8</v>
      </c>
      <c r="P149" s="6">
        <v>3</v>
      </c>
      <c r="Q149" s="5"/>
      <c r="R149" s="5"/>
      <c r="S149" s="5"/>
      <c r="T149" s="49"/>
      <c r="U149" s="59">
        <f t="shared" si="26"/>
        <v>49</v>
      </c>
      <c r="W149" s="81" t="s">
        <v>11</v>
      </c>
      <c r="X149" s="80">
        <f>SUM(U178:U183)</f>
        <v>1013</v>
      </c>
      <c r="AG149" s="97" t="s">
        <v>18</v>
      </c>
      <c r="AH149" s="97">
        <f t="shared" si="27"/>
        <v>93</v>
      </c>
      <c r="AI149" s="97">
        <f t="shared" si="28"/>
        <v>47</v>
      </c>
      <c r="AJ149" s="97">
        <f t="shared" si="29"/>
        <v>159</v>
      </c>
      <c r="AK149" s="97">
        <f t="shared" si="30"/>
        <v>168</v>
      </c>
      <c r="AL149" s="97">
        <f t="shared" si="31"/>
        <v>129</v>
      </c>
      <c r="AM149" s="97">
        <f t="shared" si="32"/>
        <v>57</v>
      </c>
      <c r="AN149" s="97">
        <f t="shared" si="33"/>
        <v>112</v>
      </c>
    </row>
    <row r="150" spans="1:40" ht="15.75" customHeight="1">
      <c r="A150" s="230"/>
      <c r="B150" s="6" t="s">
        <v>15</v>
      </c>
      <c r="C150" s="5"/>
      <c r="D150" s="5"/>
      <c r="E150" s="5"/>
      <c r="F150" s="6">
        <v>15</v>
      </c>
      <c r="G150" s="6">
        <v>27</v>
      </c>
      <c r="H150" s="6">
        <v>25</v>
      </c>
      <c r="I150" s="6" t="s">
        <v>129</v>
      </c>
      <c r="J150" s="6">
        <v>12</v>
      </c>
      <c r="K150" s="227"/>
      <c r="L150" s="175" t="s">
        <v>15</v>
      </c>
      <c r="M150" s="6">
        <v>9</v>
      </c>
      <c r="N150" s="6">
        <v>12</v>
      </c>
      <c r="O150" s="6">
        <v>12</v>
      </c>
      <c r="P150" s="6">
        <v>12</v>
      </c>
      <c r="Q150" s="5"/>
      <c r="R150" s="5"/>
      <c r="S150" s="5"/>
      <c r="T150" s="49"/>
      <c r="U150" s="59">
        <f t="shared" si="26"/>
        <v>124</v>
      </c>
      <c r="W150" s="79" t="s">
        <v>63</v>
      </c>
      <c r="X150" s="82">
        <f>SUM(X143:X149)</f>
        <v>7018</v>
      </c>
    </row>
    <row r="151" spans="1:40" ht="15.75" customHeight="1">
      <c r="A151" s="230"/>
      <c r="B151" s="6" t="s">
        <v>16</v>
      </c>
      <c r="C151" s="5"/>
      <c r="D151" s="5"/>
      <c r="E151" s="5"/>
      <c r="F151" s="6">
        <v>4</v>
      </c>
      <c r="G151" s="6">
        <v>9</v>
      </c>
      <c r="H151" s="6">
        <v>13</v>
      </c>
      <c r="I151" s="6" t="s">
        <v>129</v>
      </c>
      <c r="J151" s="6">
        <v>6</v>
      </c>
      <c r="K151" s="227"/>
      <c r="L151" s="175" t="s">
        <v>16</v>
      </c>
      <c r="M151" s="6">
        <v>4</v>
      </c>
      <c r="N151" s="6">
        <v>2</v>
      </c>
      <c r="O151" s="6">
        <v>6</v>
      </c>
      <c r="P151" s="6">
        <v>1</v>
      </c>
      <c r="Q151" s="5"/>
      <c r="R151" s="5"/>
      <c r="S151" s="5"/>
      <c r="T151" s="49"/>
      <c r="U151" s="59">
        <f t="shared" si="26"/>
        <v>45</v>
      </c>
    </row>
    <row r="152" spans="1:40" ht="15.75" customHeight="1">
      <c r="A152" s="230"/>
      <c r="B152" s="6" t="s">
        <v>17</v>
      </c>
      <c r="C152" s="5"/>
      <c r="D152" s="5"/>
      <c r="E152" s="5"/>
      <c r="F152" s="6">
        <v>4</v>
      </c>
      <c r="G152" s="6">
        <v>6</v>
      </c>
      <c r="H152" s="6">
        <v>8</v>
      </c>
      <c r="I152" s="6" t="s">
        <v>129</v>
      </c>
      <c r="J152" s="6">
        <v>3</v>
      </c>
      <c r="K152" s="227"/>
      <c r="L152" s="175" t="s">
        <v>17</v>
      </c>
      <c r="M152" s="6">
        <v>3</v>
      </c>
      <c r="N152" s="6">
        <v>2</v>
      </c>
      <c r="O152" s="6">
        <v>2</v>
      </c>
      <c r="P152" s="6">
        <v>2</v>
      </c>
      <c r="Q152" s="5"/>
      <c r="R152" s="5"/>
      <c r="S152" s="5"/>
      <c r="T152" s="49"/>
      <c r="U152" s="59">
        <f t="shared" si="26"/>
        <v>30</v>
      </c>
    </row>
    <row r="153" spans="1:40" ht="15.75" customHeight="1">
      <c r="A153" s="230"/>
      <c r="B153" s="47" t="s">
        <v>18</v>
      </c>
      <c r="C153" s="64"/>
      <c r="D153" s="64"/>
      <c r="E153" s="64"/>
      <c r="F153" s="47">
        <v>5</v>
      </c>
      <c r="G153" s="47">
        <v>10</v>
      </c>
      <c r="H153" s="47">
        <v>7</v>
      </c>
      <c r="I153" s="47" t="s">
        <v>129</v>
      </c>
      <c r="J153" s="47">
        <v>10</v>
      </c>
      <c r="K153" s="227"/>
      <c r="L153" s="176" t="s">
        <v>18</v>
      </c>
      <c r="M153" s="47">
        <v>7</v>
      </c>
      <c r="N153" s="47">
        <v>3</v>
      </c>
      <c r="O153" s="47">
        <v>3</v>
      </c>
      <c r="P153" s="47">
        <v>2</v>
      </c>
      <c r="Q153" s="64"/>
      <c r="R153" s="64"/>
      <c r="S153" s="64"/>
      <c r="T153" s="65"/>
      <c r="U153" s="59">
        <f t="shared" si="26"/>
        <v>47</v>
      </c>
    </row>
    <row r="154" spans="1:40" ht="15.75" customHeight="1">
      <c r="A154" s="195" t="s">
        <v>7</v>
      </c>
      <c r="B154" s="56" t="s">
        <v>13</v>
      </c>
      <c r="C154" s="56">
        <v>19</v>
      </c>
      <c r="D154" s="56">
        <v>15</v>
      </c>
      <c r="E154" s="56">
        <v>18</v>
      </c>
      <c r="F154" s="56">
        <v>24</v>
      </c>
      <c r="G154" s="56">
        <v>34</v>
      </c>
      <c r="H154" s="56">
        <v>48</v>
      </c>
      <c r="I154" s="56">
        <v>40</v>
      </c>
      <c r="J154" s="56">
        <v>29</v>
      </c>
      <c r="K154" s="217" t="s">
        <v>7</v>
      </c>
      <c r="L154" s="169" t="s">
        <v>13</v>
      </c>
      <c r="M154" s="56">
        <v>21</v>
      </c>
      <c r="N154" s="56">
        <v>25</v>
      </c>
      <c r="O154" s="56">
        <v>18</v>
      </c>
      <c r="P154" s="56">
        <v>20</v>
      </c>
      <c r="Q154" s="56">
        <v>40</v>
      </c>
      <c r="R154" s="56">
        <v>28</v>
      </c>
      <c r="S154" s="56">
        <v>15</v>
      </c>
      <c r="T154" s="67">
        <v>11</v>
      </c>
      <c r="U154" s="59">
        <f t="shared" si="26"/>
        <v>405</v>
      </c>
    </row>
    <row r="155" spans="1:40" ht="15.75" customHeight="1">
      <c r="A155" s="230"/>
      <c r="B155" s="4" t="s">
        <v>14</v>
      </c>
      <c r="C155" s="4">
        <v>13</v>
      </c>
      <c r="D155" s="4">
        <v>6</v>
      </c>
      <c r="E155" s="4">
        <v>14</v>
      </c>
      <c r="F155" s="4">
        <v>14</v>
      </c>
      <c r="G155" s="4">
        <v>14</v>
      </c>
      <c r="H155" s="4">
        <v>18</v>
      </c>
      <c r="I155" s="4">
        <v>13</v>
      </c>
      <c r="J155" s="4">
        <v>15</v>
      </c>
      <c r="K155" s="227"/>
      <c r="L155" s="171" t="s">
        <v>14</v>
      </c>
      <c r="M155" s="4">
        <v>12</v>
      </c>
      <c r="N155" s="4">
        <v>14</v>
      </c>
      <c r="O155" s="4">
        <v>14</v>
      </c>
      <c r="P155" s="4">
        <v>12</v>
      </c>
      <c r="Q155" s="4">
        <v>13</v>
      </c>
      <c r="R155" s="4">
        <v>16</v>
      </c>
      <c r="S155" s="4">
        <v>3</v>
      </c>
      <c r="T155" s="50">
        <v>2</v>
      </c>
      <c r="U155" s="59">
        <f t="shared" si="26"/>
        <v>193</v>
      </c>
    </row>
    <row r="156" spans="1:40" ht="15.75" customHeight="1">
      <c r="A156" s="230"/>
      <c r="B156" s="4" t="s">
        <v>15</v>
      </c>
      <c r="C156" s="4">
        <v>23</v>
      </c>
      <c r="D156" s="4">
        <v>21</v>
      </c>
      <c r="E156" s="4">
        <v>28</v>
      </c>
      <c r="F156" s="4">
        <v>31</v>
      </c>
      <c r="G156" s="4">
        <v>39</v>
      </c>
      <c r="H156" s="4">
        <v>32</v>
      </c>
      <c r="I156" s="4">
        <v>30</v>
      </c>
      <c r="J156" s="4">
        <v>20</v>
      </c>
      <c r="K156" s="227"/>
      <c r="L156" s="171" t="s">
        <v>15</v>
      </c>
      <c r="M156" s="4">
        <v>20</v>
      </c>
      <c r="N156" s="4">
        <v>28</v>
      </c>
      <c r="O156" s="4">
        <v>8</v>
      </c>
      <c r="P156" s="4">
        <v>21</v>
      </c>
      <c r="Q156" s="4">
        <v>48</v>
      </c>
      <c r="R156" s="4">
        <v>41</v>
      </c>
      <c r="S156" s="4">
        <v>32</v>
      </c>
      <c r="T156" s="50">
        <v>16</v>
      </c>
      <c r="U156" s="59">
        <f t="shared" si="26"/>
        <v>438</v>
      </c>
    </row>
    <row r="157" spans="1:40" ht="15.75" customHeight="1">
      <c r="A157" s="230"/>
      <c r="B157" s="4" t="s">
        <v>16</v>
      </c>
      <c r="C157" s="4">
        <v>7</v>
      </c>
      <c r="D157" s="4">
        <v>7</v>
      </c>
      <c r="E157" s="4">
        <v>5</v>
      </c>
      <c r="F157" s="4">
        <v>7</v>
      </c>
      <c r="G157" s="4">
        <v>13</v>
      </c>
      <c r="H157" s="4">
        <v>22</v>
      </c>
      <c r="I157" s="4">
        <v>13</v>
      </c>
      <c r="J157" s="4">
        <v>8</v>
      </c>
      <c r="K157" s="227"/>
      <c r="L157" s="171" t="s">
        <v>16</v>
      </c>
      <c r="M157" s="4">
        <v>8</v>
      </c>
      <c r="N157" s="4">
        <v>9</v>
      </c>
      <c r="O157" s="4">
        <v>6</v>
      </c>
      <c r="P157" s="4">
        <v>8</v>
      </c>
      <c r="Q157" s="4">
        <v>5</v>
      </c>
      <c r="R157" s="4">
        <v>11</v>
      </c>
      <c r="S157" s="4">
        <v>10</v>
      </c>
      <c r="T157" s="50">
        <v>2</v>
      </c>
      <c r="U157" s="59">
        <f t="shared" si="26"/>
        <v>141</v>
      </c>
    </row>
    <row r="158" spans="1:40" ht="15.75" customHeight="1">
      <c r="A158" s="230"/>
      <c r="B158" s="4" t="s">
        <v>17</v>
      </c>
      <c r="C158" s="4">
        <v>6</v>
      </c>
      <c r="D158" s="4">
        <v>4</v>
      </c>
      <c r="E158" s="4">
        <v>5</v>
      </c>
      <c r="F158" s="4">
        <v>8</v>
      </c>
      <c r="G158" s="4">
        <v>12</v>
      </c>
      <c r="H158" s="4">
        <v>9</v>
      </c>
      <c r="I158" s="4">
        <v>10</v>
      </c>
      <c r="J158" s="4">
        <v>12</v>
      </c>
      <c r="K158" s="227"/>
      <c r="L158" s="171" t="s">
        <v>17</v>
      </c>
      <c r="M158" s="4">
        <v>10</v>
      </c>
      <c r="N158" s="4">
        <v>7</v>
      </c>
      <c r="O158" s="4">
        <v>15</v>
      </c>
      <c r="P158" s="4">
        <v>9</v>
      </c>
      <c r="Q158" s="4">
        <v>16</v>
      </c>
      <c r="R158" s="4">
        <v>12</v>
      </c>
      <c r="S158" s="4">
        <v>6</v>
      </c>
      <c r="T158" s="50">
        <v>1</v>
      </c>
      <c r="U158" s="59">
        <f t="shared" si="26"/>
        <v>142</v>
      </c>
    </row>
    <row r="159" spans="1:40" ht="15.75" customHeight="1">
      <c r="A159" s="230"/>
      <c r="B159" s="46" t="s">
        <v>18</v>
      </c>
      <c r="C159" s="46">
        <v>19</v>
      </c>
      <c r="D159" s="46">
        <v>8</v>
      </c>
      <c r="E159" s="46">
        <v>6</v>
      </c>
      <c r="F159" s="46">
        <v>8</v>
      </c>
      <c r="G159" s="46">
        <v>17</v>
      </c>
      <c r="H159" s="46">
        <v>20</v>
      </c>
      <c r="I159" s="46">
        <v>18</v>
      </c>
      <c r="J159" s="46">
        <v>10</v>
      </c>
      <c r="K159" s="227"/>
      <c r="L159" s="173" t="s">
        <v>18</v>
      </c>
      <c r="M159" s="46">
        <v>5</v>
      </c>
      <c r="N159" s="46">
        <v>8</v>
      </c>
      <c r="O159" s="46">
        <v>6</v>
      </c>
      <c r="P159" s="46">
        <v>8</v>
      </c>
      <c r="Q159" s="46">
        <v>14</v>
      </c>
      <c r="R159" s="46">
        <v>7</v>
      </c>
      <c r="S159" s="46">
        <v>5</v>
      </c>
      <c r="T159" s="69">
        <v>0</v>
      </c>
      <c r="U159" s="59">
        <f t="shared" si="26"/>
        <v>159</v>
      </c>
    </row>
    <row r="160" spans="1:40" ht="15.75" customHeight="1">
      <c r="A160" s="193" t="s">
        <v>8</v>
      </c>
      <c r="B160" s="63" t="s">
        <v>13</v>
      </c>
      <c r="C160" s="63">
        <v>25</v>
      </c>
      <c r="D160" s="63">
        <v>19</v>
      </c>
      <c r="E160" s="63">
        <v>21</v>
      </c>
      <c r="F160" s="63">
        <v>26</v>
      </c>
      <c r="G160" s="63">
        <v>33</v>
      </c>
      <c r="H160" s="63">
        <v>50</v>
      </c>
      <c r="I160" s="63">
        <v>47</v>
      </c>
      <c r="J160" s="63">
        <v>17</v>
      </c>
      <c r="K160" s="218" t="s">
        <v>8</v>
      </c>
      <c r="L160" s="174" t="s">
        <v>13</v>
      </c>
      <c r="M160" s="63">
        <v>20</v>
      </c>
      <c r="N160" s="63">
        <v>14</v>
      </c>
      <c r="O160" s="63">
        <v>23</v>
      </c>
      <c r="P160" s="63">
        <v>29</v>
      </c>
      <c r="Q160" s="63">
        <v>31</v>
      </c>
      <c r="R160" s="63">
        <v>12</v>
      </c>
      <c r="S160" s="63">
        <v>19</v>
      </c>
      <c r="T160" s="68">
        <v>14</v>
      </c>
      <c r="U160" s="59">
        <f t="shared" si="26"/>
        <v>400</v>
      </c>
    </row>
    <row r="161" spans="1:21" ht="15.75" customHeight="1">
      <c r="A161" s="230"/>
      <c r="B161" s="6" t="s">
        <v>14</v>
      </c>
      <c r="C161" s="6">
        <v>6</v>
      </c>
      <c r="D161" s="6">
        <v>7</v>
      </c>
      <c r="E161" s="6">
        <v>9</v>
      </c>
      <c r="F161" s="6">
        <v>11</v>
      </c>
      <c r="G161" s="6">
        <v>12</v>
      </c>
      <c r="H161" s="6">
        <v>17</v>
      </c>
      <c r="I161" s="6">
        <v>19</v>
      </c>
      <c r="J161" s="6">
        <v>6</v>
      </c>
      <c r="K161" s="227"/>
      <c r="L161" s="175" t="s">
        <v>14</v>
      </c>
      <c r="M161" s="6">
        <v>13</v>
      </c>
      <c r="N161" s="6">
        <v>5</v>
      </c>
      <c r="O161" s="6">
        <v>8</v>
      </c>
      <c r="P161" s="6">
        <v>4</v>
      </c>
      <c r="Q161" s="6">
        <v>2</v>
      </c>
      <c r="R161" s="6">
        <v>6</v>
      </c>
      <c r="S161" s="6">
        <v>3</v>
      </c>
      <c r="T161" s="51">
        <v>3</v>
      </c>
      <c r="U161" s="59">
        <f t="shared" si="26"/>
        <v>131</v>
      </c>
    </row>
    <row r="162" spans="1:21" ht="15.75" customHeight="1">
      <c r="A162" s="230"/>
      <c r="B162" s="6" t="s">
        <v>15</v>
      </c>
      <c r="C162" s="6">
        <v>20</v>
      </c>
      <c r="D162" s="6">
        <v>18</v>
      </c>
      <c r="E162" s="6">
        <v>20</v>
      </c>
      <c r="F162" s="6">
        <v>22</v>
      </c>
      <c r="G162" s="6">
        <v>40</v>
      </c>
      <c r="H162" s="6">
        <v>36</v>
      </c>
      <c r="I162" s="6">
        <v>35</v>
      </c>
      <c r="J162" s="6">
        <v>26</v>
      </c>
      <c r="K162" s="227"/>
      <c r="L162" s="175" t="s">
        <v>15</v>
      </c>
      <c r="M162" s="6">
        <v>24</v>
      </c>
      <c r="N162" s="6">
        <v>21</v>
      </c>
      <c r="O162" s="6">
        <v>30</v>
      </c>
      <c r="P162" s="6">
        <v>28</v>
      </c>
      <c r="Q162" s="6">
        <v>22</v>
      </c>
      <c r="R162" s="6">
        <v>35</v>
      </c>
      <c r="S162" s="6">
        <v>13</v>
      </c>
      <c r="T162" s="51">
        <v>15</v>
      </c>
      <c r="U162" s="59">
        <f t="shared" si="26"/>
        <v>405</v>
      </c>
    </row>
    <row r="163" spans="1:21" ht="15.75" customHeight="1">
      <c r="A163" s="230"/>
      <c r="B163" s="6" t="s">
        <v>16</v>
      </c>
      <c r="C163" s="6">
        <v>3</v>
      </c>
      <c r="D163" s="6">
        <v>5</v>
      </c>
      <c r="E163" s="6">
        <v>6</v>
      </c>
      <c r="F163" s="6">
        <v>12</v>
      </c>
      <c r="G163" s="6">
        <v>15</v>
      </c>
      <c r="H163" s="6">
        <v>23</v>
      </c>
      <c r="I163" s="6">
        <v>28</v>
      </c>
      <c r="J163" s="6">
        <v>5</v>
      </c>
      <c r="K163" s="227"/>
      <c r="L163" s="175" t="s">
        <v>16</v>
      </c>
      <c r="M163" s="6">
        <v>8</v>
      </c>
      <c r="N163" s="6">
        <v>8</v>
      </c>
      <c r="O163" s="6">
        <v>7</v>
      </c>
      <c r="P163" s="6">
        <v>6</v>
      </c>
      <c r="Q163" s="6">
        <v>10</v>
      </c>
      <c r="R163" s="6">
        <v>10</v>
      </c>
      <c r="S163" s="6">
        <v>3</v>
      </c>
      <c r="T163" s="51">
        <v>5</v>
      </c>
      <c r="U163" s="59">
        <f t="shared" si="26"/>
        <v>154</v>
      </c>
    </row>
    <row r="164" spans="1:21" ht="15.75" customHeight="1">
      <c r="A164" s="230"/>
      <c r="B164" s="6" t="s">
        <v>17</v>
      </c>
      <c r="C164" s="6">
        <v>7</v>
      </c>
      <c r="D164" s="6">
        <v>9</v>
      </c>
      <c r="E164" s="6">
        <v>8</v>
      </c>
      <c r="F164" s="6">
        <v>7</v>
      </c>
      <c r="G164" s="6">
        <v>11</v>
      </c>
      <c r="H164" s="6">
        <v>11</v>
      </c>
      <c r="I164" s="6">
        <v>15</v>
      </c>
      <c r="J164" s="6">
        <v>6</v>
      </c>
      <c r="K164" s="227"/>
      <c r="L164" s="175" t="s">
        <v>17</v>
      </c>
      <c r="M164" s="6">
        <v>4</v>
      </c>
      <c r="N164" s="6">
        <v>6</v>
      </c>
      <c r="O164" s="6">
        <v>6</v>
      </c>
      <c r="P164" s="6">
        <v>8</v>
      </c>
      <c r="Q164" s="6">
        <v>8</v>
      </c>
      <c r="R164" s="6">
        <v>9</v>
      </c>
      <c r="S164" s="6">
        <v>4</v>
      </c>
      <c r="T164" s="51">
        <v>3</v>
      </c>
      <c r="U164" s="59">
        <f t="shared" si="26"/>
        <v>122</v>
      </c>
    </row>
    <row r="165" spans="1:21" ht="15.75" customHeight="1">
      <c r="A165" s="230"/>
      <c r="B165" s="47" t="s">
        <v>18</v>
      </c>
      <c r="C165" s="47">
        <v>16</v>
      </c>
      <c r="D165" s="47">
        <v>8</v>
      </c>
      <c r="E165" s="47">
        <v>9</v>
      </c>
      <c r="F165" s="47">
        <v>11</v>
      </c>
      <c r="G165" s="47">
        <v>18</v>
      </c>
      <c r="H165" s="47">
        <v>15</v>
      </c>
      <c r="I165" s="47">
        <v>20</v>
      </c>
      <c r="J165" s="47">
        <v>2</v>
      </c>
      <c r="K165" s="227"/>
      <c r="L165" s="176" t="s">
        <v>18</v>
      </c>
      <c r="M165" s="47">
        <v>5</v>
      </c>
      <c r="N165" s="47">
        <v>7</v>
      </c>
      <c r="O165" s="47">
        <v>3</v>
      </c>
      <c r="P165" s="47">
        <v>11</v>
      </c>
      <c r="Q165" s="47">
        <v>13</v>
      </c>
      <c r="R165" s="47">
        <v>11</v>
      </c>
      <c r="S165" s="47">
        <v>13</v>
      </c>
      <c r="T165" s="70">
        <v>6</v>
      </c>
      <c r="U165" s="59">
        <f t="shared" si="26"/>
        <v>168</v>
      </c>
    </row>
    <row r="166" spans="1:21" ht="15.75" customHeight="1">
      <c r="A166" s="195" t="s">
        <v>9</v>
      </c>
      <c r="B166" s="56" t="s">
        <v>13</v>
      </c>
      <c r="C166" s="56">
        <v>23</v>
      </c>
      <c r="D166" s="56">
        <v>16</v>
      </c>
      <c r="E166" s="56">
        <v>25</v>
      </c>
      <c r="F166" s="56">
        <v>27</v>
      </c>
      <c r="G166" s="56">
        <v>37</v>
      </c>
      <c r="H166" s="56">
        <v>43</v>
      </c>
      <c r="I166" s="56">
        <v>36</v>
      </c>
      <c r="J166" s="56">
        <v>31</v>
      </c>
      <c r="K166" s="217" t="s">
        <v>9</v>
      </c>
      <c r="L166" s="169" t="s">
        <v>13</v>
      </c>
      <c r="M166" s="56">
        <v>23</v>
      </c>
      <c r="N166" s="56">
        <v>16</v>
      </c>
      <c r="O166" s="56">
        <v>15</v>
      </c>
      <c r="P166" s="56">
        <v>30</v>
      </c>
      <c r="Q166" s="56">
        <v>21</v>
      </c>
      <c r="R166" s="56">
        <v>19</v>
      </c>
      <c r="S166" s="56">
        <v>15</v>
      </c>
      <c r="T166" s="67">
        <v>4</v>
      </c>
      <c r="U166" s="59">
        <f t="shared" si="26"/>
        <v>381</v>
      </c>
    </row>
    <row r="167" spans="1:21" ht="15.75" customHeight="1">
      <c r="A167" s="230"/>
      <c r="B167" s="4" t="s">
        <v>14</v>
      </c>
      <c r="C167" s="4">
        <v>8</v>
      </c>
      <c r="D167" s="4">
        <v>4</v>
      </c>
      <c r="E167" s="4">
        <v>13</v>
      </c>
      <c r="F167" s="4">
        <v>8</v>
      </c>
      <c r="G167" s="4">
        <v>6</v>
      </c>
      <c r="H167" s="4">
        <v>16</v>
      </c>
      <c r="I167" s="4">
        <v>13</v>
      </c>
      <c r="J167" s="4">
        <v>12</v>
      </c>
      <c r="K167" s="227"/>
      <c r="L167" s="171" t="s">
        <v>14</v>
      </c>
      <c r="M167" s="4">
        <v>8</v>
      </c>
      <c r="N167" s="4">
        <v>4</v>
      </c>
      <c r="O167" s="4">
        <v>9</v>
      </c>
      <c r="P167" s="4">
        <v>8</v>
      </c>
      <c r="Q167" s="4">
        <v>6</v>
      </c>
      <c r="R167" s="4">
        <v>3</v>
      </c>
      <c r="S167" s="4">
        <v>1</v>
      </c>
      <c r="T167" s="50">
        <v>0</v>
      </c>
      <c r="U167" s="59">
        <f t="shared" si="26"/>
        <v>119</v>
      </c>
    </row>
    <row r="168" spans="1:21" ht="15.75" customHeight="1">
      <c r="A168" s="230"/>
      <c r="B168" s="4" t="s">
        <v>15</v>
      </c>
      <c r="C168" s="4">
        <v>16</v>
      </c>
      <c r="D168" s="4">
        <v>16</v>
      </c>
      <c r="E168" s="4">
        <v>26</v>
      </c>
      <c r="F168" s="4">
        <v>36</v>
      </c>
      <c r="G168" s="4">
        <v>30</v>
      </c>
      <c r="H168" s="4">
        <v>35</v>
      </c>
      <c r="I168" s="4">
        <v>25</v>
      </c>
      <c r="J168" s="4">
        <v>33</v>
      </c>
      <c r="K168" s="227"/>
      <c r="L168" s="171" t="s">
        <v>15</v>
      </c>
      <c r="M168" s="4">
        <v>16</v>
      </c>
      <c r="N168" s="4">
        <v>16</v>
      </c>
      <c r="O168" s="4">
        <v>36</v>
      </c>
      <c r="P168" s="4">
        <v>28</v>
      </c>
      <c r="Q168" s="4">
        <v>31</v>
      </c>
      <c r="R168" s="4">
        <v>25</v>
      </c>
      <c r="S168" s="4">
        <v>15</v>
      </c>
      <c r="T168" s="50">
        <v>10</v>
      </c>
      <c r="U168" s="59">
        <f t="shared" si="26"/>
        <v>394</v>
      </c>
    </row>
    <row r="169" spans="1:21" ht="15.75" customHeight="1">
      <c r="A169" s="230"/>
      <c r="B169" s="4" t="s">
        <v>16</v>
      </c>
      <c r="C169" s="4">
        <v>6</v>
      </c>
      <c r="D169" s="4">
        <v>6</v>
      </c>
      <c r="E169" s="4">
        <v>4</v>
      </c>
      <c r="F169" s="4">
        <v>12</v>
      </c>
      <c r="G169" s="4">
        <v>8</v>
      </c>
      <c r="H169" s="4">
        <v>8</v>
      </c>
      <c r="I169" s="4">
        <v>12</v>
      </c>
      <c r="J169" s="4">
        <v>6</v>
      </c>
      <c r="K169" s="227"/>
      <c r="L169" s="171" t="s">
        <v>16</v>
      </c>
      <c r="M169" s="4">
        <v>6</v>
      </c>
      <c r="N169" s="4">
        <v>6</v>
      </c>
      <c r="O169" s="4">
        <v>8</v>
      </c>
      <c r="P169" s="4">
        <v>9</v>
      </c>
      <c r="Q169" s="4">
        <v>7</v>
      </c>
      <c r="R169" s="4">
        <v>6</v>
      </c>
      <c r="S169" s="4">
        <v>3</v>
      </c>
      <c r="T169" s="50">
        <v>2</v>
      </c>
      <c r="U169" s="59">
        <f t="shared" si="26"/>
        <v>109</v>
      </c>
    </row>
    <row r="170" spans="1:21" ht="15.75" customHeight="1">
      <c r="A170" s="230"/>
      <c r="B170" s="4" t="s">
        <v>17</v>
      </c>
      <c r="C170" s="4">
        <v>6</v>
      </c>
      <c r="D170" s="4">
        <v>4</v>
      </c>
      <c r="E170" s="4">
        <v>8</v>
      </c>
      <c r="F170" s="4">
        <v>14</v>
      </c>
      <c r="G170" s="4">
        <v>14</v>
      </c>
      <c r="H170" s="4">
        <v>20</v>
      </c>
      <c r="I170" s="4">
        <v>5</v>
      </c>
      <c r="J170" s="4">
        <v>6</v>
      </c>
      <c r="K170" s="227"/>
      <c r="L170" s="171" t="s">
        <v>17</v>
      </c>
      <c r="M170" s="4">
        <v>6</v>
      </c>
      <c r="N170" s="4">
        <v>4</v>
      </c>
      <c r="O170" s="4">
        <v>7</v>
      </c>
      <c r="P170" s="4">
        <v>3</v>
      </c>
      <c r="Q170" s="4">
        <v>6</v>
      </c>
      <c r="R170" s="4">
        <v>2</v>
      </c>
      <c r="S170" s="4">
        <v>2</v>
      </c>
      <c r="T170" s="50">
        <v>1</v>
      </c>
      <c r="U170" s="59">
        <f t="shared" si="26"/>
        <v>108</v>
      </c>
    </row>
    <row r="171" spans="1:21" ht="15.75" customHeight="1">
      <c r="A171" s="230"/>
      <c r="B171" s="46" t="s">
        <v>18</v>
      </c>
      <c r="C171" s="46">
        <v>12</v>
      </c>
      <c r="D171" s="46">
        <v>4</v>
      </c>
      <c r="E171" s="46">
        <v>6</v>
      </c>
      <c r="F171" s="46">
        <v>7</v>
      </c>
      <c r="G171" s="46">
        <v>10</v>
      </c>
      <c r="H171" s="46">
        <v>10</v>
      </c>
      <c r="I171" s="46">
        <v>14</v>
      </c>
      <c r="J171" s="46">
        <v>12</v>
      </c>
      <c r="K171" s="227"/>
      <c r="L171" s="173" t="s">
        <v>18</v>
      </c>
      <c r="M171" s="46">
        <v>12</v>
      </c>
      <c r="N171" s="46">
        <v>4</v>
      </c>
      <c r="O171" s="46">
        <v>7</v>
      </c>
      <c r="P171" s="46">
        <v>6</v>
      </c>
      <c r="Q171" s="46">
        <v>10</v>
      </c>
      <c r="R171" s="46">
        <v>5</v>
      </c>
      <c r="S171" s="46">
        <v>9</v>
      </c>
      <c r="T171" s="69">
        <v>1</v>
      </c>
      <c r="U171" s="59">
        <f t="shared" si="26"/>
        <v>129</v>
      </c>
    </row>
    <row r="172" spans="1:21" ht="15.75" customHeight="1">
      <c r="A172" s="193" t="s">
        <v>10</v>
      </c>
      <c r="B172" s="63" t="s">
        <v>13</v>
      </c>
      <c r="C172" s="121">
        <v>3</v>
      </c>
      <c r="D172" s="121">
        <v>6</v>
      </c>
      <c r="E172" s="121">
        <v>15</v>
      </c>
      <c r="F172" s="121">
        <v>24</v>
      </c>
      <c r="G172" s="121">
        <v>37</v>
      </c>
      <c r="H172" s="121">
        <v>40</v>
      </c>
      <c r="I172" s="121">
        <v>35</v>
      </c>
      <c r="J172" s="121">
        <v>16</v>
      </c>
      <c r="K172" s="218" t="s">
        <v>10</v>
      </c>
      <c r="L172" s="174" t="s">
        <v>13</v>
      </c>
      <c r="M172" s="121"/>
      <c r="N172" s="121"/>
      <c r="O172" s="121"/>
      <c r="P172" s="121"/>
      <c r="Q172" s="121"/>
      <c r="R172" s="121"/>
      <c r="S172" s="121"/>
      <c r="T172" s="124"/>
      <c r="U172" s="59">
        <f t="shared" si="26"/>
        <v>176</v>
      </c>
    </row>
    <row r="173" spans="1:21" ht="15.75" customHeight="1">
      <c r="A173" s="230"/>
      <c r="B173" s="6" t="s">
        <v>14</v>
      </c>
      <c r="C173" s="122">
        <v>3</v>
      </c>
      <c r="D173" s="122">
        <v>1</v>
      </c>
      <c r="E173" s="122">
        <v>5</v>
      </c>
      <c r="F173" s="122">
        <v>6</v>
      </c>
      <c r="G173" s="122">
        <v>9</v>
      </c>
      <c r="H173" s="122">
        <v>15</v>
      </c>
      <c r="I173" s="122">
        <v>16</v>
      </c>
      <c r="J173" s="122">
        <v>6</v>
      </c>
      <c r="K173" s="227"/>
      <c r="L173" s="175" t="s">
        <v>14</v>
      </c>
      <c r="M173" s="122"/>
      <c r="N173" s="122"/>
      <c r="O173" s="122"/>
      <c r="P173" s="122"/>
      <c r="Q173" s="122"/>
      <c r="R173" s="122"/>
      <c r="S173" s="122"/>
      <c r="T173" s="125"/>
      <c r="U173" s="59">
        <f t="shared" si="26"/>
        <v>61</v>
      </c>
    </row>
    <row r="174" spans="1:21" ht="15.75" customHeight="1">
      <c r="A174" s="230"/>
      <c r="B174" s="6" t="s">
        <v>15</v>
      </c>
      <c r="C174" s="122">
        <v>6</v>
      </c>
      <c r="D174" s="122">
        <v>6</v>
      </c>
      <c r="E174" s="122">
        <v>6</v>
      </c>
      <c r="F174" s="122">
        <v>16</v>
      </c>
      <c r="G174" s="122">
        <v>18</v>
      </c>
      <c r="H174" s="122">
        <v>39</v>
      </c>
      <c r="I174" s="122">
        <v>10</v>
      </c>
      <c r="J174" s="122">
        <v>16</v>
      </c>
      <c r="K174" s="227"/>
      <c r="L174" s="175" t="s">
        <v>15</v>
      </c>
      <c r="M174" s="122"/>
      <c r="N174" s="122"/>
      <c r="O174" s="122"/>
      <c r="P174" s="122"/>
      <c r="Q174" s="122"/>
      <c r="R174" s="122"/>
      <c r="S174" s="122"/>
      <c r="T174" s="125"/>
      <c r="U174" s="59">
        <f t="shared" si="26"/>
        <v>117</v>
      </c>
    </row>
    <row r="175" spans="1:21" ht="15.75" customHeight="1">
      <c r="A175" s="230"/>
      <c r="B175" s="6" t="s">
        <v>16</v>
      </c>
      <c r="C175" s="122">
        <v>1</v>
      </c>
      <c r="D175" s="122">
        <v>0</v>
      </c>
      <c r="E175" s="122">
        <v>4</v>
      </c>
      <c r="F175" s="122">
        <v>4</v>
      </c>
      <c r="G175" s="122">
        <v>16</v>
      </c>
      <c r="H175" s="122">
        <v>14</v>
      </c>
      <c r="I175" s="122">
        <v>15</v>
      </c>
      <c r="J175" s="122">
        <v>12</v>
      </c>
      <c r="K175" s="227"/>
      <c r="L175" s="175" t="s">
        <v>16</v>
      </c>
      <c r="M175" s="122"/>
      <c r="N175" s="122"/>
      <c r="O175" s="122"/>
      <c r="P175" s="122"/>
      <c r="Q175" s="122"/>
      <c r="R175" s="122"/>
      <c r="S175" s="122"/>
      <c r="T175" s="125"/>
      <c r="U175" s="59">
        <f t="shared" si="26"/>
        <v>66</v>
      </c>
    </row>
    <row r="176" spans="1:21" ht="15.75" customHeight="1">
      <c r="A176" s="230"/>
      <c r="B176" s="6" t="s">
        <v>17</v>
      </c>
      <c r="C176" s="122">
        <v>1</v>
      </c>
      <c r="D176" s="122">
        <v>4</v>
      </c>
      <c r="E176" s="122">
        <v>5</v>
      </c>
      <c r="F176" s="122">
        <v>7</v>
      </c>
      <c r="G176" s="122">
        <v>10</v>
      </c>
      <c r="H176" s="122">
        <v>6</v>
      </c>
      <c r="I176" s="122">
        <v>7</v>
      </c>
      <c r="J176" s="122">
        <v>11</v>
      </c>
      <c r="K176" s="227"/>
      <c r="L176" s="175" t="s">
        <v>17</v>
      </c>
      <c r="M176" s="122"/>
      <c r="N176" s="122"/>
      <c r="O176" s="122"/>
      <c r="P176" s="122"/>
      <c r="Q176" s="122"/>
      <c r="R176" s="122"/>
      <c r="S176" s="122"/>
      <c r="T176" s="125"/>
      <c r="U176" s="59">
        <f t="shared" si="26"/>
        <v>51</v>
      </c>
    </row>
    <row r="177" spans="1:40" ht="15.75" customHeight="1">
      <c r="A177" s="230"/>
      <c r="B177" s="47" t="s">
        <v>18</v>
      </c>
      <c r="C177" s="123">
        <v>2</v>
      </c>
      <c r="D177" s="123">
        <v>4</v>
      </c>
      <c r="E177" s="123">
        <v>4</v>
      </c>
      <c r="F177" s="123">
        <v>8</v>
      </c>
      <c r="G177" s="123">
        <v>8</v>
      </c>
      <c r="H177" s="123">
        <v>13</v>
      </c>
      <c r="I177" s="123">
        <v>8</v>
      </c>
      <c r="J177" s="123">
        <v>10</v>
      </c>
      <c r="K177" s="227"/>
      <c r="L177" s="176" t="s">
        <v>18</v>
      </c>
      <c r="M177" s="123"/>
      <c r="N177" s="123"/>
      <c r="O177" s="123"/>
      <c r="P177" s="123"/>
      <c r="Q177" s="123"/>
      <c r="R177" s="123"/>
      <c r="S177" s="123"/>
      <c r="T177" s="126"/>
      <c r="U177" s="59">
        <f t="shared" si="26"/>
        <v>57</v>
      </c>
    </row>
    <row r="178" spans="1:40" ht="15.75" customHeight="1">
      <c r="A178" s="195" t="s">
        <v>11</v>
      </c>
      <c r="B178" s="56" t="s">
        <v>13</v>
      </c>
      <c r="C178" s="127">
        <v>3</v>
      </c>
      <c r="D178" s="127">
        <v>6</v>
      </c>
      <c r="E178" s="127">
        <v>15</v>
      </c>
      <c r="F178" s="127">
        <v>24</v>
      </c>
      <c r="G178" s="127">
        <v>37</v>
      </c>
      <c r="H178" s="127">
        <v>40</v>
      </c>
      <c r="I178" s="127">
        <v>35</v>
      </c>
      <c r="J178" s="127">
        <v>16</v>
      </c>
      <c r="K178" s="217" t="s">
        <v>11</v>
      </c>
      <c r="L178" s="169" t="s">
        <v>13</v>
      </c>
      <c r="M178" s="127">
        <v>32</v>
      </c>
      <c r="N178" s="127">
        <v>27</v>
      </c>
      <c r="O178" s="127">
        <v>21</v>
      </c>
      <c r="P178" s="127">
        <v>26</v>
      </c>
      <c r="Q178" s="127">
        <v>15</v>
      </c>
      <c r="R178" s="127">
        <v>10</v>
      </c>
      <c r="S178" s="127">
        <v>16</v>
      </c>
      <c r="T178" s="130">
        <v>4</v>
      </c>
      <c r="U178" s="59">
        <f t="shared" si="26"/>
        <v>327</v>
      </c>
    </row>
    <row r="179" spans="1:40" ht="15.75" customHeight="1">
      <c r="A179" s="230"/>
      <c r="B179" s="4" t="s">
        <v>14</v>
      </c>
      <c r="C179" s="128">
        <v>3</v>
      </c>
      <c r="D179" s="128">
        <v>1</v>
      </c>
      <c r="E179" s="128">
        <v>5</v>
      </c>
      <c r="F179" s="128">
        <v>6</v>
      </c>
      <c r="G179" s="128">
        <v>9</v>
      </c>
      <c r="H179" s="128">
        <v>15</v>
      </c>
      <c r="I179" s="128">
        <v>16</v>
      </c>
      <c r="J179" s="128">
        <v>8</v>
      </c>
      <c r="K179" s="227"/>
      <c r="L179" s="171" t="s">
        <v>14</v>
      </c>
      <c r="M179" s="128">
        <v>12</v>
      </c>
      <c r="N179" s="128">
        <v>10</v>
      </c>
      <c r="O179" s="128">
        <v>7</v>
      </c>
      <c r="P179" s="128">
        <v>9</v>
      </c>
      <c r="Q179" s="128">
        <v>3</v>
      </c>
      <c r="R179" s="128">
        <v>1</v>
      </c>
      <c r="S179" s="128">
        <v>1</v>
      </c>
      <c r="T179" s="131">
        <v>1</v>
      </c>
      <c r="U179" s="59">
        <f t="shared" si="26"/>
        <v>107</v>
      </c>
    </row>
    <row r="180" spans="1:40" ht="15.75" customHeight="1">
      <c r="A180" s="230"/>
      <c r="B180" s="4" t="s">
        <v>15</v>
      </c>
      <c r="C180" s="128">
        <v>5</v>
      </c>
      <c r="D180" s="128">
        <v>5</v>
      </c>
      <c r="E180" s="128">
        <v>5</v>
      </c>
      <c r="F180" s="128">
        <v>16</v>
      </c>
      <c r="G180" s="128">
        <v>18</v>
      </c>
      <c r="H180" s="128">
        <v>39</v>
      </c>
      <c r="I180" s="128">
        <v>10</v>
      </c>
      <c r="J180" s="128">
        <v>16</v>
      </c>
      <c r="K180" s="227"/>
      <c r="L180" s="171" t="s">
        <v>15</v>
      </c>
      <c r="M180" s="128">
        <v>29</v>
      </c>
      <c r="N180" s="128">
        <v>24</v>
      </c>
      <c r="O180" s="128">
        <v>21</v>
      </c>
      <c r="P180" s="128">
        <v>24</v>
      </c>
      <c r="Q180" s="128">
        <v>25</v>
      </c>
      <c r="R180" s="128">
        <v>15</v>
      </c>
      <c r="S180" s="128">
        <v>1</v>
      </c>
      <c r="T180" s="131">
        <v>11</v>
      </c>
      <c r="U180" s="59">
        <f t="shared" si="26"/>
        <v>264</v>
      </c>
    </row>
    <row r="181" spans="1:40" ht="15.75" customHeight="1">
      <c r="A181" s="230"/>
      <c r="B181" s="4" t="s">
        <v>16</v>
      </c>
      <c r="C181" s="128">
        <v>1</v>
      </c>
      <c r="D181" s="128">
        <v>0</v>
      </c>
      <c r="E181" s="128">
        <v>4</v>
      </c>
      <c r="F181" s="128">
        <v>4</v>
      </c>
      <c r="G181" s="128">
        <v>16</v>
      </c>
      <c r="H181" s="128">
        <v>14</v>
      </c>
      <c r="I181" s="128">
        <v>15</v>
      </c>
      <c r="J181" s="128">
        <v>12</v>
      </c>
      <c r="K181" s="227"/>
      <c r="L181" s="171" t="s">
        <v>16</v>
      </c>
      <c r="M181" s="128">
        <v>9</v>
      </c>
      <c r="N181" s="128">
        <v>7</v>
      </c>
      <c r="O181" s="128">
        <v>5</v>
      </c>
      <c r="P181" s="128">
        <v>8</v>
      </c>
      <c r="Q181" s="128">
        <v>9</v>
      </c>
      <c r="R181" s="128">
        <v>4</v>
      </c>
      <c r="S181" s="128">
        <v>2</v>
      </c>
      <c r="T181" s="131">
        <v>2</v>
      </c>
      <c r="U181" s="59">
        <f t="shared" si="26"/>
        <v>112</v>
      </c>
    </row>
    <row r="182" spans="1:40" ht="15.75" customHeight="1">
      <c r="A182" s="230"/>
      <c r="B182" s="4" t="s">
        <v>17</v>
      </c>
      <c r="C182" s="128">
        <v>1</v>
      </c>
      <c r="D182" s="128">
        <v>4</v>
      </c>
      <c r="E182" s="128">
        <v>5</v>
      </c>
      <c r="F182" s="128">
        <v>7</v>
      </c>
      <c r="G182" s="128">
        <v>10</v>
      </c>
      <c r="H182" s="128">
        <v>6</v>
      </c>
      <c r="I182" s="128">
        <v>7</v>
      </c>
      <c r="J182" s="128">
        <v>11</v>
      </c>
      <c r="K182" s="227"/>
      <c r="L182" s="171" t="s">
        <v>17</v>
      </c>
      <c r="M182" s="128">
        <v>4</v>
      </c>
      <c r="N182" s="128">
        <v>9</v>
      </c>
      <c r="O182" s="128">
        <v>7</v>
      </c>
      <c r="P182" s="128">
        <v>4</v>
      </c>
      <c r="Q182" s="128">
        <v>2</v>
      </c>
      <c r="R182" s="128">
        <v>3</v>
      </c>
      <c r="S182" s="128">
        <v>5</v>
      </c>
      <c r="T182" s="131">
        <v>6</v>
      </c>
      <c r="U182" s="59">
        <f t="shared" si="26"/>
        <v>91</v>
      </c>
    </row>
    <row r="183" spans="1:40" ht="15.75" customHeight="1">
      <c r="A183" s="231"/>
      <c r="B183" s="61" t="s">
        <v>18</v>
      </c>
      <c r="C183" s="129">
        <v>2</v>
      </c>
      <c r="D183" s="129">
        <v>4</v>
      </c>
      <c r="E183" s="129">
        <v>4</v>
      </c>
      <c r="F183" s="129">
        <v>8</v>
      </c>
      <c r="G183" s="129">
        <v>8</v>
      </c>
      <c r="H183" s="129">
        <v>13</v>
      </c>
      <c r="I183" s="129">
        <v>8</v>
      </c>
      <c r="J183" s="129">
        <v>16</v>
      </c>
      <c r="K183" s="232"/>
      <c r="L183" s="177" t="s">
        <v>18</v>
      </c>
      <c r="M183" s="129">
        <v>7</v>
      </c>
      <c r="N183" s="129">
        <v>10</v>
      </c>
      <c r="O183" s="129">
        <v>8</v>
      </c>
      <c r="P183" s="129">
        <v>7</v>
      </c>
      <c r="Q183" s="129">
        <v>10</v>
      </c>
      <c r="R183" s="129">
        <v>2</v>
      </c>
      <c r="S183" s="129">
        <v>4</v>
      </c>
      <c r="T183" s="132">
        <v>1</v>
      </c>
      <c r="U183" s="59">
        <f t="shared" si="26"/>
        <v>112</v>
      </c>
    </row>
    <row r="185" spans="1:40" ht="15.75" customHeight="1">
      <c r="A185" s="1"/>
      <c r="B185" s="1"/>
      <c r="C185" s="183" t="s">
        <v>0</v>
      </c>
      <c r="D185" s="225"/>
      <c r="E185" s="225"/>
      <c r="F185" s="225"/>
      <c r="G185" s="226"/>
      <c r="H185" s="2"/>
      <c r="I185" s="1"/>
    </row>
    <row r="186" spans="1:40" ht="15.75" customHeight="1">
      <c r="A186" s="1"/>
      <c r="B186" s="183" t="s">
        <v>1</v>
      </c>
      <c r="C186" s="225"/>
      <c r="D186" s="226"/>
      <c r="E186" s="1"/>
      <c r="F186" s="184" t="s">
        <v>130</v>
      </c>
      <c r="G186" s="225"/>
      <c r="H186" s="226"/>
      <c r="I186" s="1"/>
      <c r="K186" s="1"/>
      <c r="L186" s="183" t="s">
        <v>26</v>
      </c>
      <c r="M186" s="225"/>
      <c r="N186" s="226"/>
      <c r="O186" s="1"/>
      <c r="P186" s="184" t="s">
        <v>130</v>
      </c>
      <c r="Q186" s="225"/>
      <c r="R186" s="226"/>
      <c r="S186" s="1"/>
    </row>
    <row r="187" spans="1:40" ht="15.75" customHeight="1">
      <c r="A187" s="54" t="s">
        <v>35</v>
      </c>
      <c r="B187" s="54" t="s">
        <v>4</v>
      </c>
      <c r="C187" s="54" t="s">
        <v>12</v>
      </c>
      <c r="D187" s="54" t="s">
        <v>19</v>
      </c>
      <c r="E187" s="54" t="s">
        <v>20</v>
      </c>
      <c r="F187" s="54" t="s">
        <v>21</v>
      </c>
      <c r="G187" s="54" t="s">
        <v>22</v>
      </c>
      <c r="H187" s="54" t="s">
        <v>23</v>
      </c>
      <c r="I187" s="54" t="s">
        <v>24</v>
      </c>
      <c r="J187" s="54" t="s">
        <v>25</v>
      </c>
      <c r="K187" s="54" t="s">
        <v>35</v>
      </c>
      <c r="L187" s="54" t="s">
        <v>4</v>
      </c>
      <c r="M187" s="54" t="s">
        <v>27</v>
      </c>
      <c r="N187" s="54" t="s">
        <v>28</v>
      </c>
      <c r="O187" s="54" t="s">
        <v>29</v>
      </c>
      <c r="P187" s="54" t="s">
        <v>30</v>
      </c>
      <c r="Q187" s="54" t="s">
        <v>31</v>
      </c>
      <c r="R187" s="54" t="s">
        <v>32</v>
      </c>
      <c r="S187" s="54" t="s">
        <v>33</v>
      </c>
      <c r="T187" s="54" t="s">
        <v>34</v>
      </c>
      <c r="U187" s="54" t="s">
        <v>55</v>
      </c>
    </row>
    <row r="188" spans="1:40" ht="15.75" customHeight="1">
      <c r="A188" s="195" t="s">
        <v>131</v>
      </c>
      <c r="B188" s="56" t="s">
        <v>13</v>
      </c>
      <c r="C188" s="168"/>
      <c r="D188" s="168"/>
      <c r="E188" s="56">
        <v>5</v>
      </c>
      <c r="F188" s="56">
        <v>30</v>
      </c>
      <c r="G188" s="56">
        <v>35</v>
      </c>
      <c r="H188" s="56">
        <v>45</v>
      </c>
      <c r="I188" s="56">
        <v>46</v>
      </c>
      <c r="J188" s="56">
        <v>31</v>
      </c>
      <c r="K188" s="196" t="s">
        <v>5</v>
      </c>
      <c r="L188" s="56" t="s">
        <v>13</v>
      </c>
      <c r="M188" s="56">
        <v>35</v>
      </c>
      <c r="N188" s="56">
        <v>31</v>
      </c>
      <c r="O188" s="56">
        <v>22</v>
      </c>
      <c r="P188" s="56">
        <v>26</v>
      </c>
      <c r="Q188" s="56">
        <v>11</v>
      </c>
      <c r="R188" s="57"/>
      <c r="S188" s="57"/>
      <c r="T188" s="58"/>
      <c r="U188" s="59">
        <f>SUM(M188:T188,C188:J188)</f>
        <v>317</v>
      </c>
      <c r="W188" s="197" t="s">
        <v>2</v>
      </c>
      <c r="X188" s="198"/>
      <c r="AG188" s="190" t="s">
        <v>58</v>
      </c>
      <c r="AH188" s="191"/>
      <c r="AI188" s="191"/>
      <c r="AJ188" s="191"/>
      <c r="AK188" s="191"/>
      <c r="AL188" s="191"/>
      <c r="AM188" s="191"/>
      <c r="AN188" s="192"/>
    </row>
    <row r="189" spans="1:40" ht="15.75" customHeight="1">
      <c r="A189" s="230"/>
      <c r="B189" s="4" t="s">
        <v>14</v>
      </c>
      <c r="C189" s="170"/>
      <c r="D189" s="170"/>
      <c r="E189" s="4">
        <v>3</v>
      </c>
      <c r="F189" s="4">
        <v>8</v>
      </c>
      <c r="G189" s="4">
        <v>1</v>
      </c>
      <c r="H189" s="4">
        <v>10</v>
      </c>
      <c r="I189" s="4">
        <v>9</v>
      </c>
      <c r="J189" s="4">
        <v>10</v>
      </c>
      <c r="K189" s="205"/>
      <c r="L189" s="4" t="s">
        <v>14</v>
      </c>
      <c r="M189" s="4">
        <v>12</v>
      </c>
      <c r="N189" s="4">
        <v>5</v>
      </c>
      <c r="O189" s="4">
        <v>6</v>
      </c>
      <c r="P189" s="4">
        <v>4</v>
      </c>
      <c r="Q189" s="4">
        <v>2</v>
      </c>
      <c r="R189" s="5"/>
      <c r="S189" s="5"/>
      <c r="T189" s="49"/>
      <c r="U189" s="59">
        <f t="shared" ref="U189:U229" si="34">SUM(M189:T189,C189:J189)</f>
        <v>70</v>
      </c>
      <c r="W189" s="55" t="s">
        <v>5</v>
      </c>
      <c r="X189" s="48">
        <f>SUM(U188:U193)</f>
        <v>878</v>
      </c>
      <c r="AG189" s="98" t="s">
        <v>4</v>
      </c>
      <c r="AH189" s="98" t="s">
        <v>5</v>
      </c>
      <c r="AI189" s="98" t="s">
        <v>6</v>
      </c>
      <c r="AJ189" s="98" t="s">
        <v>7</v>
      </c>
      <c r="AK189" s="98" t="s">
        <v>8</v>
      </c>
      <c r="AL189" s="98" t="s">
        <v>9</v>
      </c>
      <c r="AM189" s="98" t="s">
        <v>10</v>
      </c>
      <c r="AN189" s="98" t="s">
        <v>11</v>
      </c>
    </row>
    <row r="190" spans="1:40" ht="15.75" customHeight="1">
      <c r="A190" s="230"/>
      <c r="B190" s="4" t="s">
        <v>15</v>
      </c>
      <c r="C190" s="170"/>
      <c r="D190" s="170"/>
      <c r="E190" s="4">
        <v>3</v>
      </c>
      <c r="F190" s="4">
        <v>12</v>
      </c>
      <c r="G190" s="4">
        <v>18</v>
      </c>
      <c r="H190" s="4">
        <v>25</v>
      </c>
      <c r="I190" s="4">
        <v>33</v>
      </c>
      <c r="J190" s="4">
        <v>31</v>
      </c>
      <c r="K190" s="205"/>
      <c r="L190" s="4" t="s">
        <v>15</v>
      </c>
      <c r="M190" s="4">
        <v>27</v>
      </c>
      <c r="N190" s="4">
        <v>30</v>
      </c>
      <c r="O190" s="4">
        <v>25</v>
      </c>
      <c r="P190" s="4">
        <v>33</v>
      </c>
      <c r="Q190" s="4">
        <v>11</v>
      </c>
      <c r="R190" s="5"/>
      <c r="S190" s="5"/>
      <c r="T190" s="49"/>
      <c r="U190" s="59">
        <f t="shared" si="34"/>
        <v>248</v>
      </c>
      <c r="W190" s="55" t="s">
        <v>6</v>
      </c>
      <c r="X190" s="48">
        <f>SUM(U194:U199)</f>
        <v>722</v>
      </c>
      <c r="AG190" s="79" t="s">
        <v>13</v>
      </c>
      <c r="AH190" s="79">
        <f t="shared" ref="AH190:AH195" si="35">U188</f>
        <v>317</v>
      </c>
      <c r="AI190" s="79">
        <f t="shared" ref="AI190:AI195" si="36">U194</f>
        <v>227</v>
      </c>
      <c r="AJ190" s="79">
        <f t="shared" ref="AJ190:AJ195" si="37">U200</f>
        <v>467</v>
      </c>
      <c r="AK190" s="79">
        <f t="shared" ref="AK190:AK195" si="38">U206</f>
        <v>355</v>
      </c>
      <c r="AL190" s="79">
        <f t="shared" ref="AL190:AL195" si="39">U212</f>
        <v>384</v>
      </c>
      <c r="AM190" s="79">
        <f t="shared" ref="AM190:AM195" si="40">U218</f>
        <v>373</v>
      </c>
      <c r="AN190" s="79">
        <f t="shared" ref="AN190:AN195" si="41">U224</f>
        <v>225</v>
      </c>
    </row>
    <row r="191" spans="1:40" ht="15.75" customHeight="1">
      <c r="A191" s="230"/>
      <c r="B191" s="4" t="s">
        <v>16</v>
      </c>
      <c r="C191" s="170"/>
      <c r="D191" s="170"/>
      <c r="E191" s="4">
        <v>2</v>
      </c>
      <c r="F191" s="4">
        <v>0</v>
      </c>
      <c r="G191" s="4">
        <v>10</v>
      </c>
      <c r="H191" s="4">
        <v>7</v>
      </c>
      <c r="I191" s="4">
        <v>17</v>
      </c>
      <c r="J191" s="4">
        <v>8</v>
      </c>
      <c r="K191" s="205"/>
      <c r="L191" s="4" t="s">
        <v>16</v>
      </c>
      <c r="M191" s="4">
        <v>7</v>
      </c>
      <c r="N191" s="4">
        <v>12</v>
      </c>
      <c r="O191" s="4">
        <v>6</v>
      </c>
      <c r="P191" s="4">
        <v>5</v>
      </c>
      <c r="Q191" s="4">
        <v>10</v>
      </c>
      <c r="R191" s="5"/>
      <c r="S191" s="5"/>
      <c r="T191" s="49"/>
      <c r="U191" s="59">
        <f t="shared" si="34"/>
        <v>84</v>
      </c>
      <c r="W191" s="55" t="s">
        <v>7</v>
      </c>
      <c r="X191" s="48">
        <f>SUM(U200:U205)</f>
        <v>1533</v>
      </c>
      <c r="AG191" s="97" t="s">
        <v>14</v>
      </c>
      <c r="AH191" s="97">
        <f t="shared" si="35"/>
        <v>70</v>
      </c>
      <c r="AI191" s="97">
        <f t="shared" si="36"/>
        <v>67</v>
      </c>
      <c r="AJ191" s="97">
        <f t="shared" si="37"/>
        <v>162</v>
      </c>
      <c r="AK191" s="97">
        <f t="shared" si="38"/>
        <v>111</v>
      </c>
      <c r="AL191" s="97">
        <f t="shared" si="39"/>
        <v>177</v>
      </c>
      <c r="AM191" s="97">
        <f t="shared" si="40"/>
        <v>134</v>
      </c>
      <c r="AN191" s="97">
        <f t="shared" si="41"/>
        <v>109</v>
      </c>
    </row>
    <row r="192" spans="1:40" ht="15.75" customHeight="1">
      <c r="A192" s="230"/>
      <c r="B192" s="4" t="s">
        <v>17</v>
      </c>
      <c r="C192" s="170"/>
      <c r="D192" s="170"/>
      <c r="E192" s="4">
        <v>2</v>
      </c>
      <c r="F192" s="4">
        <v>7</v>
      </c>
      <c r="G192" s="4">
        <v>4</v>
      </c>
      <c r="H192" s="4">
        <v>12</v>
      </c>
      <c r="I192" s="4">
        <v>14</v>
      </c>
      <c r="J192" s="4">
        <v>9</v>
      </c>
      <c r="K192" s="205"/>
      <c r="L192" s="4" t="s">
        <v>17</v>
      </c>
      <c r="M192" s="4">
        <v>12</v>
      </c>
      <c r="N192" s="4">
        <v>9</v>
      </c>
      <c r="O192" s="4">
        <v>4</v>
      </c>
      <c r="P192" s="4">
        <v>5</v>
      </c>
      <c r="Q192" s="4">
        <v>6</v>
      </c>
      <c r="R192" s="5"/>
      <c r="S192" s="5"/>
      <c r="T192" s="49"/>
      <c r="U192" s="59">
        <f t="shared" si="34"/>
        <v>84</v>
      </c>
      <c r="W192" s="55" t="s">
        <v>61</v>
      </c>
      <c r="X192" s="48">
        <f>SUM(U206:U211)</f>
        <v>1219</v>
      </c>
      <c r="AG192" s="79" t="s">
        <v>15</v>
      </c>
      <c r="AH192" s="79">
        <f t="shared" si="35"/>
        <v>248</v>
      </c>
      <c r="AI192" s="79">
        <f t="shared" si="36"/>
        <v>187</v>
      </c>
      <c r="AJ192" s="79">
        <f t="shared" si="37"/>
        <v>423</v>
      </c>
      <c r="AK192" s="79">
        <f t="shared" si="38"/>
        <v>345</v>
      </c>
      <c r="AL192" s="79">
        <f t="shared" si="39"/>
        <v>354</v>
      </c>
      <c r="AM192" s="79">
        <f t="shared" si="40"/>
        <v>293</v>
      </c>
      <c r="AN192" s="79">
        <f t="shared" si="41"/>
        <v>181</v>
      </c>
    </row>
    <row r="193" spans="1:40" ht="15.75" customHeight="1">
      <c r="A193" s="230"/>
      <c r="B193" s="46" t="s">
        <v>18</v>
      </c>
      <c r="C193" s="172"/>
      <c r="D193" s="172"/>
      <c r="E193" s="46">
        <v>3</v>
      </c>
      <c r="F193" s="46">
        <v>6</v>
      </c>
      <c r="G193" s="46">
        <v>5</v>
      </c>
      <c r="H193" s="46">
        <v>10</v>
      </c>
      <c r="I193" s="46">
        <v>10</v>
      </c>
      <c r="J193" s="46">
        <v>11</v>
      </c>
      <c r="K193" s="205"/>
      <c r="L193" s="46" t="s">
        <v>18</v>
      </c>
      <c r="M193" s="46">
        <v>6</v>
      </c>
      <c r="N193" s="46">
        <v>10</v>
      </c>
      <c r="O193" s="46">
        <v>7</v>
      </c>
      <c r="P193" s="46">
        <v>4</v>
      </c>
      <c r="Q193" s="46">
        <v>3</v>
      </c>
      <c r="R193" s="64"/>
      <c r="S193" s="64"/>
      <c r="T193" s="65"/>
      <c r="U193" s="59">
        <f t="shared" si="34"/>
        <v>75</v>
      </c>
      <c r="W193" s="55" t="s">
        <v>9</v>
      </c>
      <c r="X193" s="48">
        <f>SUM(U212:U217)</f>
        <v>1288</v>
      </c>
      <c r="AG193" s="97" t="s">
        <v>16</v>
      </c>
      <c r="AH193" s="97">
        <f t="shared" si="35"/>
        <v>84</v>
      </c>
      <c r="AI193" s="97">
        <f t="shared" si="36"/>
        <v>119</v>
      </c>
      <c r="AJ193" s="97">
        <f t="shared" si="37"/>
        <v>178</v>
      </c>
      <c r="AK193" s="97">
        <f t="shared" si="38"/>
        <v>126</v>
      </c>
      <c r="AL193" s="97">
        <f t="shared" si="39"/>
        <v>156</v>
      </c>
      <c r="AM193" s="97">
        <f t="shared" si="40"/>
        <v>133</v>
      </c>
      <c r="AN193" s="97">
        <f t="shared" si="41"/>
        <v>80</v>
      </c>
    </row>
    <row r="194" spans="1:40" ht="15.75" customHeight="1">
      <c r="A194" s="193" t="s">
        <v>6</v>
      </c>
      <c r="B194" s="63" t="s">
        <v>13</v>
      </c>
      <c r="C194" s="168"/>
      <c r="D194" s="168"/>
      <c r="E194" s="57"/>
      <c r="F194" s="63">
        <v>23</v>
      </c>
      <c r="G194" s="63">
        <v>41</v>
      </c>
      <c r="H194" s="63">
        <v>44</v>
      </c>
      <c r="I194" s="63">
        <v>40</v>
      </c>
      <c r="J194" s="63">
        <v>30</v>
      </c>
      <c r="K194" s="194" t="s">
        <v>6</v>
      </c>
      <c r="L194" s="63" t="s">
        <v>13</v>
      </c>
      <c r="M194" s="63">
        <v>19</v>
      </c>
      <c r="N194" s="63">
        <v>11</v>
      </c>
      <c r="O194" s="63">
        <v>9</v>
      </c>
      <c r="P194" s="63">
        <v>10</v>
      </c>
      <c r="Q194" s="57"/>
      <c r="R194" s="57"/>
      <c r="S194" s="57"/>
      <c r="T194" s="58"/>
      <c r="U194" s="59">
        <f t="shared" si="34"/>
        <v>227</v>
      </c>
      <c r="W194" s="55" t="s">
        <v>10</v>
      </c>
      <c r="X194" s="48">
        <f>SUM(U218:U223)</f>
        <v>1161</v>
      </c>
      <c r="AG194" s="79" t="s">
        <v>17</v>
      </c>
      <c r="AH194" s="79">
        <f t="shared" si="35"/>
        <v>84</v>
      </c>
      <c r="AI194" s="79">
        <f t="shared" si="36"/>
        <v>60</v>
      </c>
      <c r="AJ194" s="79">
        <f t="shared" si="37"/>
        <v>135</v>
      </c>
      <c r="AK194" s="79">
        <f t="shared" si="38"/>
        <v>141</v>
      </c>
      <c r="AL194" s="79">
        <f t="shared" si="39"/>
        <v>99</v>
      </c>
      <c r="AM194" s="79">
        <f t="shared" si="40"/>
        <v>115</v>
      </c>
      <c r="AN194" s="79">
        <f t="shared" si="41"/>
        <v>50</v>
      </c>
    </row>
    <row r="195" spans="1:40" ht="15.75" customHeight="1">
      <c r="A195" s="230"/>
      <c r="B195" s="6" t="s">
        <v>14</v>
      </c>
      <c r="C195" s="170"/>
      <c r="D195" s="170"/>
      <c r="E195" s="5"/>
      <c r="F195" s="6">
        <v>4</v>
      </c>
      <c r="G195" s="6">
        <v>8</v>
      </c>
      <c r="H195" s="6">
        <v>6</v>
      </c>
      <c r="I195" s="6">
        <v>6</v>
      </c>
      <c r="J195" s="6">
        <v>11</v>
      </c>
      <c r="K195" s="205"/>
      <c r="L195" s="6" t="s">
        <v>14</v>
      </c>
      <c r="M195" s="6">
        <v>11</v>
      </c>
      <c r="N195" s="6">
        <v>7</v>
      </c>
      <c r="O195" s="6">
        <v>6</v>
      </c>
      <c r="P195" s="6">
        <v>8</v>
      </c>
      <c r="Q195" s="5"/>
      <c r="R195" s="5"/>
      <c r="S195" s="5"/>
      <c r="T195" s="49"/>
      <c r="U195" s="59">
        <f t="shared" si="34"/>
        <v>67</v>
      </c>
      <c r="W195" s="81" t="s">
        <v>11</v>
      </c>
      <c r="X195" s="80">
        <f>SUM(U224:U229)</f>
        <v>701</v>
      </c>
      <c r="AG195" s="97" t="s">
        <v>18</v>
      </c>
      <c r="AH195" s="97">
        <f t="shared" si="35"/>
        <v>75</v>
      </c>
      <c r="AI195" s="97">
        <f t="shared" si="36"/>
        <v>62</v>
      </c>
      <c r="AJ195" s="97">
        <f t="shared" si="37"/>
        <v>168</v>
      </c>
      <c r="AK195" s="97">
        <f t="shared" si="38"/>
        <v>141</v>
      </c>
      <c r="AL195" s="97">
        <f t="shared" si="39"/>
        <v>118</v>
      </c>
      <c r="AM195" s="97">
        <f t="shared" si="40"/>
        <v>113</v>
      </c>
      <c r="AN195" s="97">
        <f t="shared" si="41"/>
        <v>56</v>
      </c>
    </row>
    <row r="196" spans="1:40" ht="15.75" customHeight="1">
      <c r="A196" s="230"/>
      <c r="B196" s="6" t="s">
        <v>15</v>
      </c>
      <c r="C196" s="170"/>
      <c r="D196" s="170"/>
      <c r="E196" s="5"/>
      <c r="F196" s="6">
        <v>17</v>
      </c>
      <c r="G196" s="6">
        <v>27</v>
      </c>
      <c r="H196" s="6">
        <v>22</v>
      </c>
      <c r="I196" s="6">
        <v>25</v>
      </c>
      <c r="J196" s="6">
        <v>28</v>
      </c>
      <c r="K196" s="205"/>
      <c r="L196" s="6" t="s">
        <v>15</v>
      </c>
      <c r="M196" s="6">
        <v>24</v>
      </c>
      <c r="N196" s="6">
        <v>9</v>
      </c>
      <c r="O196" s="6">
        <v>20</v>
      </c>
      <c r="P196" s="6">
        <v>15</v>
      </c>
      <c r="Q196" s="5"/>
      <c r="R196" s="5"/>
      <c r="S196" s="5"/>
      <c r="T196" s="49"/>
      <c r="U196" s="59">
        <f t="shared" si="34"/>
        <v>187</v>
      </c>
      <c r="W196" s="79" t="s">
        <v>63</v>
      </c>
      <c r="X196" s="82">
        <f>SUM(X189:X195)</f>
        <v>7502</v>
      </c>
    </row>
    <row r="197" spans="1:40" ht="15.75" customHeight="1">
      <c r="A197" s="230"/>
      <c r="B197" s="6" t="s">
        <v>16</v>
      </c>
      <c r="C197" s="170"/>
      <c r="D197" s="170"/>
      <c r="E197" s="5"/>
      <c r="F197" s="6">
        <v>14</v>
      </c>
      <c r="G197" s="6">
        <v>12</v>
      </c>
      <c r="H197" s="6">
        <v>15</v>
      </c>
      <c r="I197" s="6">
        <v>9</v>
      </c>
      <c r="J197" s="6">
        <v>7</v>
      </c>
      <c r="K197" s="205"/>
      <c r="L197" s="6" t="s">
        <v>16</v>
      </c>
      <c r="M197" s="6">
        <v>22</v>
      </c>
      <c r="N197" s="6">
        <v>7</v>
      </c>
      <c r="O197" s="6">
        <v>15</v>
      </c>
      <c r="P197" s="6">
        <v>18</v>
      </c>
      <c r="Q197" s="5"/>
      <c r="R197" s="5"/>
      <c r="S197" s="5"/>
      <c r="T197" s="49"/>
      <c r="U197" s="59">
        <f t="shared" si="34"/>
        <v>119</v>
      </c>
    </row>
    <row r="198" spans="1:40" ht="15.75" customHeight="1">
      <c r="A198" s="230"/>
      <c r="B198" s="6" t="s">
        <v>17</v>
      </c>
      <c r="C198" s="170"/>
      <c r="D198" s="170"/>
      <c r="E198" s="5"/>
      <c r="F198" s="6">
        <v>5</v>
      </c>
      <c r="G198" s="6">
        <v>9</v>
      </c>
      <c r="H198" s="6">
        <v>8</v>
      </c>
      <c r="I198" s="6">
        <v>7</v>
      </c>
      <c r="J198" s="6">
        <v>6</v>
      </c>
      <c r="K198" s="205"/>
      <c r="L198" s="6" t="s">
        <v>17</v>
      </c>
      <c r="M198" s="6">
        <v>7</v>
      </c>
      <c r="N198" s="6">
        <v>5</v>
      </c>
      <c r="O198" s="6">
        <v>7</v>
      </c>
      <c r="P198" s="6">
        <v>6</v>
      </c>
      <c r="Q198" s="5"/>
      <c r="R198" s="5"/>
      <c r="S198" s="5"/>
      <c r="T198" s="49"/>
      <c r="U198" s="59">
        <f t="shared" si="34"/>
        <v>60</v>
      </c>
    </row>
    <row r="199" spans="1:40" ht="15.75" customHeight="1">
      <c r="A199" s="230"/>
      <c r="B199" s="47" t="s">
        <v>18</v>
      </c>
      <c r="C199" s="172"/>
      <c r="D199" s="172"/>
      <c r="E199" s="64"/>
      <c r="F199" s="47">
        <v>4</v>
      </c>
      <c r="G199" s="47">
        <v>9</v>
      </c>
      <c r="H199" s="47">
        <v>12</v>
      </c>
      <c r="I199" s="47">
        <v>6</v>
      </c>
      <c r="J199" s="47">
        <v>8</v>
      </c>
      <c r="K199" s="205"/>
      <c r="L199" s="47" t="s">
        <v>18</v>
      </c>
      <c r="M199" s="47">
        <v>7</v>
      </c>
      <c r="N199" s="47">
        <v>7</v>
      </c>
      <c r="O199" s="47">
        <v>5</v>
      </c>
      <c r="P199" s="47">
        <v>4</v>
      </c>
      <c r="Q199" s="64"/>
      <c r="R199" s="64"/>
      <c r="S199" s="64"/>
      <c r="T199" s="65"/>
      <c r="U199" s="59">
        <f t="shared" si="34"/>
        <v>62</v>
      </c>
    </row>
    <row r="200" spans="1:40" ht="15.75" customHeight="1">
      <c r="A200" s="195" t="s">
        <v>7</v>
      </c>
      <c r="B200" s="56" t="s">
        <v>13</v>
      </c>
      <c r="C200" s="56">
        <v>17</v>
      </c>
      <c r="D200" s="56">
        <v>26</v>
      </c>
      <c r="E200" s="56">
        <v>24</v>
      </c>
      <c r="F200" s="56">
        <v>23</v>
      </c>
      <c r="G200" s="56">
        <v>36</v>
      </c>
      <c r="H200" s="56">
        <v>44</v>
      </c>
      <c r="I200" s="56">
        <v>31</v>
      </c>
      <c r="J200" s="56">
        <v>34</v>
      </c>
      <c r="K200" s="196" t="s">
        <v>7</v>
      </c>
      <c r="L200" s="56" t="s">
        <v>13</v>
      </c>
      <c r="M200" s="56">
        <v>20</v>
      </c>
      <c r="N200" s="56">
        <v>19</v>
      </c>
      <c r="O200" s="56">
        <v>25</v>
      </c>
      <c r="P200" s="56">
        <v>42</v>
      </c>
      <c r="Q200" s="56">
        <v>40</v>
      </c>
      <c r="R200" s="56">
        <v>32</v>
      </c>
      <c r="S200" s="56">
        <v>31</v>
      </c>
      <c r="T200" s="67">
        <v>23</v>
      </c>
      <c r="U200" s="59">
        <f t="shared" si="34"/>
        <v>467</v>
      </c>
    </row>
    <row r="201" spans="1:40" ht="15.75" customHeight="1">
      <c r="A201" s="230"/>
      <c r="B201" s="4" t="s">
        <v>14</v>
      </c>
      <c r="C201" s="4">
        <v>5</v>
      </c>
      <c r="D201" s="4">
        <v>11</v>
      </c>
      <c r="E201" s="4">
        <v>17</v>
      </c>
      <c r="F201" s="4">
        <v>11</v>
      </c>
      <c r="G201" s="4">
        <v>13</v>
      </c>
      <c r="H201" s="4">
        <v>7</v>
      </c>
      <c r="I201" s="4">
        <v>17</v>
      </c>
      <c r="J201" s="4">
        <v>9</v>
      </c>
      <c r="K201" s="205"/>
      <c r="L201" s="4" t="s">
        <v>14</v>
      </c>
      <c r="M201" s="4">
        <v>10</v>
      </c>
      <c r="N201" s="4">
        <v>12</v>
      </c>
      <c r="O201" s="4">
        <v>9</v>
      </c>
      <c r="P201" s="4">
        <v>10</v>
      </c>
      <c r="Q201" s="4">
        <v>10</v>
      </c>
      <c r="R201" s="4">
        <v>7</v>
      </c>
      <c r="S201" s="4">
        <v>6</v>
      </c>
      <c r="T201" s="50">
        <v>8</v>
      </c>
      <c r="U201" s="59">
        <f t="shared" si="34"/>
        <v>162</v>
      </c>
    </row>
    <row r="202" spans="1:40" ht="15.75" customHeight="1">
      <c r="A202" s="230"/>
      <c r="B202" s="4" t="s">
        <v>15</v>
      </c>
      <c r="C202" s="4">
        <v>25</v>
      </c>
      <c r="D202" s="4">
        <v>22</v>
      </c>
      <c r="E202" s="4">
        <v>21</v>
      </c>
      <c r="F202" s="4">
        <v>21</v>
      </c>
      <c r="G202" s="4">
        <v>31</v>
      </c>
      <c r="H202" s="4">
        <v>28</v>
      </c>
      <c r="I202" s="4">
        <v>24</v>
      </c>
      <c r="J202" s="4">
        <v>18</v>
      </c>
      <c r="K202" s="205"/>
      <c r="L202" s="4" t="s">
        <v>15</v>
      </c>
      <c r="M202" s="4">
        <v>20</v>
      </c>
      <c r="N202" s="4">
        <v>25</v>
      </c>
      <c r="O202" s="4">
        <v>26</v>
      </c>
      <c r="P202" s="4">
        <v>41</v>
      </c>
      <c r="Q202" s="4">
        <v>32</v>
      </c>
      <c r="R202" s="4">
        <v>35</v>
      </c>
      <c r="S202" s="4">
        <v>33</v>
      </c>
      <c r="T202" s="50">
        <v>21</v>
      </c>
      <c r="U202" s="59">
        <f t="shared" si="34"/>
        <v>423</v>
      </c>
    </row>
    <row r="203" spans="1:40" ht="15.75" customHeight="1">
      <c r="A203" s="230"/>
      <c r="B203" s="4" t="s">
        <v>16</v>
      </c>
      <c r="C203" s="4">
        <v>7</v>
      </c>
      <c r="D203" s="4">
        <v>7</v>
      </c>
      <c r="E203" s="4">
        <v>8</v>
      </c>
      <c r="F203" s="4">
        <v>10</v>
      </c>
      <c r="G203" s="4">
        <v>12</v>
      </c>
      <c r="H203" s="4">
        <v>29</v>
      </c>
      <c r="I203" s="4">
        <v>16</v>
      </c>
      <c r="J203" s="4">
        <v>9</v>
      </c>
      <c r="K203" s="205"/>
      <c r="L203" s="4" t="s">
        <v>16</v>
      </c>
      <c r="M203" s="4">
        <v>12</v>
      </c>
      <c r="N203" s="4">
        <v>8</v>
      </c>
      <c r="O203" s="4">
        <v>6</v>
      </c>
      <c r="P203" s="4">
        <v>14</v>
      </c>
      <c r="Q203" s="4">
        <v>10</v>
      </c>
      <c r="R203" s="4">
        <v>12</v>
      </c>
      <c r="S203" s="4">
        <v>10</v>
      </c>
      <c r="T203" s="50">
        <v>8</v>
      </c>
      <c r="U203" s="59">
        <f t="shared" si="34"/>
        <v>178</v>
      </c>
    </row>
    <row r="204" spans="1:40" ht="15.75" customHeight="1">
      <c r="A204" s="230"/>
      <c r="B204" s="4" t="s">
        <v>17</v>
      </c>
      <c r="C204" s="4">
        <v>4</v>
      </c>
      <c r="D204" s="4">
        <v>6</v>
      </c>
      <c r="E204" s="4">
        <v>4</v>
      </c>
      <c r="F204" s="4">
        <v>2</v>
      </c>
      <c r="G204" s="4">
        <v>13</v>
      </c>
      <c r="H204" s="4">
        <v>15</v>
      </c>
      <c r="I204" s="4">
        <v>10</v>
      </c>
      <c r="J204" s="4">
        <v>5</v>
      </c>
      <c r="K204" s="205"/>
      <c r="L204" s="4" t="s">
        <v>17</v>
      </c>
      <c r="M204" s="4">
        <v>10</v>
      </c>
      <c r="N204" s="4">
        <v>11</v>
      </c>
      <c r="O204" s="4">
        <v>8</v>
      </c>
      <c r="P204" s="4">
        <v>11</v>
      </c>
      <c r="Q204" s="4">
        <v>12</v>
      </c>
      <c r="R204" s="4">
        <v>12</v>
      </c>
      <c r="S204" s="4">
        <v>8</v>
      </c>
      <c r="T204" s="50">
        <v>4</v>
      </c>
      <c r="U204" s="59">
        <f t="shared" si="34"/>
        <v>135</v>
      </c>
    </row>
    <row r="205" spans="1:40" ht="15.75" customHeight="1">
      <c r="A205" s="230"/>
      <c r="B205" s="46" t="s">
        <v>18</v>
      </c>
      <c r="C205" s="46">
        <v>5</v>
      </c>
      <c r="D205" s="46">
        <v>6</v>
      </c>
      <c r="E205" s="46">
        <v>11</v>
      </c>
      <c r="F205" s="46">
        <v>5</v>
      </c>
      <c r="G205" s="46">
        <v>13</v>
      </c>
      <c r="H205" s="46">
        <v>18</v>
      </c>
      <c r="I205" s="46">
        <v>12</v>
      </c>
      <c r="J205" s="46">
        <v>10</v>
      </c>
      <c r="K205" s="205"/>
      <c r="L205" s="46" t="s">
        <v>18</v>
      </c>
      <c r="M205" s="46">
        <v>8</v>
      </c>
      <c r="N205" s="46">
        <v>7</v>
      </c>
      <c r="O205" s="46">
        <v>9</v>
      </c>
      <c r="P205" s="46">
        <v>12</v>
      </c>
      <c r="Q205" s="46">
        <v>22</v>
      </c>
      <c r="R205" s="46">
        <v>14</v>
      </c>
      <c r="S205" s="46">
        <v>8</v>
      </c>
      <c r="T205" s="69">
        <v>8</v>
      </c>
      <c r="U205" s="59">
        <f t="shared" si="34"/>
        <v>168</v>
      </c>
    </row>
    <row r="206" spans="1:40" ht="15.75" customHeight="1">
      <c r="A206" s="193" t="s">
        <v>8</v>
      </c>
      <c r="B206" s="63" t="s">
        <v>13</v>
      </c>
      <c r="C206" s="63">
        <v>27</v>
      </c>
      <c r="D206" s="63">
        <v>16</v>
      </c>
      <c r="E206" s="63">
        <v>20</v>
      </c>
      <c r="F206" s="63">
        <v>19</v>
      </c>
      <c r="G206" s="63">
        <v>24</v>
      </c>
      <c r="H206" s="63">
        <v>28</v>
      </c>
      <c r="I206" s="63">
        <v>19</v>
      </c>
      <c r="J206" s="63">
        <v>23</v>
      </c>
      <c r="K206" s="194" t="s">
        <v>8</v>
      </c>
      <c r="L206" s="63" t="s">
        <v>13</v>
      </c>
      <c r="M206" s="63">
        <v>10</v>
      </c>
      <c r="N206" s="63">
        <v>22</v>
      </c>
      <c r="O206" s="63">
        <v>20</v>
      </c>
      <c r="P206" s="63">
        <v>39</v>
      </c>
      <c r="Q206" s="63">
        <v>33</v>
      </c>
      <c r="R206" s="63">
        <v>27</v>
      </c>
      <c r="S206" s="63">
        <v>21</v>
      </c>
      <c r="T206" s="68">
        <v>7</v>
      </c>
      <c r="U206" s="59">
        <f t="shared" si="34"/>
        <v>355</v>
      </c>
    </row>
    <row r="207" spans="1:40" ht="15.75" customHeight="1">
      <c r="A207" s="230"/>
      <c r="B207" s="6" t="s">
        <v>14</v>
      </c>
      <c r="C207" s="6">
        <v>3</v>
      </c>
      <c r="D207" s="6">
        <v>5</v>
      </c>
      <c r="E207" s="6">
        <v>8</v>
      </c>
      <c r="F207" s="6">
        <v>9</v>
      </c>
      <c r="G207" s="6">
        <v>12</v>
      </c>
      <c r="H207" s="6">
        <v>12</v>
      </c>
      <c r="I207" s="6">
        <v>12</v>
      </c>
      <c r="J207" s="6">
        <v>7</v>
      </c>
      <c r="K207" s="227"/>
      <c r="L207" s="6" t="s">
        <v>14</v>
      </c>
      <c r="M207" s="6">
        <v>10</v>
      </c>
      <c r="N207" s="6">
        <v>10</v>
      </c>
      <c r="O207" s="6">
        <v>4</v>
      </c>
      <c r="P207" s="6">
        <v>6</v>
      </c>
      <c r="Q207" s="6">
        <v>2</v>
      </c>
      <c r="R207" s="6">
        <v>4</v>
      </c>
      <c r="S207" s="6">
        <v>5</v>
      </c>
      <c r="T207" s="51">
        <v>2</v>
      </c>
      <c r="U207" s="59">
        <f t="shared" si="34"/>
        <v>111</v>
      </c>
    </row>
    <row r="208" spans="1:40" ht="15.75" customHeight="1">
      <c r="A208" s="230"/>
      <c r="B208" s="6" t="s">
        <v>15</v>
      </c>
      <c r="C208" s="6">
        <v>16</v>
      </c>
      <c r="D208" s="6">
        <v>24</v>
      </c>
      <c r="E208" s="6">
        <v>21</v>
      </c>
      <c r="F208" s="6">
        <v>18</v>
      </c>
      <c r="G208" s="6">
        <v>20</v>
      </c>
      <c r="H208" s="6">
        <v>16</v>
      </c>
      <c r="I208" s="6">
        <v>21</v>
      </c>
      <c r="J208" s="6">
        <v>19</v>
      </c>
      <c r="K208" s="227"/>
      <c r="L208" s="6" t="s">
        <v>15</v>
      </c>
      <c r="M208" s="6">
        <v>13</v>
      </c>
      <c r="N208" s="6">
        <v>23</v>
      </c>
      <c r="O208" s="6">
        <v>23</v>
      </c>
      <c r="P208" s="6">
        <v>28</v>
      </c>
      <c r="Q208" s="6">
        <v>38</v>
      </c>
      <c r="R208" s="6">
        <v>26</v>
      </c>
      <c r="S208" s="6">
        <v>21</v>
      </c>
      <c r="T208" s="51">
        <v>18</v>
      </c>
      <c r="U208" s="59">
        <f t="shared" si="34"/>
        <v>345</v>
      </c>
    </row>
    <row r="209" spans="1:21" ht="15.75" customHeight="1">
      <c r="A209" s="230"/>
      <c r="B209" s="6" t="s">
        <v>16</v>
      </c>
      <c r="C209" s="6">
        <v>5</v>
      </c>
      <c r="D209" s="6">
        <v>4</v>
      </c>
      <c r="E209" s="6">
        <v>3</v>
      </c>
      <c r="F209" s="6">
        <v>6</v>
      </c>
      <c r="G209" s="6">
        <v>5</v>
      </c>
      <c r="H209" s="6">
        <v>14</v>
      </c>
      <c r="I209" s="6">
        <v>8</v>
      </c>
      <c r="J209" s="6">
        <v>7</v>
      </c>
      <c r="K209" s="227"/>
      <c r="L209" s="6" t="s">
        <v>16</v>
      </c>
      <c r="M209" s="6">
        <v>7</v>
      </c>
      <c r="N209" s="6">
        <v>5</v>
      </c>
      <c r="O209" s="6">
        <v>7</v>
      </c>
      <c r="P209" s="6">
        <v>8</v>
      </c>
      <c r="Q209" s="6">
        <v>20</v>
      </c>
      <c r="R209" s="6">
        <v>13</v>
      </c>
      <c r="S209" s="6">
        <v>9</v>
      </c>
      <c r="T209" s="51">
        <v>5</v>
      </c>
      <c r="U209" s="59">
        <f t="shared" si="34"/>
        <v>126</v>
      </c>
    </row>
    <row r="210" spans="1:21" ht="15.75" customHeight="1">
      <c r="A210" s="230"/>
      <c r="B210" s="6" t="s">
        <v>17</v>
      </c>
      <c r="C210" s="6">
        <v>11</v>
      </c>
      <c r="D210" s="6">
        <v>5</v>
      </c>
      <c r="E210" s="6">
        <v>7</v>
      </c>
      <c r="F210" s="6">
        <v>8</v>
      </c>
      <c r="G210" s="6">
        <v>6</v>
      </c>
      <c r="H210" s="6">
        <v>13</v>
      </c>
      <c r="I210" s="6">
        <v>11</v>
      </c>
      <c r="J210" s="6">
        <v>13</v>
      </c>
      <c r="K210" s="227"/>
      <c r="L210" s="6" t="s">
        <v>17</v>
      </c>
      <c r="M210" s="6">
        <v>8</v>
      </c>
      <c r="N210" s="6">
        <v>10</v>
      </c>
      <c r="O210" s="6">
        <v>5</v>
      </c>
      <c r="P210" s="6">
        <v>12</v>
      </c>
      <c r="Q210" s="6">
        <v>10</v>
      </c>
      <c r="R210" s="6">
        <v>11</v>
      </c>
      <c r="S210" s="6">
        <v>7</v>
      </c>
      <c r="T210" s="51">
        <v>4</v>
      </c>
      <c r="U210" s="59">
        <f t="shared" si="34"/>
        <v>141</v>
      </c>
    </row>
    <row r="211" spans="1:21" ht="15.75" customHeight="1">
      <c r="A211" s="230"/>
      <c r="B211" s="47" t="s">
        <v>18</v>
      </c>
      <c r="C211" s="47">
        <v>14</v>
      </c>
      <c r="D211" s="47">
        <v>8</v>
      </c>
      <c r="E211" s="47">
        <v>9</v>
      </c>
      <c r="F211" s="47">
        <v>7</v>
      </c>
      <c r="G211" s="47">
        <v>6</v>
      </c>
      <c r="H211" s="47">
        <v>16</v>
      </c>
      <c r="I211" s="47">
        <v>8</v>
      </c>
      <c r="J211" s="47">
        <v>12</v>
      </c>
      <c r="K211" s="227"/>
      <c r="L211" s="47" t="s">
        <v>18</v>
      </c>
      <c r="M211" s="47">
        <v>4</v>
      </c>
      <c r="N211" s="47">
        <v>5</v>
      </c>
      <c r="O211" s="47">
        <v>7</v>
      </c>
      <c r="P211" s="47">
        <v>10</v>
      </c>
      <c r="Q211" s="47">
        <v>14</v>
      </c>
      <c r="R211" s="47">
        <v>10</v>
      </c>
      <c r="S211" s="47">
        <v>9</v>
      </c>
      <c r="T211" s="70">
        <v>2</v>
      </c>
      <c r="U211" s="59">
        <f t="shared" si="34"/>
        <v>141</v>
      </c>
    </row>
    <row r="212" spans="1:21" ht="15.75" customHeight="1">
      <c r="A212" s="195" t="s">
        <v>9</v>
      </c>
      <c r="B212" s="56" t="s">
        <v>13</v>
      </c>
      <c r="C212" s="56">
        <v>19</v>
      </c>
      <c r="D212" s="56">
        <v>28</v>
      </c>
      <c r="E212" s="56">
        <v>24</v>
      </c>
      <c r="F212" s="56">
        <v>24</v>
      </c>
      <c r="G212" s="56">
        <v>46</v>
      </c>
      <c r="H212" s="56">
        <v>33</v>
      </c>
      <c r="I212" s="56">
        <v>25</v>
      </c>
      <c r="J212" s="56">
        <v>10</v>
      </c>
      <c r="K212" s="196" t="s">
        <v>9</v>
      </c>
      <c r="L212" s="56" t="s">
        <v>13</v>
      </c>
      <c r="M212" s="56">
        <v>11</v>
      </c>
      <c r="N212" s="56">
        <v>21</v>
      </c>
      <c r="O212" s="56">
        <v>25</v>
      </c>
      <c r="P212" s="56">
        <v>37</v>
      </c>
      <c r="Q212" s="56">
        <v>29</v>
      </c>
      <c r="R212" s="56">
        <v>29</v>
      </c>
      <c r="S212" s="56">
        <v>17</v>
      </c>
      <c r="T212" s="67">
        <v>6</v>
      </c>
      <c r="U212" s="59">
        <f>SUM(M212:T212,C212:J212)</f>
        <v>384</v>
      </c>
    </row>
    <row r="213" spans="1:21" ht="15.75" customHeight="1">
      <c r="A213" s="230"/>
      <c r="B213" s="4" t="s">
        <v>14</v>
      </c>
      <c r="C213" s="4">
        <v>10</v>
      </c>
      <c r="D213" s="4">
        <v>15</v>
      </c>
      <c r="E213" s="4">
        <v>12</v>
      </c>
      <c r="F213" s="4">
        <v>16</v>
      </c>
      <c r="G213" s="4">
        <v>24</v>
      </c>
      <c r="H213" s="4">
        <v>20</v>
      </c>
      <c r="I213" s="4">
        <v>17</v>
      </c>
      <c r="J213" s="4">
        <v>12</v>
      </c>
      <c r="K213" s="227"/>
      <c r="L213" s="4" t="s">
        <v>14</v>
      </c>
      <c r="M213" s="4">
        <v>8</v>
      </c>
      <c r="N213" s="4">
        <v>7</v>
      </c>
      <c r="O213" s="4">
        <v>6</v>
      </c>
      <c r="P213" s="4">
        <v>9</v>
      </c>
      <c r="Q213" s="4">
        <v>6</v>
      </c>
      <c r="R213" s="4">
        <v>9</v>
      </c>
      <c r="S213" s="4">
        <v>2</v>
      </c>
      <c r="T213" s="50">
        <v>4</v>
      </c>
      <c r="U213" s="59">
        <f t="shared" si="34"/>
        <v>177</v>
      </c>
    </row>
    <row r="214" spans="1:21" ht="15.75" customHeight="1">
      <c r="A214" s="230"/>
      <c r="B214" s="4" t="s">
        <v>15</v>
      </c>
      <c r="C214" s="4">
        <v>26</v>
      </c>
      <c r="D214" s="4">
        <v>22</v>
      </c>
      <c r="E214" s="4">
        <v>18</v>
      </c>
      <c r="F214" s="4">
        <v>22</v>
      </c>
      <c r="G214" s="4">
        <v>27</v>
      </c>
      <c r="H214" s="4">
        <v>24</v>
      </c>
      <c r="I214" s="4">
        <v>14</v>
      </c>
      <c r="J214" s="4">
        <v>15</v>
      </c>
      <c r="K214" s="227"/>
      <c r="L214" s="4" t="s">
        <v>15</v>
      </c>
      <c r="M214" s="4">
        <v>15</v>
      </c>
      <c r="N214" s="4">
        <v>19</v>
      </c>
      <c r="O214" s="4">
        <v>24</v>
      </c>
      <c r="P214" s="4">
        <v>33</v>
      </c>
      <c r="Q214" s="4">
        <v>26</v>
      </c>
      <c r="R214" s="4">
        <v>22</v>
      </c>
      <c r="S214" s="4">
        <v>27</v>
      </c>
      <c r="T214" s="50">
        <v>20</v>
      </c>
      <c r="U214" s="59">
        <f t="shared" si="34"/>
        <v>354</v>
      </c>
    </row>
    <row r="215" spans="1:21" ht="15.75" customHeight="1">
      <c r="A215" s="230"/>
      <c r="B215" s="4" t="s">
        <v>16</v>
      </c>
      <c r="C215" s="4">
        <v>7</v>
      </c>
      <c r="D215" s="4">
        <v>7</v>
      </c>
      <c r="E215" s="4">
        <v>7</v>
      </c>
      <c r="F215" s="4">
        <v>12</v>
      </c>
      <c r="G215" s="4">
        <v>18</v>
      </c>
      <c r="H215" s="4">
        <v>15</v>
      </c>
      <c r="I215" s="4">
        <v>9</v>
      </c>
      <c r="J215" s="4">
        <v>13</v>
      </c>
      <c r="K215" s="227"/>
      <c r="L215" s="4" t="s">
        <v>16</v>
      </c>
      <c r="M215" s="4">
        <v>8</v>
      </c>
      <c r="N215" s="4">
        <v>9</v>
      </c>
      <c r="O215" s="4">
        <v>8</v>
      </c>
      <c r="P215" s="4">
        <v>7</v>
      </c>
      <c r="Q215" s="4">
        <v>8</v>
      </c>
      <c r="R215" s="4">
        <v>17</v>
      </c>
      <c r="S215" s="4">
        <v>8</v>
      </c>
      <c r="T215" s="50">
        <v>3</v>
      </c>
      <c r="U215" s="59">
        <f t="shared" si="34"/>
        <v>156</v>
      </c>
    </row>
    <row r="216" spans="1:21" ht="15.75" customHeight="1">
      <c r="A216" s="230"/>
      <c r="B216" s="4" t="s">
        <v>17</v>
      </c>
      <c r="C216" s="4">
        <v>6</v>
      </c>
      <c r="D216" s="4">
        <v>10</v>
      </c>
      <c r="E216" s="4">
        <v>7</v>
      </c>
      <c r="F216" s="4">
        <v>8</v>
      </c>
      <c r="G216" s="4">
        <v>9</v>
      </c>
      <c r="H216" s="4">
        <v>6</v>
      </c>
      <c r="I216" s="4">
        <v>6</v>
      </c>
      <c r="J216" s="4">
        <v>4</v>
      </c>
      <c r="K216" s="227"/>
      <c r="L216" s="4" t="s">
        <v>17</v>
      </c>
      <c r="M216" s="4">
        <v>4</v>
      </c>
      <c r="N216" s="4">
        <v>7</v>
      </c>
      <c r="O216" s="4">
        <v>7</v>
      </c>
      <c r="P216" s="4">
        <v>9</v>
      </c>
      <c r="Q216" s="4">
        <v>9</v>
      </c>
      <c r="R216" s="4">
        <v>1</v>
      </c>
      <c r="S216" s="4">
        <v>1</v>
      </c>
      <c r="T216" s="50">
        <v>5</v>
      </c>
      <c r="U216" s="59">
        <f t="shared" si="34"/>
        <v>99</v>
      </c>
    </row>
    <row r="217" spans="1:21" ht="15.75" customHeight="1">
      <c r="A217" s="230"/>
      <c r="B217" s="46" t="s">
        <v>18</v>
      </c>
      <c r="C217" s="46">
        <v>14</v>
      </c>
      <c r="D217" s="46">
        <v>7</v>
      </c>
      <c r="E217" s="46">
        <v>8</v>
      </c>
      <c r="F217" s="46">
        <v>5</v>
      </c>
      <c r="G217" s="46">
        <v>10</v>
      </c>
      <c r="H217" s="46">
        <v>16</v>
      </c>
      <c r="I217" s="46">
        <v>10</v>
      </c>
      <c r="J217" s="46">
        <v>5</v>
      </c>
      <c r="K217" s="227"/>
      <c r="L217" s="46" t="s">
        <v>18</v>
      </c>
      <c r="M217" s="46">
        <v>3</v>
      </c>
      <c r="N217" s="46">
        <v>5</v>
      </c>
      <c r="O217" s="46">
        <v>6</v>
      </c>
      <c r="P217" s="46">
        <v>5</v>
      </c>
      <c r="Q217" s="46">
        <v>11</v>
      </c>
      <c r="R217" s="46">
        <v>6</v>
      </c>
      <c r="S217" s="46">
        <v>6</v>
      </c>
      <c r="T217" s="69">
        <v>1</v>
      </c>
      <c r="U217" s="59">
        <f t="shared" si="34"/>
        <v>118</v>
      </c>
    </row>
    <row r="218" spans="1:21" ht="15.75" customHeight="1">
      <c r="A218" s="193" t="s">
        <v>10</v>
      </c>
      <c r="B218" s="63" t="s">
        <v>13</v>
      </c>
      <c r="C218" s="121">
        <v>25</v>
      </c>
      <c r="D218" s="121">
        <v>18</v>
      </c>
      <c r="E218" s="121">
        <v>24</v>
      </c>
      <c r="F218" s="121">
        <v>23</v>
      </c>
      <c r="G218" s="121">
        <v>41</v>
      </c>
      <c r="H218" s="121">
        <v>35</v>
      </c>
      <c r="I218" s="121">
        <v>30</v>
      </c>
      <c r="J218" s="121">
        <v>24</v>
      </c>
      <c r="K218" s="194" t="s">
        <v>10</v>
      </c>
      <c r="L218" s="63" t="s">
        <v>13</v>
      </c>
      <c r="M218" s="121">
        <v>20</v>
      </c>
      <c r="N218" s="121">
        <v>12</v>
      </c>
      <c r="O218" s="121">
        <v>21</v>
      </c>
      <c r="P218" s="121">
        <v>28</v>
      </c>
      <c r="Q218" s="121">
        <v>25</v>
      </c>
      <c r="R218" s="121">
        <v>20</v>
      </c>
      <c r="S218" s="121">
        <v>17</v>
      </c>
      <c r="T218" s="124">
        <v>10</v>
      </c>
      <c r="U218" s="59">
        <f t="shared" si="34"/>
        <v>373</v>
      </c>
    </row>
    <row r="219" spans="1:21" ht="15.75" customHeight="1">
      <c r="A219" s="230"/>
      <c r="B219" s="6" t="s">
        <v>14</v>
      </c>
      <c r="C219" s="122">
        <v>8</v>
      </c>
      <c r="D219" s="122">
        <v>4</v>
      </c>
      <c r="E219" s="122">
        <v>11</v>
      </c>
      <c r="F219" s="122">
        <v>10</v>
      </c>
      <c r="G219" s="122">
        <v>15</v>
      </c>
      <c r="H219" s="122">
        <v>15</v>
      </c>
      <c r="I219" s="122">
        <v>14</v>
      </c>
      <c r="J219" s="122">
        <v>7</v>
      </c>
      <c r="K219" s="227"/>
      <c r="L219" s="6" t="s">
        <v>14</v>
      </c>
      <c r="M219" s="122">
        <v>14</v>
      </c>
      <c r="N219" s="122">
        <v>11</v>
      </c>
      <c r="O219" s="122">
        <v>5</v>
      </c>
      <c r="P219" s="122">
        <v>5</v>
      </c>
      <c r="Q219" s="122">
        <v>4</v>
      </c>
      <c r="R219" s="122">
        <v>8</v>
      </c>
      <c r="S219" s="122">
        <v>2</v>
      </c>
      <c r="T219" s="125">
        <v>1</v>
      </c>
      <c r="U219" s="59">
        <f t="shared" si="34"/>
        <v>134</v>
      </c>
    </row>
    <row r="220" spans="1:21" ht="15.75" customHeight="1">
      <c r="A220" s="230"/>
      <c r="B220" s="6" t="s">
        <v>15</v>
      </c>
      <c r="C220" s="122">
        <v>13</v>
      </c>
      <c r="D220" s="122">
        <v>17</v>
      </c>
      <c r="E220" s="122">
        <v>23</v>
      </c>
      <c r="F220" s="122">
        <v>21</v>
      </c>
      <c r="G220" s="122">
        <v>25</v>
      </c>
      <c r="H220" s="122">
        <v>23</v>
      </c>
      <c r="I220" s="122">
        <v>20</v>
      </c>
      <c r="J220" s="122">
        <v>15</v>
      </c>
      <c r="K220" s="227"/>
      <c r="L220" s="6" t="s">
        <v>15</v>
      </c>
      <c r="M220" s="122">
        <v>17</v>
      </c>
      <c r="N220" s="122">
        <v>20</v>
      </c>
      <c r="O220" s="122">
        <v>18</v>
      </c>
      <c r="P220" s="122">
        <v>14</v>
      </c>
      <c r="Q220" s="122">
        <v>11</v>
      </c>
      <c r="R220" s="122">
        <v>23</v>
      </c>
      <c r="S220" s="122">
        <v>23</v>
      </c>
      <c r="T220" s="125">
        <v>10</v>
      </c>
      <c r="U220" s="59">
        <f t="shared" si="34"/>
        <v>293</v>
      </c>
    </row>
    <row r="221" spans="1:21" ht="15.75" customHeight="1">
      <c r="A221" s="230"/>
      <c r="B221" s="6" t="s">
        <v>16</v>
      </c>
      <c r="C221" s="122">
        <v>7</v>
      </c>
      <c r="D221" s="122">
        <v>9</v>
      </c>
      <c r="E221" s="122">
        <v>8</v>
      </c>
      <c r="F221" s="122">
        <v>10</v>
      </c>
      <c r="G221" s="122">
        <v>12</v>
      </c>
      <c r="H221" s="122">
        <v>11</v>
      </c>
      <c r="I221" s="122">
        <v>10</v>
      </c>
      <c r="J221" s="122">
        <v>6</v>
      </c>
      <c r="K221" s="227"/>
      <c r="L221" s="6" t="s">
        <v>16</v>
      </c>
      <c r="M221" s="122">
        <v>15</v>
      </c>
      <c r="N221" s="122">
        <v>12</v>
      </c>
      <c r="O221" s="122">
        <v>5</v>
      </c>
      <c r="P221" s="122">
        <v>5</v>
      </c>
      <c r="Q221" s="122">
        <v>7</v>
      </c>
      <c r="R221" s="122">
        <v>8</v>
      </c>
      <c r="S221" s="122">
        <v>5</v>
      </c>
      <c r="T221" s="125">
        <v>3</v>
      </c>
      <c r="U221" s="59">
        <f t="shared" si="34"/>
        <v>133</v>
      </c>
    </row>
    <row r="222" spans="1:21" ht="15.75" customHeight="1">
      <c r="A222" s="230"/>
      <c r="B222" s="6" t="s">
        <v>17</v>
      </c>
      <c r="C222" s="122">
        <v>6</v>
      </c>
      <c r="D222" s="122">
        <v>8</v>
      </c>
      <c r="E222" s="122">
        <v>5</v>
      </c>
      <c r="F222" s="122">
        <v>7</v>
      </c>
      <c r="G222" s="122">
        <v>12</v>
      </c>
      <c r="H222" s="122">
        <v>14</v>
      </c>
      <c r="I222" s="122">
        <v>12</v>
      </c>
      <c r="J222" s="122">
        <v>3</v>
      </c>
      <c r="K222" s="227"/>
      <c r="L222" s="6" t="s">
        <v>17</v>
      </c>
      <c r="M222" s="122">
        <v>7</v>
      </c>
      <c r="N222" s="122">
        <v>10</v>
      </c>
      <c r="O222" s="122">
        <v>3</v>
      </c>
      <c r="P222" s="122">
        <v>4</v>
      </c>
      <c r="Q222" s="122">
        <v>7</v>
      </c>
      <c r="R222" s="122">
        <v>7</v>
      </c>
      <c r="S222" s="122">
        <v>6</v>
      </c>
      <c r="T222" s="125">
        <v>4</v>
      </c>
      <c r="U222" s="59">
        <f t="shared" si="34"/>
        <v>115</v>
      </c>
    </row>
    <row r="223" spans="1:21" ht="15.75" customHeight="1">
      <c r="A223" s="230"/>
      <c r="B223" s="47" t="s">
        <v>18</v>
      </c>
      <c r="C223" s="123">
        <v>17</v>
      </c>
      <c r="D223" s="123">
        <v>5</v>
      </c>
      <c r="E223" s="123">
        <v>3</v>
      </c>
      <c r="F223" s="123">
        <v>8</v>
      </c>
      <c r="G223" s="123">
        <v>12</v>
      </c>
      <c r="H223" s="123">
        <v>10</v>
      </c>
      <c r="I223" s="123">
        <v>12</v>
      </c>
      <c r="J223" s="123">
        <v>8</v>
      </c>
      <c r="K223" s="227"/>
      <c r="L223" s="47" t="s">
        <v>18</v>
      </c>
      <c r="M223" s="123">
        <v>1</v>
      </c>
      <c r="N223" s="123">
        <v>1</v>
      </c>
      <c r="O223" s="123">
        <v>3</v>
      </c>
      <c r="P223" s="123">
        <v>5</v>
      </c>
      <c r="Q223" s="123">
        <v>9</v>
      </c>
      <c r="R223" s="123">
        <v>13</v>
      </c>
      <c r="S223" s="123">
        <v>5</v>
      </c>
      <c r="T223" s="126">
        <v>1</v>
      </c>
      <c r="U223" s="59">
        <f t="shared" si="34"/>
        <v>113</v>
      </c>
    </row>
    <row r="224" spans="1:21" ht="15.75" customHeight="1">
      <c r="A224" s="195" t="s">
        <v>11</v>
      </c>
      <c r="B224" s="56" t="s">
        <v>13</v>
      </c>
      <c r="C224" s="127">
        <v>13</v>
      </c>
      <c r="D224" s="127">
        <v>20</v>
      </c>
      <c r="E224" s="127">
        <v>21</v>
      </c>
      <c r="F224" s="127">
        <v>24</v>
      </c>
      <c r="G224" s="127">
        <v>42</v>
      </c>
      <c r="H224" s="127">
        <v>33</v>
      </c>
      <c r="I224" s="127">
        <v>30</v>
      </c>
      <c r="J224" s="127">
        <v>25</v>
      </c>
      <c r="K224" s="196" t="s">
        <v>11</v>
      </c>
      <c r="L224" s="56" t="s">
        <v>13</v>
      </c>
      <c r="M224" s="127">
        <v>17</v>
      </c>
      <c r="N224" s="127"/>
      <c r="O224" s="127"/>
      <c r="P224" s="127"/>
      <c r="Q224" s="127"/>
      <c r="R224" s="127"/>
      <c r="S224" s="127"/>
      <c r="T224" s="130"/>
      <c r="U224" s="59">
        <f t="shared" si="34"/>
        <v>225</v>
      </c>
    </row>
    <row r="225" spans="1:21" ht="15.75" customHeight="1">
      <c r="A225" s="230"/>
      <c r="B225" s="4" t="s">
        <v>14</v>
      </c>
      <c r="C225" s="128">
        <v>5</v>
      </c>
      <c r="D225" s="128">
        <v>6</v>
      </c>
      <c r="E225" s="128">
        <v>10</v>
      </c>
      <c r="F225" s="128">
        <v>17</v>
      </c>
      <c r="G225" s="128">
        <v>17</v>
      </c>
      <c r="H225" s="128">
        <v>15</v>
      </c>
      <c r="I225" s="128">
        <v>16</v>
      </c>
      <c r="J225" s="128">
        <v>14</v>
      </c>
      <c r="K225" s="227"/>
      <c r="L225" s="4" t="s">
        <v>14</v>
      </c>
      <c r="M225" s="128">
        <v>9</v>
      </c>
      <c r="N225" s="128"/>
      <c r="O225" s="128"/>
      <c r="P225" s="128"/>
      <c r="Q225" s="128"/>
      <c r="R225" s="128"/>
      <c r="S225" s="128"/>
      <c r="T225" s="131"/>
      <c r="U225" s="59">
        <f t="shared" si="34"/>
        <v>109</v>
      </c>
    </row>
    <row r="226" spans="1:21" ht="15.75" customHeight="1">
      <c r="A226" s="230"/>
      <c r="B226" s="4" t="s">
        <v>15</v>
      </c>
      <c r="C226" s="128">
        <v>18</v>
      </c>
      <c r="D226" s="128">
        <v>17</v>
      </c>
      <c r="E226" s="128">
        <v>19</v>
      </c>
      <c r="F226" s="128">
        <v>21</v>
      </c>
      <c r="G226" s="128">
        <v>23</v>
      </c>
      <c r="H226" s="128">
        <v>20</v>
      </c>
      <c r="I226" s="128">
        <v>24</v>
      </c>
      <c r="J226" s="128">
        <v>20</v>
      </c>
      <c r="K226" s="227"/>
      <c r="L226" s="4" t="s">
        <v>15</v>
      </c>
      <c r="M226" s="128">
        <v>19</v>
      </c>
      <c r="N226" s="128"/>
      <c r="O226" s="128"/>
      <c r="P226" s="128"/>
      <c r="Q226" s="128"/>
      <c r="R226" s="128"/>
      <c r="S226" s="128"/>
      <c r="T226" s="131"/>
      <c r="U226" s="59">
        <f t="shared" si="34"/>
        <v>181</v>
      </c>
    </row>
    <row r="227" spans="1:21" ht="15.75" customHeight="1">
      <c r="A227" s="230"/>
      <c r="B227" s="4" t="s">
        <v>16</v>
      </c>
      <c r="C227" s="128">
        <v>3</v>
      </c>
      <c r="D227" s="128">
        <v>9</v>
      </c>
      <c r="E227" s="128">
        <v>5</v>
      </c>
      <c r="F227" s="128">
        <v>5</v>
      </c>
      <c r="G227" s="128">
        <v>20</v>
      </c>
      <c r="H227" s="128">
        <v>10</v>
      </c>
      <c r="I227" s="128">
        <v>12</v>
      </c>
      <c r="J227" s="128">
        <v>13</v>
      </c>
      <c r="K227" s="227"/>
      <c r="L227" s="4" t="s">
        <v>16</v>
      </c>
      <c r="M227" s="128">
        <v>3</v>
      </c>
      <c r="N227" s="128"/>
      <c r="O227" s="128"/>
      <c r="P227" s="128"/>
      <c r="Q227" s="128"/>
      <c r="R227" s="128"/>
      <c r="S227" s="128"/>
      <c r="T227" s="131"/>
      <c r="U227" s="59">
        <f t="shared" si="34"/>
        <v>80</v>
      </c>
    </row>
    <row r="228" spans="1:21" ht="15.75" customHeight="1">
      <c r="A228" s="230"/>
      <c r="B228" s="4" t="s">
        <v>17</v>
      </c>
      <c r="C228" s="128">
        <v>3</v>
      </c>
      <c r="D228" s="128">
        <v>6</v>
      </c>
      <c r="E228" s="128">
        <v>1</v>
      </c>
      <c r="F228" s="128">
        <v>8</v>
      </c>
      <c r="G228" s="128">
        <v>9</v>
      </c>
      <c r="H228" s="128">
        <v>8</v>
      </c>
      <c r="I228" s="128">
        <v>6</v>
      </c>
      <c r="J228" s="128">
        <v>4</v>
      </c>
      <c r="K228" s="227"/>
      <c r="L228" s="4" t="s">
        <v>17</v>
      </c>
      <c r="M228" s="128">
        <v>5</v>
      </c>
      <c r="N228" s="128"/>
      <c r="O228" s="128"/>
      <c r="P228" s="128"/>
      <c r="Q228" s="128"/>
      <c r="R228" s="128"/>
      <c r="S228" s="128"/>
      <c r="T228" s="131"/>
      <c r="U228" s="59">
        <f t="shared" si="34"/>
        <v>50</v>
      </c>
    </row>
    <row r="229" spans="1:21" ht="15.75" customHeight="1">
      <c r="A229" s="231"/>
      <c r="B229" s="61" t="s">
        <v>18</v>
      </c>
      <c r="C229" s="129">
        <v>2</v>
      </c>
      <c r="D229" s="129">
        <v>5</v>
      </c>
      <c r="E229" s="129">
        <v>5</v>
      </c>
      <c r="F229" s="129">
        <v>4</v>
      </c>
      <c r="G229" s="129">
        <v>14</v>
      </c>
      <c r="H229" s="129">
        <v>10</v>
      </c>
      <c r="I229" s="129">
        <v>8</v>
      </c>
      <c r="J229" s="129">
        <v>6</v>
      </c>
      <c r="K229" s="232"/>
      <c r="L229" s="61" t="s">
        <v>18</v>
      </c>
      <c r="M229" s="129">
        <v>2</v>
      </c>
      <c r="N229" s="129"/>
      <c r="O229" s="129"/>
      <c r="P229" s="129"/>
      <c r="Q229" s="129"/>
      <c r="R229" s="129"/>
      <c r="S229" s="129"/>
      <c r="T229" s="132"/>
      <c r="U229" s="59">
        <f t="shared" si="34"/>
        <v>56</v>
      </c>
    </row>
  </sheetData>
  <mergeCells count="111">
    <mergeCell ref="A218:A223"/>
    <mergeCell ref="K218:K223"/>
    <mergeCell ref="A224:A229"/>
    <mergeCell ref="K224:K229"/>
    <mergeCell ref="A200:A205"/>
    <mergeCell ref="K200:K205"/>
    <mergeCell ref="A206:A211"/>
    <mergeCell ref="K206:K211"/>
    <mergeCell ref="A212:A217"/>
    <mergeCell ref="K212:K217"/>
    <mergeCell ref="P186:R186"/>
    <mergeCell ref="A188:A193"/>
    <mergeCell ref="K188:K193"/>
    <mergeCell ref="W188:X188"/>
    <mergeCell ref="AG188:AN188"/>
    <mergeCell ref="A194:A199"/>
    <mergeCell ref="K194:K199"/>
    <mergeCell ref="A178:A183"/>
    <mergeCell ref="K178:K183"/>
    <mergeCell ref="C185:G185"/>
    <mergeCell ref="B186:D186"/>
    <mergeCell ref="F186:H186"/>
    <mergeCell ref="L186:N186"/>
    <mergeCell ref="A160:A165"/>
    <mergeCell ref="K160:K165"/>
    <mergeCell ref="A166:A171"/>
    <mergeCell ref="K166:K171"/>
    <mergeCell ref="A172:A177"/>
    <mergeCell ref="K172:K177"/>
    <mergeCell ref="W142:X142"/>
    <mergeCell ref="AG142:AN142"/>
    <mergeCell ref="A148:A153"/>
    <mergeCell ref="K148:K153"/>
    <mergeCell ref="A154:A159"/>
    <mergeCell ref="K154:K159"/>
    <mergeCell ref="C139:G139"/>
    <mergeCell ref="B140:D140"/>
    <mergeCell ref="F140:H140"/>
    <mergeCell ref="L140:N140"/>
    <mergeCell ref="P140:R140"/>
    <mergeCell ref="A142:A147"/>
    <mergeCell ref="K142:K147"/>
    <mergeCell ref="A120:A125"/>
    <mergeCell ref="K120:K125"/>
    <mergeCell ref="A126:A131"/>
    <mergeCell ref="K126:K131"/>
    <mergeCell ref="A132:A137"/>
    <mergeCell ref="K132:K137"/>
    <mergeCell ref="A102:A107"/>
    <mergeCell ref="K102:K107"/>
    <mergeCell ref="A108:A113"/>
    <mergeCell ref="K108:K113"/>
    <mergeCell ref="A114:A119"/>
    <mergeCell ref="K114:K119"/>
    <mergeCell ref="L94:N94"/>
    <mergeCell ref="P94:R94"/>
    <mergeCell ref="A96:A101"/>
    <mergeCell ref="K96:K101"/>
    <mergeCell ref="W96:X96"/>
    <mergeCell ref="AG96:AN96"/>
    <mergeCell ref="A80:A85"/>
    <mergeCell ref="K80:K85"/>
    <mergeCell ref="A86:A91"/>
    <mergeCell ref="K86:K91"/>
    <mergeCell ref="C93:G93"/>
    <mergeCell ref="B94:D94"/>
    <mergeCell ref="F94:H94"/>
    <mergeCell ref="A62:A67"/>
    <mergeCell ref="K62:K67"/>
    <mergeCell ref="A68:A73"/>
    <mergeCell ref="K68:K73"/>
    <mergeCell ref="A74:A79"/>
    <mergeCell ref="K74:K79"/>
    <mergeCell ref="P48:R48"/>
    <mergeCell ref="A50:A55"/>
    <mergeCell ref="K50:K55"/>
    <mergeCell ref="W50:X50"/>
    <mergeCell ref="AG50:AN50"/>
    <mergeCell ref="A56:A61"/>
    <mergeCell ref="K56:K61"/>
    <mergeCell ref="A40:A45"/>
    <mergeCell ref="K40:K45"/>
    <mergeCell ref="C47:G47"/>
    <mergeCell ref="B48:D48"/>
    <mergeCell ref="F48:H48"/>
    <mergeCell ref="L48:N48"/>
    <mergeCell ref="A22:A27"/>
    <mergeCell ref="K22:K27"/>
    <mergeCell ref="A28:A33"/>
    <mergeCell ref="K28:K33"/>
    <mergeCell ref="A34:A39"/>
    <mergeCell ref="K34:K39"/>
    <mergeCell ref="Z8:AA8"/>
    <mergeCell ref="A10:A15"/>
    <mergeCell ref="K10:K15"/>
    <mergeCell ref="Z10:AA10"/>
    <mergeCell ref="A16:A21"/>
    <mergeCell ref="K16:K21"/>
    <mergeCell ref="A4:A9"/>
    <mergeCell ref="W4:X4"/>
    <mergeCell ref="Z4:AA4"/>
    <mergeCell ref="AD4:AE4"/>
    <mergeCell ref="AG4:AN4"/>
    <mergeCell ref="AP4:AW4"/>
    <mergeCell ref="Z6:AA6"/>
    <mergeCell ref="C1:G1"/>
    <mergeCell ref="B2:D2"/>
    <mergeCell ref="F2:H2"/>
    <mergeCell ref="L2:N2"/>
    <mergeCell ref="P2:R2"/>
    <mergeCell ref="K4:K9"/>
  </mergeCells>
  <printOptions horizontalCentered="1" verticalCentered="1"/>
  <pageMargins left="0.25" right="0.25" top="0.25" bottom="0.25" header="0" footer="0"/>
  <pageSetup pageOrder="overThenDown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1BB09-64EE-4EB4-AEAA-5D3662450F05}">
  <sheetPr>
    <outlinePr summaryBelow="0" summaryRight="0"/>
    <pageSetUpPr fitToPage="1"/>
  </sheetPr>
  <dimension ref="A1:AW229"/>
  <sheetViews>
    <sheetView topLeftCell="A47" workbookViewId="0">
      <pane ySplit="3" topLeftCell="A169" activePane="bottomLeft" state="frozen"/>
      <selection pane="bottomLeft" activeCell="N191" sqref="N191"/>
    </sheetView>
  </sheetViews>
  <sheetFormatPr defaultColWidth="12.5703125" defaultRowHeight="15.75" customHeight="1"/>
  <cols>
    <col min="1" max="1" width="13.140625" bestFit="1" customWidth="1"/>
    <col min="2" max="2" width="16.140625" bestFit="1" customWidth="1"/>
    <col min="3" max="10" width="10.42578125" customWidth="1"/>
    <col min="11" max="11" width="13.140625" bestFit="1" customWidth="1"/>
    <col min="12" max="12" width="16.140625" bestFit="1" customWidth="1"/>
    <col min="13" max="20" width="10.42578125" customWidth="1"/>
    <col min="21" max="22" width="9.140625"/>
    <col min="23" max="23" width="13" bestFit="1" customWidth="1"/>
    <col min="24" max="26" width="9.140625"/>
    <col min="27" max="27" width="14.140625" customWidth="1"/>
  </cols>
  <sheetData>
    <row r="1" spans="1:49" ht="18.75" customHeight="1">
      <c r="A1" s="1"/>
      <c r="B1" s="1"/>
      <c r="C1" s="183" t="s">
        <v>0</v>
      </c>
      <c r="D1" s="225"/>
      <c r="E1" s="225"/>
      <c r="F1" s="225"/>
      <c r="G1" s="226"/>
      <c r="H1" s="2"/>
      <c r="I1" s="1"/>
    </row>
    <row r="2" spans="1:49" ht="18.75" customHeight="1">
      <c r="A2" s="1"/>
      <c r="B2" s="183" t="s">
        <v>1</v>
      </c>
      <c r="C2" s="225"/>
      <c r="D2" s="226"/>
      <c r="E2" s="1"/>
      <c r="F2" s="184" t="s">
        <v>39</v>
      </c>
      <c r="G2" s="225"/>
      <c r="H2" s="226"/>
      <c r="I2" s="1"/>
      <c r="K2" s="1"/>
      <c r="L2" s="183" t="s">
        <v>26</v>
      </c>
      <c r="M2" s="225"/>
      <c r="N2" s="226"/>
      <c r="O2" s="1"/>
      <c r="P2" s="184" t="s">
        <v>2</v>
      </c>
      <c r="Q2" s="225"/>
      <c r="R2" s="226"/>
      <c r="S2" s="1"/>
    </row>
    <row r="3" spans="1:49" ht="18.75" customHeight="1">
      <c r="A3" s="54" t="s">
        <v>35</v>
      </c>
      <c r="B3" s="54" t="s">
        <v>4</v>
      </c>
      <c r="C3" s="54" t="s">
        <v>12</v>
      </c>
      <c r="D3" s="54" t="s">
        <v>19</v>
      </c>
      <c r="E3" s="54" t="s">
        <v>20</v>
      </c>
      <c r="F3" s="54" t="s">
        <v>21</v>
      </c>
      <c r="G3" s="54" t="s">
        <v>22</v>
      </c>
      <c r="H3" s="54" t="s">
        <v>23</v>
      </c>
      <c r="I3" s="54" t="s">
        <v>24</v>
      </c>
      <c r="J3" s="54" t="s">
        <v>25</v>
      </c>
      <c r="K3" s="54" t="s">
        <v>35</v>
      </c>
      <c r="L3" s="54" t="s">
        <v>4</v>
      </c>
      <c r="M3" s="54" t="s">
        <v>27</v>
      </c>
      <c r="N3" s="54" t="s">
        <v>28</v>
      </c>
      <c r="O3" s="54" t="s">
        <v>29</v>
      </c>
      <c r="P3" s="54" t="s">
        <v>30</v>
      </c>
      <c r="Q3" s="54" t="s">
        <v>31</v>
      </c>
      <c r="R3" s="54" t="s">
        <v>32</v>
      </c>
      <c r="S3" s="54" t="s">
        <v>33</v>
      </c>
      <c r="T3" s="54" t="s">
        <v>34</v>
      </c>
      <c r="U3" s="54" t="s">
        <v>55</v>
      </c>
    </row>
    <row r="4" spans="1:49" ht="18.75" customHeight="1">
      <c r="A4" s="195" t="s">
        <v>5</v>
      </c>
      <c r="B4" s="56" t="s">
        <v>13</v>
      </c>
      <c r="C4" s="57"/>
      <c r="D4" s="57"/>
      <c r="E4" s="56">
        <v>23</v>
      </c>
      <c r="F4" s="56">
        <v>34</v>
      </c>
      <c r="G4" s="56">
        <v>28</v>
      </c>
      <c r="H4" s="56">
        <v>32</v>
      </c>
      <c r="I4" s="56">
        <v>39</v>
      </c>
      <c r="J4" s="56">
        <v>24</v>
      </c>
      <c r="K4" s="196" t="s">
        <v>5</v>
      </c>
      <c r="L4" s="56" t="s">
        <v>13</v>
      </c>
      <c r="M4" s="56">
        <v>42</v>
      </c>
      <c r="N4" s="56">
        <v>36</v>
      </c>
      <c r="O4" s="56">
        <v>31</v>
      </c>
      <c r="P4" s="56">
        <v>29</v>
      </c>
      <c r="Q4" s="56">
        <v>17</v>
      </c>
      <c r="R4" s="57"/>
      <c r="S4" s="57"/>
      <c r="T4" s="58"/>
      <c r="U4" s="59">
        <f>SUM(M4:T4,C4:J4)</f>
        <v>335</v>
      </c>
      <c r="W4" s="197" t="s">
        <v>2</v>
      </c>
      <c r="X4" s="198"/>
      <c r="Z4" s="197" t="s">
        <v>56</v>
      </c>
      <c r="AA4" s="203"/>
      <c r="AB4" s="83">
        <f>SUM(X12,X58,X104,X150,X196)</f>
        <v>26108</v>
      </c>
      <c r="AD4" s="197" t="s">
        <v>57</v>
      </c>
      <c r="AE4" s="198"/>
      <c r="AG4" s="190" t="s">
        <v>58</v>
      </c>
      <c r="AH4" s="191"/>
      <c r="AI4" s="191"/>
      <c r="AJ4" s="191"/>
      <c r="AK4" s="191"/>
      <c r="AL4" s="191"/>
      <c r="AM4" s="191"/>
      <c r="AN4" s="192"/>
      <c r="AP4" s="190" t="s">
        <v>59</v>
      </c>
      <c r="AQ4" s="191"/>
      <c r="AR4" s="191"/>
      <c r="AS4" s="191"/>
      <c r="AT4" s="191"/>
      <c r="AU4" s="191"/>
      <c r="AV4" s="191"/>
      <c r="AW4" s="192"/>
    </row>
    <row r="5" spans="1:49" ht="18.75" customHeight="1">
      <c r="A5" s="230"/>
      <c r="B5" s="4" t="s">
        <v>14</v>
      </c>
      <c r="C5" s="5"/>
      <c r="D5" s="5"/>
      <c r="E5" s="4">
        <v>9</v>
      </c>
      <c r="F5" s="4">
        <v>5</v>
      </c>
      <c r="G5" s="4">
        <v>9</v>
      </c>
      <c r="H5" s="4">
        <v>6</v>
      </c>
      <c r="I5" s="4">
        <v>3</v>
      </c>
      <c r="J5" s="4">
        <v>4</v>
      </c>
      <c r="K5" s="219"/>
      <c r="L5" s="4" t="s">
        <v>14</v>
      </c>
      <c r="M5" s="4">
        <v>8</v>
      </c>
      <c r="N5" s="4">
        <v>5</v>
      </c>
      <c r="O5" s="4">
        <v>7</v>
      </c>
      <c r="P5" s="4">
        <v>5</v>
      </c>
      <c r="Q5" s="4">
        <v>2</v>
      </c>
      <c r="R5" s="5"/>
      <c r="S5" s="5"/>
      <c r="T5" s="49"/>
      <c r="U5" s="60">
        <f>SUM(C5:J5,M5:T5)</f>
        <v>63</v>
      </c>
      <c r="W5" s="55" t="s">
        <v>5</v>
      </c>
      <c r="X5" s="48">
        <f>SUM(U4:U9)</f>
        <v>920</v>
      </c>
      <c r="AD5" s="55" t="s">
        <v>5</v>
      </c>
      <c r="AE5" s="48">
        <f t="shared" ref="AE5:AE11" si="0">AVERAGE(X5,X51,X97,X143,X189)</f>
        <v>681</v>
      </c>
      <c r="AG5" s="98" t="s">
        <v>4</v>
      </c>
      <c r="AH5" s="98" t="s">
        <v>5</v>
      </c>
      <c r="AI5" s="98" t="s">
        <v>6</v>
      </c>
      <c r="AJ5" s="98" t="s">
        <v>7</v>
      </c>
      <c r="AK5" s="98" t="s">
        <v>8</v>
      </c>
      <c r="AL5" s="98" t="s">
        <v>9</v>
      </c>
      <c r="AM5" s="98" t="s">
        <v>10</v>
      </c>
      <c r="AN5" s="98" t="s">
        <v>11</v>
      </c>
      <c r="AP5" s="98" t="s">
        <v>4</v>
      </c>
      <c r="AQ5" s="98" t="s">
        <v>5</v>
      </c>
      <c r="AR5" s="98" t="s">
        <v>6</v>
      </c>
      <c r="AS5" s="98" t="s">
        <v>7</v>
      </c>
      <c r="AT5" s="98" t="s">
        <v>8</v>
      </c>
      <c r="AU5" s="98" t="s">
        <v>9</v>
      </c>
      <c r="AV5" s="98" t="s">
        <v>10</v>
      </c>
      <c r="AW5" s="98" t="s">
        <v>11</v>
      </c>
    </row>
    <row r="6" spans="1:49" ht="18.75" customHeight="1">
      <c r="A6" s="230"/>
      <c r="B6" s="4" t="s">
        <v>15</v>
      </c>
      <c r="C6" s="5"/>
      <c r="D6" s="5"/>
      <c r="E6" s="4">
        <v>18</v>
      </c>
      <c r="F6" s="4">
        <v>21</v>
      </c>
      <c r="G6" s="4">
        <v>19</v>
      </c>
      <c r="H6" s="4">
        <v>41</v>
      </c>
      <c r="I6" s="4">
        <v>29</v>
      </c>
      <c r="J6" s="4">
        <v>36</v>
      </c>
      <c r="K6" s="219"/>
      <c r="L6" s="4" t="s">
        <v>15</v>
      </c>
      <c r="M6" s="4">
        <v>24</v>
      </c>
      <c r="N6" s="4">
        <v>22</v>
      </c>
      <c r="O6" s="4">
        <v>17</v>
      </c>
      <c r="P6" s="4">
        <v>12</v>
      </c>
      <c r="Q6" s="4">
        <v>10</v>
      </c>
      <c r="R6" s="5"/>
      <c r="S6" s="5"/>
      <c r="T6" s="49"/>
      <c r="U6" s="60">
        <f>SUM(C6:J6,M6:T6)</f>
        <v>249</v>
      </c>
      <c r="W6" s="55" t="s">
        <v>6</v>
      </c>
      <c r="X6" s="48">
        <f>SUM(U10:U15)</f>
        <v>633</v>
      </c>
      <c r="Z6" s="197" t="s">
        <v>60</v>
      </c>
      <c r="AA6" s="203"/>
      <c r="AB6" s="83"/>
      <c r="AD6" s="55" t="s">
        <v>6</v>
      </c>
      <c r="AE6" s="48">
        <f t="shared" si="0"/>
        <v>524.20000000000005</v>
      </c>
      <c r="AG6" s="79" t="s">
        <v>13</v>
      </c>
      <c r="AH6" s="79">
        <f t="shared" ref="AH6:AH11" si="1">U4</f>
        <v>335</v>
      </c>
      <c r="AI6" s="79">
        <f t="shared" ref="AI6:AI11" si="2">U10</f>
        <v>232</v>
      </c>
      <c r="AJ6" s="79">
        <f t="shared" ref="AJ6:AJ11" si="3">U16</f>
        <v>431</v>
      </c>
      <c r="AK6" s="79">
        <f t="shared" ref="AK6:AK11" si="4">U22</f>
        <v>401</v>
      </c>
      <c r="AL6" s="79">
        <f t="shared" ref="AL6:AL11" si="5">U28</f>
        <v>381</v>
      </c>
      <c r="AM6" s="79">
        <f t="shared" ref="AM6:AM11" si="6">U34</f>
        <v>348</v>
      </c>
      <c r="AN6" s="79">
        <f t="shared" ref="AN6:AN11" si="7">U40</f>
        <v>349</v>
      </c>
      <c r="AP6" s="79" t="s">
        <v>13</v>
      </c>
      <c r="AQ6" s="79">
        <f t="shared" ref="AQ6:AW11" si="8">SUM(AH6,AH52,AH98,AH144,AH190)</f>
        <v>1191</v>
      </c>
      <c r="AR6" s="79">
        <f t="shared" si="8"/>
        <v>1047</v>
      </c>
      <c r="AS6" s="79">
        <f t="shared" si="8"/>
        <v>1762</v>
      </c>
      <c r="AT6" s="79">
        <f t="shared" si="8"/>
        <v>1413</v>
      </c>
      <c r="AU6" s="79">
        <f t="shared" si="8"/>
        <v>1308</v>
      </c>
      <c r="AV6" s="79">
        <f t="shared" si="8"/>
        <v>723</v>
      </c>
      <c r="AW6" s="79">
        <f t="shared" si="8"/>
        <v>1009</v>
      </c>
    </row>
    <row r="7" spans="1:49" ht="18.75" customHeight="1">
      <c r="A7" s="230"/>
      <c r="B7" s="4" t="s">
        <v>16</v>
      </c>
      <c r="C7" s="5"/>
      <c r="D7" s="5"/>
      <c r="E7" s="4">
        <v>8</v>
      </c>
      <c r="F7" s="4">
        <v>2</v>
      </c>
      <c r="G7" s="4">
        <v>2</v>
      </c>
      <c r="H7" s="4">
        <v>17</v>
      </c>
      <c r="I7" s="4">
        <v>9</v>
      </c>
      <c r="J7" s="4">
        <v>11</v>
      </c>
      <c r="K7" s="219"/>
      <c r="L7" s="4" t="s">
        <v>16</v>
      </c>
      <c r="M7" s="4">
        <v>9</v>
      </c>
      <c r="N7" s="4">
        <v>5</v>
      </c>
      <c r="O7" s="4">
        <v>7</v>
      </c>
      <c r="P7" s="4">
        <v>6</v>
      </c>
      <c r="Q7" s="4">
        <v>2</v>
      </c>
      <c r="R7" s="5"/>
      <c r="S7" s="5"/>
      <c r="T7" s="49"/>
      <c r="U7" s="60">
        <f>SUM(C7:J7,M7:T7)</f>
        <v>78</v>
      </c>
      <c r="W7" s="55" t="s">
        <v>7</v>
      </c>
      <c r="X7" s="48">
        <f>SUM(U16:U21)</f>
        <v>1507</v>
      </c>
      <c r="AD7" s="55" t="s">
        <v>7</v>
      </c>
      <c r="AE7" s="48">
        <f t="shared" si="0"/>
        <v>1220.5999999999999</v>
      </c>
      <c r="AG7" s="97" t="s">
        <v>14</v>
      </c>
      <c r="AH7" s="97">
        <f t="shared" si="1"/>
        <v>63</v>
      </c>
      <c r="AI7" s="97">
        <f t="shared" si="2"/>
        <v>57</v>
      </c>
      <c r="AJ7" s="97">
        <f t="shared" si="3"/>
        <v>183</v>
      </c>
      <c r="AK7" s="97">
        <f t="shared" si="4"/>
        <v>130</v>
      </c>
      <c r="AL7" s="97">
        <f t="shared" si="5"/>
        <v>165</v>
      </c>
      <c r="AM7" s="97">
        <f t="shared" si="6"/>
        <v>120</v>
      </c>
      <c r="AN7" s="97">
        <f t="shared" si="7"/>
        <v>131</v>
      </c>
      <c r="AP7" s="97" t="s">
        <v>14</v>
      </c>
      <c r="AQ7" s="97">
        <f t="shared" si="8"/>
        <v>259</v>
      </c>
      <c r="AR7" s="97">
        <f t="shared" si="8"/>
        <v>226</v>
      </c>
      <c r="AS7" s="97">
        <f t="shared" si="8"/>
        <v>734</v>
      </c>
      <c r="AT7" s="97">
        <f t="shared" si="8"/>
        <v>416</v>
      </c>
      <c r="AU7" s="97">
        <f t="shared" si="8"/>
        <v>469</v>
      </c>
      <c r="AV7" s="97">
        <f t="shared" si="8"/>
        <v>246</v>
      </c>
      <c r="AW7" s="97">
        <f t="shared" si="8"/>
        <v>332</v>
      </c>
    </row>
    <row r="8" spans="1:49" ht="18.75" customHeight="1">
      <c r="A8" s="230"/>
      <c r="B8" s="4" t="s">
        <v>17</v>
      </c>
      <c r="C8" s="5"/>
      <c r="D8" s="5"/>
      <c r="E8" s="4">
        <v>9</v>
      </c>
      <c r="F8" s="4">
        <v>9</v>
      </c>
      <c r="G8" s="4">
        <v>9</v>
      </c>
      <c r="H8" s="4">
        <v>19</v>
      </c>
      <c r="I8" s="4">
        <v>15</v>
      </c>
      <c r="J8" s="4">
        <v>12</v>
      </c>
      <c r="K8" s="219"/>
      <c r="L8" s="4" t="s">
        <v>17</v>
      </c>
      <c r="M8" s="4">
        <v>10</v>
      </c>
      <c r="N8" s="4">
        <v>9</v>
      </c>
      <c r="O8" s="4">
        <v>8</v>
      </c>
      <c r="P8" s="4">
        <v>4</v>
      </c>
      <c r="Q8" s="4">
        <v>4</v>
      </c>
      <c r="R8" s="5"/>
      <c r="S8" s="5"/>
      <c r="T8" s="49"/>
      <c r="U8" s="60">
        <f>SUM(C8:J8,M8:T8)</f>
        <v>108</v>
      </c>
      <c r="W8" s="55" t="s">
        <v>61</v>
      </c>
      <c r="X8" s="48">
        <f>SUM(U22:U27)</f>
        <v>1303</v>
      </c>
      <c r="Z8" s="197" t="s">
        <v>62</v>
      </c>
      <c r="AA8" s="203"/>
      <c r="AB8" s="83"/>
      <c r="AD8" s="55" t="s">
        <v>61</v>
      </c>
      <c r="AE8" s="48">
        <f t="shared" si="0"/>
        <v>883.4</v>
      </c>
      <c r="AG8" s="79" t="s">
        <v>15</v>
      </c>
      <c r="AH8" s="79">
        <f t="shared" si="1"/>
        <v>249</v>
      </c>
      <c r="AI8" s="79">
        <f t="shared" si="2"/>
        <v>151</v>
      </c>
      <c r="AJ8" s="79">
        <f t="shared" si="3"/>
        <v>405</v>
      </c>
      <c r="AK8" s="79">
        <f t="shared" si="4"/>
        <v>338</v>
      </c>
      <c r="AL8" s="79">
        <f t="shared" si="5"/>
        <v>342</v>
      </c>
      <c r="AM8" s="79">
        <f t="shared" si="6"/>
        <v>290</v>
      </c>
      <c r="AN8" s="79">
        <f t="shared" si="7"/>
        <v>295</v>
      </c>
      <c r="AP8" s="79" t="s">
        <v>15</v>
      </c>
      <c r="AQ8" s="79">
        <f t="shared" si="8"/>
        <v>951</v>
      </c>
      <c r="AR8" s="79">
        <f t="shared" si="8"/>
        <v>603</v>
      </c>
      <c r="AS8" s="79">
        <f t="shared" si="8"/>
        <v>1704</v>
      </c>
      <c r="AT8" s="79">
        <f t="shared" si="8"/>
        <v>1229</v>
      </c>
      <c r="AU8" s="79">
        <f t="shared" si="8"/>
        <v>1170</v>
      </c>
      <c r="AV8" s="79">
        <f t="shared" si="8"/>
        <v>623</v>
      </c>
      <c r="AW8" s="79">
        <f t="shared" si="8"/>
        <v>882</v>
      </c>
    </row>
    <row r="9" spans="1:49" ht="18.75" customHeight="1">
      <c r="A9" s="230"/>
      <c r="B9" s="46" t="s">
        <v>18</v>
      </c>
      <c r="C9" s="64"/>
      <c r="D9" s="64"/>
      <c r="E9" s="46">
        <v>19</v>
      </c>
      <c r="F9" s="46">
        <v>7</v>
      </c>
      <c r="G9" s="46">
        <v>3</v>
      </c>
      <c r="H9" s="46">
        <v>9</v>
      </c>
      <c r="I9" s="46">
        <v>8</v>
      </c>
      <c r="J9" s="46">
        <v>6</v>
      </c>
      <c r="K9" s="220"/>
      <c r="L9" s="46" t="s">
        <v>18</v>
      </c>
      <c r="M9" s="46">
        <v>12</v>
      </c>
      <c r="N9" s="46">
        <v>8</v>
      </c>
      <c r="O9" s="46">
        <v>5</v>
      </c>
      <c r="P9" s="46">
        <v>6</v>
      </c>
      <c r="Q9" s="46">
        <v>4</v>
      </c>
      <c r="R9" s="64"/>
      <c r="S9" s="64"/>
      <c r="T9" s="65"/>
      <c r="U9" s="60">
        <f>SUM(C9:J9,M9:T9)</f>
        <v>87</v>
      </c>
      <c r="W9" s="55" t="s">
        <v>9</v>
      </c>
      <c r="X9" s="48">
        <f>SUM(U28:U33)</f>
        <v>1246</v>
      </c>
      <c r="AD9" s="55" t="s">
        <v>9</v>
      </c>
      <c r="AE9" s="48">
        <f t="shared" si="0"/>
        <v>851.4</v>
      </c>
      <c r="AG9" s="97" t="s">
        <v>16</v>
      </c>
      <c r="AH9" s="97">
        <f t="shared" si="1"/>
        <v>78</v>
      </c>
      <c r="AI9" s="97">
        <f t="shared" si="2"/>
        <v>70</v>
      </c>
      <c r="AJ9" s="97">
        <f t="shared" si="3"/>
        <v>178</v>
      </c>
      <c r="AK9" s="97">
        <f t="shared" si="4"/>
        <v>155</v>
      </c>
      <c r="AL9" s="97">
        <f t="shared" si="5"/>
        <v>144</v>
      </c>
      <c r="AM9" s="97">
        <f t="shared" si="6"/>
        <v>127</v>
      </c>
      <c r="AN9" s="97">
        <f t="shared" si="7"/>
        <v>112</v>
      </c>
      <c r="AP9" s="97" t="s">
        <v>16</v>
      </c>
      <c r="AQ9" s="97">
        <f t="shared" si="8"/>
        <v>319</v>
      </c>
      <c r="AR9" s="97">
        <f t="shared" si="8"/>
        <v>309</v>
      </c>
      <c r="AS9" s="97">
        <f t="shared" si="8"/>
        <v>651</v>
      </c>
      <c r="AT9" s="97">
        <f t="shared" si="8"/>
        <v>426</v>
      </c>
      <c r="AU9" s="97">
        <f t="shared" si="8"/>
        <v>419</v>
      </c>
      <c r="AV9" s="97">
        <f t="shared" si="8"/>
        <v>226</v>
      </c>
      <c r="AW9" s="97">
        <f t="shared" si="8"/>
        <v>280</v>
      </c>
    </row>
    <row r="10" spans="1:49" ht="18.75" customHeight="1">
      <c r="A10" s="193" t="s">
        <v>6</v>
      </c>
      <c r="B10" s="63" t="s">
        <v>13</v>
      </c>
      <c r="C10" s="57"/>
      <c r="D10" s="57"/>
      <c r="E10" s="57"/>
      <c r="F10" s="63">
        <v>27</v>
      </c>
      <c r="G10" s="63">
        <v>43</v>
      </c>
      <c r="H10" s="63">
        <v>41</v>
      </c>
      <c r="I10" s="63">
        <v>37</v>
      </c>
      <c r="J10" s="63">
        <v>28</v>
      </c>
      <c r="K10" s="194" t="s">
        <v>6</v>
      </c>
      <c r="L10" s="63" t="s">
        <v>13</v>
      </c>
      <c r="M10" s="63">
        <v>12</v>
      </c>
      <c r="N10" s="63">
        <v>12</v>
      </c>
      <c r="O10" s="63">
        <v>14</v>
      </c>
      <c r="P10" s="63">
        <v>18</v>
      </c>
      <c r="Q10" s="57"/>
      <c r="R10" s="57"/>
      <c r="S10" s="57"/>
      <c r="T10" s="58"/>
      <c r="U10" s="60">
        <f>SUM(C10:J10,M10:T10)</f>
        <v>232</v>
      </c>
      <c r="W10" s="55" t="s">
        <v>10</v>
      </c>
      <c r="X10" s="48">
        <f>SUM(U34:U39)</f>
        <v>1106</v>
      </c>
      <c r="Z10" s="197" t="s">
        <v>74</v>
      </c>
      <c r="AA10" s="203"/>
      <c r="AB10" s="83"/>
      <c r="AD10" s="55" t="s">
        <v>10</v>
      </c>
      <c r="AE10" s="48">
        <f t="shared" si="0"/>
        <v>458.2</v>
      </c>
      <c r="AG10" s="79" t="s">
        <v>17</v>
      </c>
      <c r="AH10" s="79">
        <f t="shared" si="1"/>
        <v>108</v>
      </c>
      <c r="AI10" s="79">
        <f t="shared" si="2"/>
        <v>51</v>
      </c>
      <c r="AJ10" s="79">
        <f t="shared" si="3"/>
        <v>147</v>
      </c>
      <c r="AK10" s="79">
        <f t="shared" si="4"/>
        <v>135</v>
      </c>
      <c r="AL10" s="79">
        <f t="shared" si="5"/>
        <v>85</v>
      </c>
      <c r="AM10" s="79">
        <f t="shared" si="6"/>
        <v>102</v>
      </c>
      <c r="AN10" s="79">
        <f t="shared" si="7"/>
        <v>62</v>
      </c>
      <c r="AP10" s="79" t="s">
        <v>17</v>
      </c>
      <c r="AQ10" s="79">
        <f t="shared" si="8"/>
        <v>339</v>
      </c>
      <c r="AR10" s="79">
        <f t="shared" si="8"/>
        <v>196</v>
      </c>
      <c r="AS10" s="79">
        <f t="shared" si="8"/>
        <v>592</v>
      </c>
      <c r="AT10" s="79">
        <f t="shared" si="8"/>
        <v>425</v>
      </c>
      <c r="AU10" s="79">
        <f t="shared" si="8"/>
        <v>391</v>
      </c>
      <c r="AV10" s="79">
        <f t="shared" si="8"/>
        <v>223</v>
      </c>
      <c r="AW10" s="79">
        <f t="shared" si="8"/>
        <v>215</v>
      </c>
    </row>
    <row r="11" spans="1:49" ht="18.75" customHeight="1">
      <c r="A11" s="230"/>
      <c r="B11" s="6" t="s">
        <v>14</v>
      </c>
      <c r="C11" s="5"/>
      <c r="D11" s="5"/>
      <c r="E11" s="5"/>
      <c r="F11" s="6">
        <v>4</v>
      </c>
      <c r="G11" s="6">
        <v>8</v>
      </c>
      <c r="H11" s="6">
        <v>7</v>
      </c>
      <c r="I11" s="6">
        <v>10</v>
      </c>
      <c r="J11" s="6">
        <v>8</v>
      </c>
      <c r="K11" s="227"/>
      <c r="L11" s="6" t="s">
        <v>14</v>
      </c>
      <c r="M11" s="6">
        <v>7</v>
      </c>
      <c r="N11" s="6">
        <v>3</v>
      </c>
      <c r="O11" s="6">
        <v>6</v>
      </c>
      <c r="P11" s="6">
        <v>4</v>
      </c>
      <c r="Q11" s="5"/>
      <c r="R11" s="5"/>
      <c r="S11" s="5"/>
      <c r="T11" s="49"/>
      <c r="U11" s="60">
        <f>SUM(C11:J11,M11:T11)</f>
        <v>57</v>
      </c>
      <c r="W11" s="81" t="s">
        <v>11</v>
      </c>
      <c r="X11" s="80">
        <f>SUM(U40:U45)</f>
        <v>1034</v>
      </c>
      <c r="AD11" s="81" t="s">
        <v>11</v>
      </c>
      <c r="AE11" s="48">
        <f t="shared" si="0"/>
        <v>602.79999999999995</v>
      </c>
      <c r="AG11" s="97" t="s">
        <v>18</v>
      </c>
      <c r="AH11" s="97">
        <f t="shared" si="1"/>
        <v>87</v>
      </c>
      <c r="AI11" s="97">
        <f t="shared" si="2"/>
        <v>72</v>
      </c>
      <c r="AJ11" s="97">
        <f t="shared" si="3"/>
        <v>163</v>
      </c>
      <c r="AK11" s="97">
        <f t="shared" si="4"/>
        <v>144</v>
      </c>
      <c r="AL11" s="97">
        <f t="shared" si="5"/>
        <v>129</v>
      </c>
      <c r="AM11" s="97">
        <f t="shared" si="6"/>
        <v>119</v>
      </c>
      <c r="AN11" s="97">
        <f t="shared" si="7"/>
        <v>85</v>
      </c>
      <c r="AP11" s="97" t="s">
        <v>18</v>
      </c>
      <c r="AQ11" s="97">
        <f t="shared" si="8"/>
        <v>346</v>
      </c>
      <c r="AR11" s="97">
        <f t="shared" si="8"/>
        <v>240</v>
      </c>
      <c r="AS11" s="97">
        <f t="shared" si="8"/>
        <v>660</v>
      </c>
      <c r="AT11" s="97">
        <f t="shared" si="8"/>
        <v>508</v>
      </c>
      <c r="AU11" s="97">
        <f t="shared" si="8"/>
        <v>500</v>
      </c>
      <c r="AV11" s="97">
        <f t="shared" si="8"/>
        <v>250</v>
      </c>
      <c r="AW11" s="97">
        <f t="shared" si="8"/>
        <v>296</v>
      </c>
    </row>
    <row r="12" spans="1:49" ht="18.75" customHeight="1">
      <c r="A12" s="230"/>
      <c r="B12" s="6" t="s">
        <v>15</v>
      </c>
      <c r="C12" s="5"/>
      <c r="D12" s="5"/>
      <c r="E12" s="5"/>
      <c r="F12" s="6">
        <v>21</v>
      </c>
      <c r="G12" s="6">
        <v>29</v>
      </c>
      <c r="H12" s="6">
        <v>30</v>
      </c>
      <c r="I12" s="6">
        <v>27</v>
      </c>
      <c r="J12" s="6">
        <v>11</v>
      </c>
      <c r="K12" s="227"/>
      <c r="L12" s="6" t="s">
        <v>15</v>
      </c>
      <c r="M12" s="6">
        <v>12</v>
      </c>
      <c r="N12" s="6">
        <v>5</v>
      </c>
      <c r="O12" s="6">
        <v>8</v>
      </c>
      <c r="P12" s="6">
        <v>8</v>
      </c>
      <c r="Q12" s="5"/>
      <c r="R12" s="5"/>
      <c r="S12" s="5"/>
      <c r="T12" s="49"/>
      <c r="U12" s="60">
        <f>SUM(C12:J12,M12:T12)</f>
        <v>151</v>
      </c>
      <c r="W12" s="79" t="s">
        <v>63</v>
      </c>
      <c r="X12" s="82">
        <f>SUM(X5:X11)</f>
        <v>7749</v>
      </c>
      <c r="AD12" s="79" t="s">
        <v>40</v>
      </c>
      <c r="AE12" s="82">
        <f>AVERAGE(AE5:AE11)</f>
        <v>745.94285714285718</v>
      </c>
    </row>
    <row r="13" spans="1:49" ht="18.75" customHeight="1">
      <c r="A13" s="230"/>
      <c r="B13" s="6" t="s">
        <v>16</v>
      </c>
      <c r="C13" s="5"/>
      <c r="D13" s="5"/>
      <c r="E13" s="5"/>
      <c r="F13" s="6">
        <v>10</v>
      </c>
      <c r="G13" s="6">
        <v>13</v>
      </c>
      <c r="H13" s="6">
        <v>9</v>
      </c>
      <c r="I13" s="6">
        <v>12</v>
      </c>
      <c r="J13" s="6">
        <v>11</v>
      </c>
      <c r="K13" s="227"/>
      <c r="L13" s="6" t="s">
        <v>16</v>
      </c>
      <c r="M13" s="6">
        <v>6</v>
      </c>
      <c r="N13" s="6">
        <v>3</v>
      </c>
      <c r="O13" s="6">
        <v>3</v>
      </c>
      <c r="P13" s="6">
        <v>3</v>
      </c>
      <c r="Q13" s="5"/>
      <c r="R13" s="5"/>
      <c r="S13" s="5"/>
      <c r="T13" s="49"/>
      <c r="U13" s="60">
        <f>SUM(C13:J13,M13:T13)</f>
        <v>70</v>
      </c>
    </row>
    <row r="14" spans="1:49" ht="18.75" customHeight="1">
      <c r="A14" s="230"/>
      <c r="B14" s="6" t="s">
        <v>17</v>
      </c>
      <c r="C14" s="5"/>
      <c r="D14" s="5"/>
      <c r="E14" s="5"/>
      <c r="F14" s="6">
        <v>5</v>
      </c>
      <c r="G14" s="6">
        <v>9</v>
      </c>
      <c r="H14" s="6">
        <v>10</v>
      </c>
      <c r="I14" s="6">
        <v>12</v>
      </c>
      <c r="J14" s="6">
        <v>7</v>
      </c>
      <c r="K14" s="227"/>
      <c r="L14" s="6" t="s">
        <v>17</v>
      </c>
      <c r="M14" s="6">
        <v>3</v>
      </c>
      <c r="N14" s="6">
        <v>2</v>
      </c>
      <c r="O14" s="6">
        <v>1</v>
      </c>
      <c r="P14" s="6">
        <v>2</v>
      </c>
      <c r="Q14" s="5"/>
      <c r="R14" s="5"/>
      <c r="S14" s="5"/>
      <c r="T14" s="49"/>
      <c r="U14" s="60">
        <f>SUM(C14:J14,M14:T14)</f>
        <v>51</v>
      </c>
    </row>
    <row r="15" spans="1:49" ht="18.75" customHeight="1">
      <c r="A15" s="230"/>
      <c r="B15" s="47" t="s">
        <v>18</v>
      </c>
      <c r="C15" s="64"/>
      <c r="D15" s="64"/>
      <c r="E15" s="64"/>
      <c r="F15" s="47">
        <v>8</v>
      </c>
      <c r="G15" s="47">
        <v>14</v>
      </c>
      <c r="H15" s="47">
        <v>13</v>
      </c>
      <c r="I15" s="47">
        <v>9</v>
      </c>
      <c r="J15" s="47">
        <v>10</v>
      </c>
      <c r="K15" s="227"/>
      <c r="L15" s="47" t="s">
        <v>18</v>
      </c>
      <c r="M15" s="47">
        <v>8</v>
      </c>
      <c r="N15" s="47">
        <v>3</v>
      </c>
      <c r="O15" s="47">
        <v>4</v>
      </c>
      <c r="P15" s="47">
        <v>3</v>
      </c>
      <c r="Q15" s="64"/>
      <c r="R15" s="64"/>
      <c r="S15" s="64"/>
      <c r="T15" s="65"/>
      <c r="U15" s="60">
        <f>SUM(C15:J15,M15:T15)</f>
        <v>72</v>
      </c>
    </row>
    <row r="16" spans="1:49" ht="18.75" customHeight="1">
      <c r="A16" s="195" t="s">
        <v>7</v>
      </c>
      <c r="B16" s="56" t="s">
        <v>13</v>
      </c>
      <c r="C16" s="56">
        <v>20</v>
      </c>
      <c r="D16" s="56">
        <v>12</v>
      </c>
      <c r="E16" s="56">
        <v>13</v>
      </c>
      <c r="F16" s="56">
        <v>21</v>
      </c>
      <c r="G16" s="56">
        <v>43</v>
      </c>
      <c r="H16" s="56">
        <v>40</v>
      </c>
      <c r="I16" s="56">
        <v>24</v>
      </c>
      <c r="J16" s="56">
        <v>37</v>
      </c>
      <c r="K16" s="196" t="s">
        <v>7</v>
      </c>
      <c r="L16" s="56" t="s">
        <v>13</v>
      </c>
      <c r="M16" s="56">
        <v>25</v>
      </c>
      <c r="N16" s="56">
        <v>25</v>
      </c>
      <c r="O16" s="56">
        <v>30</v>
      </c>
      <c r="P16" s="56">
        <v>35</v>
      </c>
      <c r="Q16" s="56">
        <v>40</v>
      </c>
      <c r="R16" s="56">
        <v>32</v>
      </c>
      <c r="S16" s="56">
        <v>20</v>
      </c>
      <c r="T16" s="67">
        <v>14</v>
      </c>
      <c r="U16" s="60">
        <f>SUM(C16:J16,M16:T16)</f>
        <v>431</v>
      </c>
    </row>
    <row r="17" spans="1:33" ht="18.75" customHeight="1">
      <c r="A17" s="230"/>
      <c r="B17" s="4" t="s">
        <v>14</v>
      </c>
      <c r="C17" s="4">
        <v>8</v>
      </c>
      <c r="D17" s="4">
        <v>14</v>
      </c>
      <c r="E17" s="4">
        <v>12</v>
      </c>
      <c r="F17" s="4">
        <v>14</v>
      </c>
      <c r="G17" s="4">
        <v>13</v>
      </c>
      <c r="H17" s="4">
        <v>10</v>
      </c>
      <c r="I17" s="4">
        <v>17</v>
      </c>
      <c r="J17" s="4">
        <v>15</v>
      </c>
      <c r="K17" s="227"/>
      <c r="L17" s="4" t="s">
        <v>14</v>
      </c>
      <c r="M17" s="4">
        <v>10</v>
      </c>
      <c r="N17" s="4">
        <v>14</v>
      </c>
      <c r="O17" s="4">
        <v>12</v>
      </c>
      <c r="P17" s="4">
        <v>10</v>
      </c>
      <c r="Q17" s="4">
        <v>13</v>
      </c>
      <c r="R17" s="4">
        <v>11</v>
      </c>
      <c r="S17" s="4">
        <v>5</v>
      </c>
      <c r="T17" s="50">
        <v>5</v>
      </c>
      <c r="U17" s="60">
        <f>SUM(C17:J17,M17:T17)</f>
        <v>183</v>
      </c>
    </row>
    <row r="18" spans="1:33" ht="18.75" customHeight="1">
      <c r="A18" s="230"/>
      <c r="B18" s="4" t="s">
        <v>15</v>
      </c>
      <c r="C18" s="4">
        <v>17</v>
      </c>
      <c r="D18" s="4">
        <v>18</v>
      </c>
      <c r="E18" s="4">
        <v>24</v>
      </c>
      <c r="F18" s="4">
        <v>10</v>
      </c>
      <c r="G18" s="4">
        <v>25</v>
      </c>
      <c r="H18" s="4">
        <v>28</v>
      </c>
      <c r="I18" s="4">
        <v>30</v>
      </c>
      <c r="J18" s="4">
        <v>24</v>
      </c>
      <c r="K18" s="227"/>
      <c r="L18" s="4" t="s">
        <v>15</v>
      </c>
      <c r="M18" s="4">
        <v>21</v>
      </c>
      <c r="N18" s="4">
        <v>25</v>
      </c>
      <c r="O18" s="4">
        <v>27</v>
      </c>
      <c r="P18" s="4">
        <v>35</v>
      </c>
      <c r="Q18" s="4">
        <v>32</v>
      </c>
      <c r="R18" s="4">
        <v>51</v>
      </c>
      <c r="S18" s="4">
        <v>25</v>
      </c>
      <c r="T18" s="50">
        <v>13</v>
      </c>
      <c r="U18" s="60">
        <f>SUM(C18:J18,M18:T18)</f>
        <v>405</v>
      </c>
    </row>
    <row r="19" spans="1:33" ht="18.75" customHeight="1">
      <c r="A19" s="230"/>
      <c r="B19" s="4" t="s">
        <v>16</v>
      </c>
      <c r="C19" s="4">
        <v>1</v>
      </c>
      <c r="D19" s="4">
        <v>5</v>
      </c>
      <c r="E19" s="4">
        <v>5</v>
      </c>
      <c r="F19" s="4">
        <v>13</v>
      </c>
      <c r="G19" s="4">
        <v>13</v>
      </c>
      <c r="H19" s="4">
        <v>20</v>
      </c>
      <c r="I19" s="4">
        <v>24</v>
      </c>
      <c r="J19" s="4">
        <v>11</v>
      </c>
      <c r="K19" s="227"/>
      <c r="L19" s="4" t="s">
        <v>16</v>
      </c>
      <c r="M19" s="4">
        <v>12</v>
      </c>
      <c r="N19" s="4">
        <v>17</v>
      </c>
      <c r="O19" s="4">
        <v>8</v>
      </c>
      <c r="P19" s="4">
        <v>14</v>
      </c>
      <c r="Q19" s="4">
        <v>13</v>
      </c>
      <c r="R19" s="4">
        <v>8</v>
      </c>
      <c r="S19" s="4">
        <v>9</v>
      </c>
      <c r="T19" s="50">
        <v>5</v>
      </c>
      <c r="U19" s="60">
        <f>SUM(C19:J19,M19:T19)</f>
        <v>178</v>
      </c>
    </row>
    <row r="20" spans="1:33" ht="18.75" customHeight="1">
      <c r="A20" s="230"/>
      <c r="B20" s="4" t="s">
        <v>17</v>
      </c>
      <c r="C20" s="4">
        <v>4</v>
      </c>
      <c r="D20" s="4">
        <v>5</v>
      </c>
      <c r="E20" s="4">
        <v>3</v>
      </c>
      <c r="F20" s="4">
        <v>5</v>
      </c>
      <c r="G20" s="4">
        <v>11</v>
      </c>
      <c r="H20" s="4">
        <v>17</v>
      </c>
      <c r="I20" s="4">
        <v>8</v>
      </c>
      <c r="J20" s="4">
        <v>12</v>
      </c>
      <c r="K20" s="227"/>
      <c r="L20" s="4" t="s">
        <v>17</v>
      </c>
      <c r="M20" s="4">
        <v>12</v>
      </c>
      <c r="N20" s="4">
        <v>11</v>
      </c>
      <c r="O20" s="4">
        <v>10</v>
      </c>
      <c r="P20" s="4">
        <v>10</v>
      </c>
      <c r="Q20" s="4">
        <v>16</v>
      </c>
      <c r="R20" s="4">
        <v>10</v>
      </c>
      <c r="S20" s="4">
        <v>9</v>
      </c>
      <c r="T20" s="50">
        <v>4</v>
      </c>
      <c r="U20" s="60">
        <f>SUM(C20:J20,M20:T20)</f>
        <v>147</v>
      </c>
    </row>
    <row r="21" spans="1:33" ht="18.75" customHeight="1">
      <c r="A21" s="230"/>
      <c r="B21" s="46" t="s">
        <v>18</v>
      </c>
      <c r="C21" s="46">
        <v>17</v>
      </c>
      <c r="D21" s="46">
        <v>10</v>
      </c>
      <c r="E21" s="46">
        <v>7</v>
      </c>
      <c r="F21" s="46">
        <v>2</v>
      </c>
      <c r="G21" s="46">
        <v>15</v>
      </c>
      <c r="H21" s="46">
        <v>18</v>
      </c>
      <c r="I21" s="46">
        <v>9</v>
      </c>
      <c r="J21" s="46">
        <v>8</v>
      </c>
      <c r="K21" s="227"/>
      <c r="L21" s="46" t="s">
        <v>18</v>
      </c>
      <c r="M21" s="46">
        <v>10</v>
      </c>
      <c r="N21" s="46">
        <v>8</v>
      </c>
      <c r="O21" s="46">
        <v>9</v>
      </c>
      <c r="P21" s="46">
        <v>14</v>
      </c>
      <c r="Q21" s="46">
        <v>12</v>
      </c>
      <c r="R21" s="46">
        <v>5</v>
      </c>
      <c r="S21" s="46">
        <v>13</v>
      </c>
      <c r="T21" s="69">
        <v>6</v>
      </c>
      <c r="U21" s="60">
        <f>SUM(C21:J21,M21:T21)</f>
        <v>163</v>
      </c>
    </row>
    <row r="22" spans="1:33" ht="18.75" customHeight="1">
      <c r="A22" s="193" t="s">
        <v>8</v>
      </c>
      <c r="B22" s="63" t="s">
        <v>13</v>
      </c>
      <c r="C22" s="63">
        <v>23</v>
      </c>
      <c r="D22" s="63">
        <v>17</v>
      </c>
      <c r="E22" s="63">
        <v>24</v>
      </c>
      <c r="F22" s="63">
        <v>26</v>
      </c>
      <c r="G22" s="63">
        <v>40</v>
      </c>
      <c r="H22" s="63">
        <v>38</v>
      </c>
      <c r="I22" s="63">
        <v>20</v>
      </c>
      <c r="J22" s="63">
        <v>12</v>
      </c>
      <c r="K22" s="194" t="s">
        <v>8</v>
      </c>
      <c r="L22" s="63" t="s">
        <v>13</v>
      </c>
      <c r="M22" s="63">
        <v>17</v>
      </c>
      <c r="N22" s="63">
        <v>18</v>
      </c>
      <c r="O22" s="63">
        <v>33</v>
      </c>
      <c r="P22" s="63">
        <v>29</v>
      </c>
      <c r="Q22" s="63">
        <v>38</v>
      </c>
      <c r="R22" s="63">
        <v>29</v>
      </c>
      <c r="S22" s="63">
        <v>19</v>
      </c>
      <c r="T22" s="68">
        <v>18</v>
      </c>
      <c r="U22" s="60">
        <f>SUM(C22:J22,M22:T22)</f>
        <v>401</v>
      </c>
    </row>
    <row r="23" spans="1:33" ht="18.75" customHeight="1">
      <c r="A23" s="230"/>
      <c r="B23" s="6" t="s">
        <v>14</v>
      </c>
      <c r="C23" s="6">
        <v>1</v>
      </c>
      <c r="D23" s="6">
        <v>6</v>
      </c>
      <c r="E23" s="6">
        <v>7</v>
      </c>
      <c r="F23" s="6">
        <v>10</v>
      </c>
      <c r="G23" s="6">
        <v>9</v>
      </c>
      <c r="H23" s="6">
        <v>11</v>
      </c>
      <c r="I23" s="6">
        <v>18</v>
      </c>
      <c r="J23" s="6">
        <v>13</v>
      </c>
      <c r="K23" s="227"/>
      <c r="L23" s="6" t="s">
        <v>14</v>
      </c>
      <c r="M23" s="6">
        <v>11</v>
      </c>
      <c r="N23" s="6">
        <v>10</v>
      </c>
      <c r="O23" s="6">
        <v>9</v>
      </c>
      <c r="P23" s="6">
        <v>6</v>
      </c>
      <c r="Q23" s="6">
        <v>10</v>
      </c>
      <c r="R23" s="6">
        <v>4</v>
      </c>
      <c r="S23" s="6">
        <v>4</v>
      </c>
      <c r="T23" s="51">
        <v>1</v>
      </c>
      <c r="U23" s="60">
        <f>SUM(C23:J23,M23:T23)</f>
        <v>130</v>
      </c>
    </row>
    <row r="24" spans="1:33" ht="18.75" customHeight="1">
      <c r="A24" s="230"/>
      <c r="B24" s="6" t="s">
        <v>15</v>
      </c>
      <c r="C24" s="6">
        <v>14</v>
      </c>
      <c r="D24" s="6">
        <v>16</v>
      </c>
      <c r="E24" s="6">
        <v>15</v>
      </c>
      <c r="F24" s="6">
        <v>20</v>
      </c>
      <c r="G24" s="6">
        <v>24</v>
      </c>
      <c r="H24" s="6">
        <v>23</v>
      </c>
      <c r="I24" s="6">
        <v>28</v>
      </c>
      <c r="J24" s="6">
        <v>12</v>
      </c>
      <c r="K24" s="227"/>
      <c r="L24" s="6" t="s">
        <v>15</v>
      </c>
      <c r="M24" s="6">
        <v>12</v>
      </c>
      <c r="N24" s="6">
        <v>16</v>
      </c>
      <c r="O24" s="6">
        <v>19</v>
      </c>
      <c r="P24" s="6">
        <v>19</v>
      </c>
      <c r="Q24" s="6">
        <v>28</v>
      </c>
      <c r="R24" s="6">
        <v>35</v>
      </c>
      <c r="S24" s="6">
        <v>30</v>
      </c>
      <c r="T24" s="51">
        <v>27</v>
      </c>
      <c r="U24" s="60">
        <f>SUM(C24:J24,M24:T24)</f>
        <v>338</v>
      </c>
    </row>
    <row r="25" spans="1:33" ht="18.75" customHeight="1">
      <c r="A25" s="230"/>
      <c r="B25" s="6" t="s">
        <v>16</v>
      </c>
      <c r="C25" s="6">
        <v>4</v>
      </c>
      <c r="D25" s="6">
        <v>3</v>
      </c>
      <c r="E25" s="6">
        <v>7</v>
      </c>
      <c r="F25" s="6">
        <v>9</v>
      </c>
      <c r="G25" s="6">
        <v>10</v>
      </c>
      <c r="H25" s="6">
        <v>18</v>
      </c>
      <c r="I25" s="6">
        <v>26</v>
      </c>
      <c r="J25" s="6">
        <v>11</v>
      </c>
      <c r="K25" s="227"/>
      <c r="L25" s="6" t="s">
        <v>16</v>
      </c>
      <c r="M25" s="6">
        <v>8</v>
      </c>
      <c r="N25" s="6">
        <v>7</v>
      </c>
      <c r="O25" s="6">
        <v>9</v>
      </c>
      <c r="P25" s="6">
        <v>8</v>
      </c>
      <c r="Q25" s="6">
        <v>10</v>
      </c>
      <c r="R25" s="6">
        <v>12</v>
      </c>
      <c r="S25" s="6">
        <v>5</v>
      </c>
      <c r="T25" s="51">
        <v>8</v>
      </c>
      <c r="U25" s="60">
        <f>SUM(C25:J25,M25:T25)</f>
        <v>155</v>
      </c>
    </row>
    <row r="26" spans="1:33" ht="18.75" customHeight="1">
      <c r="A26" s="230"/>
      <c r="B26" s="6" t="s">
        <v>17</v>
      </c>
      <c r="C26" s="6">
        <v>8</v>
      </c>
      <c r="D26" s="6">
        <v>6</v>
      </c>
      <c r="E26" s="6">
        <v>8</v>
      </c>
      <c r="F26" s="6">
        <v>7</v>
      </c>
      <c r="G26" s="6">
        <v>8</v>
      </c>
      <c r="H26" s="6">
        <v>16</v>
      </c>
      <c r="I26" s="6">
        <v>9</v>
      </c>
      <c r="J26" s="6">
        <v>11</v>
      </c>
      <c r="K26" s="227"/>
      <c r="L26" s="6" t="s">
        <v>17</v>
      </c>
      <c r="M26" s="6">
        <v>8</v>
      </c>
      <c r="N26" s="6">
        <v>10</v>
      </c>
      <c r="O26" s="6">
        <v>7</v>
      </c>
      <c r="P26" s="6">
        <v>7</v>
      </c>
      <c r="Q26" s="6">
        <v>11</v>
      </c>
      <c r="R26" s="6">
        <v>8</v>
      </c>
      <c r="S26" s="6">
        <v>6</v>
      </c>
      <c r="T26" s="51">
        <v>5</v>
      </c>
      <c r="U26" s="60">
        <f>SUM(C26:J26,M26:T26)</f>
        <v>135</v>
      </c>
      <c r="AG26" s="95"/>
    </row>
    <row r="27" spans="1:33" ht="18.75" customHeight="1">
      <c r="A27" s="230"/>
      <c r="B27" s="47" t="s">
        <v>18</v>
      </c>
      <c r="C27" s="47">
        <v>10</v>
      </c>
      <c r="D27" s="47">
        <v>5</v>
      </c>
      <c r="E27" s="47">
        <v>7</v>
      </c>
      <c r="F27" s="47">
        <v>9</v>
      </c>
      <c r="G27" s="47">
        <v>14</v>
      </c>
      <c r="H27" s="47">
        <v>20</v>
      </c>
      <c r="I27" s="47">
        <v>8</v>
      </c>
      <c r="J27" s="47">
        <v>3</v>
      </c>
      <c r="K27" s="227"/>
      <c r="L27" s="47" t="s">
        <v>18</v>
      </c>
      <c r="M27" s="47">
        <v>3</v>
      </c>
      <c r="N27" s="47">
        <v>2</v>
      </c>
      <c r="O27" s="47">
        <v>11</v>
      </c>
      <c r="P27" s="47">
        <v>8</v>
      </c>
      <c r="Q27" s="47">
        <v>13</v>
      </c>
      <c r="R27" s="47">
        <v>13</v>
      </c>
      <c r="S27" s="47">
        <v>13</v>
      </c>
      <c r="T27" s="70">
        <v>5</v>
      </c>
      <c r="U27" s="60">
        <f>SUM(C27:J27,M27:T27)</f>
        <v>144</v>
      </c>
      <c r="AG27" s="96"/>
    </row>
    <row r="28" spans="1:33" ht="18.75" customHeight="1">
      <c r="A28" s="195" t="s">
        <v>9</v>
      </c>
      <c r="B28" s="56" t="s">
        <v>13</v>
      </c>
      <c r="C28" s="56">
        <v>26</v>
      </c>
      <c r="D28" s="56">
        <v>23</v>
      </c>
      <c r="E28" s="56">
        <v>19</v>
      </c>
      <c r="F28" s="56">
        <v>22</v>
      </c>
      <c r="G28" s="56">
        <v>30</v>
      </c>
      <c r="H28" s="56">
        <v>34</v>
      </c>
      <c r="I28" s="56">
        <v>26</v>
      </c>
      <c r="J28" s="56">
        <v>29</v>
      </c>
      <c r="K28" s="196" t="s">
        <v>9</v>
      </c>
      <c r="L28" s="56" t="s">
        <v>13</v>
      </c>
      <c r="M28" s="56">
        <v>20</v>
      </c>
      <c r="N28" s="56">
        <v>19</v>
      </c>
      <c r="O28" s="56">
        <v>21</v>
      </c>
      <c r="P28" s="56">
        <v>27</v>
      </c>
      <c r="Q28" s="56">
        <v>30</v>
      </c>
      <c r="R28" s="56">
        <v>38</v>
      </c>
      <c r="S28" s="56">
        <v>8</v>
      </c>
      <c r="T28" s="67">
        <v>9</v>
      </c>
      <c r="U28" s="60">
        <f>SUM(C28:J28,M28:T28)</f>
        <v>381</v>
      </c>
      <c r="AG28" s="96"/>
    </row>
    <row r="29" spans="1:33" ht="18.75" customHeight="1">
      <c r="A29" s="230"/>
      <c r="B29" s="4" t="s">
        <v>14</v>
      </c>
      <c r="C29" s="4">
        <v>11</v>
      </c>
      <c r="D29" s="4">
        <v>11</v>
      </c>
      <c r="E29" s="4">
        <v>9</v>
      </c>
      <c r="F29" s="4">
        <v>14</v>
      </c>
      <c r="G29" s="4">
        <v>16</v>
      </c>
      <c r="H29" s="4">
        <v>10</v>
      </c>
      <c r="I29" s="4">
        <v>15</v>
      </c>
      <c r="J29" s="4">
        <v>16</v>
      </c>
      <c r="K29" s="227"/>
      <c r="L29" s="4" t="s">
        <v>14</v>
      </c>
      <c r="M29" s="4">
        <v>13</v>
      </c>
      <c r="N29" s="4">
        <v>8</v>
      </c>
      <c r="O29" s="4">
        <v>16</v>
      </c>
      <c r="P29" s="4">
        <v>7</v>
      </c>
      <c r="Q29" s="4">
        <v>8</v>
      </c>
      <c r="R29" s="4">
        <v>9</v>
      </c>
      <c r="S29" s="4">
        <v>1</v>
      </c>
      <c r="T29" s="50">
        <v>1</v>
      </c>
      <c r="U29" s="60">
        <f>SUM(C29:J29,M29:T29)</f>
        <v>165</v>
      </c>
      <c r="AG29" s="96"/>
    </row>
    <row r="30" spans="1:33" ht="18.75" customHeight="1">
      <c r="A30" s="230"/>
      <c r="B30" s="4" t="s">
        <v>15</v>
      </c>
      <c r="C30" s="4">
        <v>28</v>
      </c>
      <c r="D30" s="4">
        <v>23</v>
      </c>
      <c r="E30" s="4">
        <v>18</v>
      </c>
      <c r="F30" s="4">
        <v>20</v>
      </c>
      <c r="G30" s="4">
        <v>21</v>
      </c>
      <c r="H30" s="4">
        <v>29</v>
      </c>
      <c r="I30" s="4">
        <v>12</v>
      </c>
      <c r="J30" s="4">
        <v>16</v>
      </c>
      <c r="K30" s="227"/>
      <c r="L30" s="4" t="s">
        <v>15</v>
      </c>
      <c r="M30" s="4">
        <v>20</v>
      </c>
      <c r="N30" s="4">
        <v>19</v>
      </c>
      <c r="O30" s="4">
        <v>9</v>
      </c>
      <c r="P30" s="4">
        <v>29</v>
      </c>
      <c r="Q30" s="4">
        <v>30</v>
      </c>
      <c r="R30" s="4">
        <v>27</v>
      </c>
      <c r="S30" s="4">
        <v>29</v>
      </c>
      <c r="T30" s="50">
        <v>12</v>
      </c>
      <c r="U30" s="60">
        <f>SUM(C30:J30,M30:T30)</f>
        <v>342</v>
      </c>
      <c r="AG30" s="96"/>
    </row>
    <row r="31" spans="1:33" ht="18.75" customHeight="1">
      <c r="A31" s="230"/>
      <c r="B31" s="4" t="s">
        <v>16</v>
      </c>
      <c r="C31" s="4">
        <v>6</v>
      </c>
      <c r="D31" s="4">
        <v>8</v>
      </c>
      <c r="E31" s="4">
        <v>4</v>
      </c>
      <c r="F31" s="4">
        <v>14</v>
      </c>
      <c r="G31" s="4">
        <v>9</v>
      </c>
      <c r="H31" s="4">
        <v>23</v>
      </c>
      <c r="I31" s="4">
        <v>12</v>
      </c>
      <c r="J31" s="4">
        <v>16</v>
      </c>
      <c r="K31" s="227"/>
      <c r="L31" s="4" t="s">
        <v>16</v>
      </c>
      <c r="M31" s="4">
        <v>4</v>
      </c>
      <c r="N31" s="4">
        <v>8</v>
      </c>
      <c r="O31" s="4">
        <v>8</v>
      </c>
      <c r="P31" s="4">
        <v>4</v>
      </c>
      <c r="Q31" s="4">
        <v>11</v>
      </c>
      <c r="R31" s="4">
        <v>4</v>
      </c>
      <c r="S31" s="4">
        <v>9</v>
      </c>
      <c r="T31" s="50">
        <v>4</v>
      </c>
      <c r="U31" s="60">
        <f>SUM(C31:J31,M31:T31)</f>
        <v>144</v>
      </c>
      <c r="AG31" s="96"/>
    </row>
    <row r="32" spans="1:33" ht="18.75" customHeight="1">
      <c r="A32" s="230"/>
      <c r="B32" s="4" t="s">
        <v>17</v>
      </c>
      <c r="C32" s="4">
        <v>4</v>
      </c>
      <c r="D32" s="4">
        <v>8</v>
      </c>
      <c r="E32" s="4">
        <v>5</v>
      </c>
      <c r="F32" s="4">
        <v>8</v>
      </c>
      <c r="G32" s="4">
        <v>7</v>
      </c>
      <c r="H32" s="4">
        <v>6</v>
      </c>
      <c r="I32" s="4">
        <v>8</v>
      </c>
      <c r="J32" s="4">
        <v>6</v>
      </c>
      <c r="K32" s="227"/>
      <c r="L32" s="4" t="s">
        <v>17</v>
      </c>
      <c r="M32" s="4">
        <v>4</v>
      </c>
      <c r="N32" s="4">
        <v>3</v>
      </c>
      <c r="O32" s="4">
        <v>4</v>
      </c>
      <c r="P32" s="4">
        <v>4</v>
      </c>
      <c r="Q32" s="4">
        <v>4</v>
      </c>
      <c r="R32" s="4">
        <v>8</v>
      </c>
      <c r="S32" s="4">
        <v>5</v>
      </c>
      <c r="T32" s="50">
        <v>1</v>
      </c>
      <c r="U32" s="60">
        <f>SUM(C32:J32,M32:T32)</f>
        <v>85</v>
      </c>
      <c r="AG32" s="96"/>
    </row>
    <row r="33" spans="1:33" ht="18.75" customHeight="1">
      <c r="A33" s="230"/>
      <c r="B33" s="46" t="s">
        <v>18</v>
      </c>
      <c r="C33" s="46">
        <v>19</v>
      </c>
      <c r="D33" s="46">
        <v>9</v>
      </c>
      <c r="E33" s="46">
        <v>5</v>
      </c>
      <c r="F33" s="46">
        <v>6</v>
      </c>
      <c r="G33" s="46">
        <v>6</v>
      </c>
      <c r="H33" s="46">
        <v>8</v>
      </c>
      <c r="I33" s="46">
        <v>8</v>
      </c>
      <c r="J33" s="46">
        <v>9</v>
      </c>
      <c r="K33" s="227"/>
      <c r="L33" s="46" t="s">
        <v>18</v>
      </c>
      <c r="M33" s="46">
        <v>7</v>
      </c>
      <c r="N33" s="46">
        <v>8</v>
      </c>
      <c r="O33" s="46">
        <v>8</v>
      </c>
      <c r="P33" s="46">
        <v>7</v>
      </c>
      <c r="Q33" s="46">
        <v>14</v>
      </c>
      <c r="R33" s="46">
        <v>8</v>
      </c>
      <c r="S33" s="46">
        <v>3</v>
      </c>
      <c r="T33" s="69">
        <v>4</v>
      </c>
      <c r="U33" s="60">
        <f>SUM(C33:J33,M33:T33)</f>
        <v>129</v>
      </c>
      <c r="AG33" s="95"/>
    </row>
    <row r="34" spans="1:33" ht="18.75" customHeight="1">
      <c r="A34" s="193" t="s">
        <v>10</v>
      </c>
      <c r="B34" s="63" t="s">
        <v>13</v>
      </c>
      <c r="C34" s="178">
        <v>16</v>
      </c>
      <c r="D34" s="178">
        <v>18</v>
      </c>
      <c r="E34" s="178">
        <v>19</v>
      </c>
      <c r="F34" s="178">
        <v>17</v>
      </c>
      <c r="G34" s="178">
        <v>30</v>
      </c>
      <c r="H34" s="178">
        <v>28</v>
      </c>
      <c r="I34" s="178">
        <v>31</v>
      </c>
      <c r="J34" s="178">
        <v>29</v>
      </c>
      <c r="K34" s="194" t="s">
        <v>10</v>
      </c>
      <c r="L34" s="63" t="s">
        <v>13</v>
      </c>
      <c r="M34" s="121">
        <v>17</v>
      </c>
      <c r="N34" s="121">
        <v>20</v>
      </c>
      <c r="O34" s="121">
        <v>25</v>
      </c>
      <c r="P34" s="121">
        <v>22</v>
      </c>
      <c r="Q34" s="121">
        <v>24</v>
      </c>
      <c r="R34" s="121">
        <v>29</v>
      </c>
      <c r="S34" s="121">
        <v>17</v>
      </c>
      <c r="T34" s="124">
        <v>6</v>
      </c>
      <c r="U34" s="60">
        <f>SUM(C34:J34,M34:T34)</f>
        <v>348</v>
      </c>
      <c r="AG34" s="96"/>
    </row>
    <row r="35" spans="1:33" ht="18.75" customHeight="1">
      <c r="A35" s="230"/>
      <c r="B35" s="6" t="s">
        <v>14</v>
      </c>
      <c r="C35" s="26">
        <v>4</v>
      </c>
      <c r="D35" s="26">
        <v>3</v>
      </c>
      <c r="E35" s="26">
        <v>6</v>
      </c>
      <c r="F35" s="26">
        <v>9</v>
      </c>
      <c r="G35" s="26">
        <v>12</v>
      </c>
      <c r="H35" s="26">
        <v>12</v>
      </c>
      <c r="I35" s="26">
        <v>12</v>
      </c>
      <c r="J35" s="26">
        <v>10</v>
      </c>
      <c r="K35" s="227"/>
      <c r="L35" s="6" t="s">
        <v>14</v>
      </c>
      <c r="M35" s="122">
        <v>12</v>
      </c>
      <c r="N35" s="122">
        <v>12</v>
      </c>
      <c r="O35" s="122">
        <v>11</v>
      </c>
      <c r="P35" s="122">
        <v>4</v>
      </c>
      <c r="Q35" s="122">
        <v>6</v>
      </c>
      <c r="R35" s="122">
        <v>0</v>
      </c>
      <c r="S35" s="122">
        <v>5</v>
      </c>
      <c r="T35" s="125">
        <v>2</v>
      </c>
      <c r="U35" s="60">
        <f>SUM(C35:J35,M35:T35)</f>
        <v>120</v>
      </c>
      <c r="AG35" s="96"/>
    </row>
    <row r="36" spans="1:33" ht="18.75" customHeight="1">
      <c r="A36" s="230"/>
      <c r="B36" s="6" t="s">
        <v>15</v>
      </c>
      <c r="C36" s="26">
        <v>15</v>
      </c>
      <c r="D36" s="26">
        <v>12</v>
      </c>
      <c r="E36" s="26">
        <v>17</v>
      </c>
      <c r="F36" s="26">
        <v>15</v>
      </c>
      <c r="G36" s="26">
        <v>21</v>
      </c>
      <c r="H36" s="26">
        <v>20</v>
      </c>
      <c r="I36" s="26">
        <v>22</v>
      </c>
      <c r="J36" s="26">
        <v>19</v>
      </c>
      <c r="K36" s="227"/>
      <c r="L36" s="6" t="s">
        <v>15</v>
      </c>
      <c r="M36" s="122">
        <v>21</v>
      </c>
      <c r="N36" s="122">
        <v>12</v>
      </c>
      <c r="O36" s="122">
        <v>23</v>
      </c>
      <c r="P36" s="122">
        <v>21</v>
      </c>
      <c r="Q36" s="122">
        <v>23</v>
      </c>
      <c r="R36" s="122">
        <v>17</v>
      </c>
      <c r="S36" s="122">
        <v>19</v>
      </c>
      <c r="T36" s="125">
        <v>13</v>
      </c>
      <c r="U36" s="60">
        <f>SUM(C36:J36,M36:T36)</f>
        <v>290</v>
      </c>
      <c r="AG36" s="96"/>
    </row>
    <row r="37" spans="1:33" ht="18.75" customHeight="1">
      <c r="A37" s="230"/>
      <c r="B37" s="6" t="s">
        <v>16</v>
      </c>
      <c r="C37" s="26">
        <v>3</v>
      </c>
      <c r="D37" s="26">
        <v>2</v>
      </c>
      <c r="E37" s="26">
        <v>5</v>
      </c>
      <c r="F37" s="26">
        <v>8</v>
      </c>
      <c r="G37" s="26">
        <v>19</v>
      </c>
      <c r="H37" s="26">
        <v>11</v>
      </c>
      <c r="I37" s="26">
        <v>9</v>
      </c>
      <c r="J37" s="26">
        <v>17</v>
      </c>
      <c r="K37" s="227"/>
      <c r="L37" s="6" t="s">
        <v>16</v>
      </c>
      <c r="M37" s="122">
        <v>13</v>
      </c>
      <c r="N37" s="122">
        <v>10</v>
      </c>
      <c r="O37" s="122">
        <v>12</v>
      </c>
      <c r="P37" s="122">
        <v>3</v>
      </c>
      <c r="Q37" s="122">
        <v>6</v>
      </c>
      <c r="R37" s="122">
        <v>3</v>
      </c>
      <c r="S37" s="122">
        <v>5</v>
      </c>
      <c r="T37" s="125">
        <v>1</v>
      </c>
      <c r="U37" s="60">
        <f>SUM(C37:J37,M37:T37)</f>
        <v>127</v>
      </c>
      <c r="AG37" s="96"/>
    </row>
    <row r="38" spans="1:33" ht="18.75" customHeight="1">
      <c r="A38" s="230"/>
      <c r="B38" s="6" t="s">
        <v>17</v>
      </c>
      <c r="C38" s="26">
        <v>3</v>
      </c>
      <c r="D38" s="26">
        <v>4</v>
      </c>
      <c r="E38" s="26">
        <v>4</v>
      </c>
      <c r="F38" s="26">
        <v>6</v>
      </c>
      <c r="G38" s="26">
        <v>18</v>
      </c>
      <c r="H38" s="26">
        <v>12</v>
      </c>
      <c r="I38" s="26">
        <v>10</v>
      </c>
      <c r="J38" s="26">
        <v>7</v>
      </c>
      <c r="K38" s="227"/>
      <c r="L38" s="6" t="s">
        <v>17</v>
      </c>
      <c r="M38" s="122">
        <v>8</v>
      </c>
      <c r="N38" s="122">
        <v>7</v>
      </c>
      <c r="O38" s="122">
        <v>3</v>
      </c>
      <c r="P38" s="122">
        <v>6</v>
      </c>
      <c r="Q38" s="122">
        <v>4</v>
      </c>
      <c r="R38" s="122">
        <v>3</v>
      </c>
      <c r="S38" s="122">
        <v>6</v>
      </c>
      <c r="T38" s="125">
        <v>1</v>
      </c>
      <c r="U38" s="60">
        <f>SUM(C38:J38,M38:T38)</f>
        <v>102</v>
      </c>
      <c r="AG38" s="96"/>
    </row>
    <row r="39" spans="1:33" ht="18.75" customHeight="1">
      <c r="A39" s="230"/>
      <c r="B39" s="47" t="s">
        <v>18</v>
      </c>
      <c r="C39" s="179">
        <v>14</v>
      </c>
      <c r="D39" s="179">
        <v>6</v>
      </c>
      <c r="E39" s="179">
        <v>6</v>
      </c>
      <c r="F39" s="179">
        <v>7</v>
      </c>
      <c r="G39" s="179">
        <v>12</v>
      </c>
      <c r="H39" s="179">
        <v>10</v>
      </c>
      <c r="I39" s="179">
        <v>7</v>
      </c>
      <c r="J39" s="179">
        <v>5</v>
      </c>
      <c r="K39" s="227"/>
      <c r="L39" s="47" t="s">
        <v>18</v>
      </c>
      <c r="M39" s="123">
        <v>4</v>
      </c>
      <c r="N39" s="123">
        <v>8</v>
      </c>
      <c r="O39" s="123">
        <v>4</v>
      </c>
      <c r="P39" s="123">
        <v>6</v>
      </c>
      <c r="Q39" s="123">
        <v>10</v>
      </c>
      <c r="R39" s="123">
        <v>5</v>
      </c>
      <c r="S39" s="123">
        <v>10</v>
      </c>
      <c r="T39" s="126">
        <v>5</v>
      </c>
      <c r="U39" s="60">
        <f>SUM(C39:J39,M39:T39)</f>
        <v>119</v>
      </c>
      <c r="AG39" s="96"/>
    </row>
    <row r="40" spans="1:33" ht="18.75" customHeight="1">
      <c r="A40" s="195" t="s">
        <v>11</v>
      </c>
      <c r="B40" s="56" t="s">
        <v>13</v>
      </c>
      <c r="C40" s="180">
        <v>17</v>
      </c>
      <c r="D40" s="180">
        <v>16</v>
      </c>
      <c r="E40" s="180">
        <v>18</v>
      </c>
      <c r="F40" s="180">
        <v>32</v>
      </c>
      <c r="G40" s="180">
        <v>35</v>
      </c>
      <c r="H40" s="180">
        <v>40</v>
      </c>
      <c r="I40" s="180">
        <v>23</v>
      </c>
      <c r="J40" s="180">
        <v>30</v>
      </c>
      <c r="K40" s="196" t="s">
        <v>11</v>
      </c>
      <c r="L40" s="56" t="s">
        <v>13</v>
      </c>
      <c r="M40" s="127">
        <v>20</v>
      </c>
      <c r="N40" s="127">
        <v>19</v>
      </c>
      <c r="O40" s="127">
        <v>21</v>
      </c>
      <c r="P40" s="127">
        <v>22</v>
      </c>
      <c r="Q40" s="127">
        <v>23</v>
      </c>
      <c r="R40" s="127">
        <v>16</v>
      </c>
      <c r="S40" s="127">
        <v>7</v>
      </c>
      <c r="T40" s="130">
        <v>10</v>
      </c>
      <c r="U40" s="60">
        <f>SUM(C40:J40,M40:T40)</f>
        <v>349</v>
      </c>
      <c r="AG40" s="95"/>
    </row>
    <row r="41" spans="1:33" ht="18.75" customHeight="1">
      <c r="A41" s="230"/>
      <c r="B41" s="4" t="s">
        <v>14</v>
      </c>
      <c r="C41" s="181">
        <v>5</v>
      </c>
      <c r="D41" s="181">
        <v>4</v>
      </c>
      <c r="E41" s="181">
        <v>11</v>
      </c>
      <c r="F41" s="181">
        <v>12</v>
      </c>
      <c r="G41" s="181">
        <v>13</v>
      </c>
      <c r="H41" s="181">
        <v>23</v>
      </c>
      <c r="I41" s="181">
        <v>9</v>
      </c>
      <c r="J41" s="181">
        <v>10</v>
      </c>
      <c r="K41" s="227"/>
      <c r="L41" s="4" t="s">
        <v>14</v>
      </c>
      <c r="M41" s="128">
        <v>9</v>
      </c>
      <c r="N41" s="128">
        <v>9</v>
      </c>
      <c r="O41" s="128">
        <v>9</v>
      </c>
      <c r="P41" s="128">
        <v>6</v>
      </c>
      <c r="Q41" s="128">
        <v>4</v>
      </c>
      <c r="R41" s="128">
        <v>5</v>
      </c>
      <c r="S41" s="128">
        <v>2</v>
      </c>
      <c r="T41" s="131">
        <v>0</v>
      </c>
      <c r="U41" s="60">
        <f>SUM(C41:J41,M41:T41)</f>
        <v>131</v>
      </c>
      <c r="AG41" s="96"/>
    </row>
    <row r="42" spans="1:33" ht="18.75" customHeight="1">
      <c r="A42" s="230"/>
      <c r="B42" s="4" t="s">
        <v>15</v>
      </c>
      <c r="C42" s="181">
        <v>14</v>
      </c>
      <c r="D42" s="181">
        <v>13</v>
      </c>
      <c r="E42" s="181">
        <v>14</v>
      </c>
      <c r="F42" s="181">
        <v>11</v>
      </c>
      <c r="G42" s="181">
        <v>19</v>
      </c>
      <c r="H42" s="181">
        <v>27</v>
      </c>
      <c r="I42" s="181">
        <v>27</v>
      </c>
      <c r="J42" s="181">
        <v>29</v>
      </c>
      <c r="K42" s="227"/>
      <c r="L42" s="4" t="s">
        <v>15</v>
      </c>
      <c r="M42" s="128">
        <v>15</v>
      </c>
      <c r="N42" s="128">
        <v>19</v>
      </c>
      <c r="O42" s="128">
        <v>12</v>
      </c>
      <c r="P42" s="128">
        <v>23</v>
      </c>
      <c r="Q42" s="128">
        <v>16</v>
      </c>
      <c r="R42" s="128">
        <v>30</v>
      </c>
      <c r="S42" s="128">
        <v>15</v>
      </c>
      <c r="T42" s="131">
        <v>11</v>
      </c>
      <c r="U42" s="60">
        <f>SUM(C42:J42,M42:T42)</f>
        <v>295</v>
      </c>
      <c r="AG42" s="96"/>
    </row>
    <row r="43" spans="1:33" ht="18.75" customHeight="1">
      <c r="A43" s="230"/>
      <c r="B43" s="4" t="s">
        <v>16</v>
      </c>
      <c r="C43" s="181">
        <v>1</v>
      </c>
      <c r="D43" s="181">
        <v>0</v>
      </c>
      <c r="E43" s="181">
        <v>7</v>
      </c>
      <c r="F43" s="181">
        <v>13</v>
      </c>
      <c r="G43" s="181">
        <v>14</v>
      </c>
      <c r="H43" s="181">
        <v>15</v>
      </c>
      <c r="I43" s="181">
        <v>11</v>
      </c>
      <c r="J43" s="181">
        <v>8</v>
      </c>
      <c r="K43" s="227"/>
      <c r="L43" s="4" t="s">
        <v>16</v>
      </c>
      <c r="M43" s="128">
        <v>5</v>
      </c>
      <c r="N43" s="128">
        <v>9</v>
      </c>
      <c r="O43" s="128">
        <v>7</v>
      </c>
      <c r="P43" s="128">
        <v>5</v>
      </c>
      <c r="Q43" s="128">
        <v>7</v>
      </c>
      <c r="R43" s="128">
        <v>5</v>
      </c>
      <c r="S43" s="128">
        <v>3</v>
      </c>
      <c r="T43" s="131">
        <v>2</v>
      </c>
      <c r="U43" s="60">
        <f>SUM(C43:J43,M43:T43)</f>
        <v>112</v>
      </c>
      <c r="AG43" s="96"/>
    </row>
    <row r="44" spans="1:33" ht="18.75" customHeight="1">
      <c r="A44" s="230"/>
      <c r="B44" s="4" t="s">
        <v>17</v>
      </c>
      <c r="C44" s="181">
        <v>2</v>
      </c>
      <c r="D44" s="181">
        <v>7</v>
      </c>
      <c r="E44" s="181">
        <v>6</v>
      </c>
      <c r="F44" s="181">
        <v>5</v>
      </c>
      <c r="G44" s="181">
        <v>6</v>
      </c>
      <c r="H44" s="181">
        <v>9</v>
      </c>
      <c r="I44" s="181">
        <v>2</v>
      </c>
      <c r="J44" s="181">
        <v>4</v>
      </c>
      <c r="K44" s="227"/>
      <c r="L44" s="4" t="s">
        <v>17</v>
      </c>
      <c r="M44" s="128">
        <v>3</v>
      </c>
      <c r="N44" s="128">
        <v>3</v>
      </c>
      <c r="O44" s="128">
        <v>3</v>
      </c>
      <c r="P44" s="128">
        <v>3</v>
      </c>
      <c r="Q44" s="128">
        <v>4</v>
      </c>
      <c r="R44" s="128">
        <v>3</v>
      </c>
      <c r="S44" s="128">
        <v>1</v>
      </c>
      <c r="T44" s="131">
        <v>1</v>
      </c>
      <c r="U44" s="60">
        <f>SUM(C44:J44,M44:T44)</f>
        <v>62</v>
      </c>
      <c r="AG44" s="96"/>
    </row>
    <row r="45" spans="1:33" ht="18.75" customHeight="1">
      <c r="A45" s="231"/>
      <c r="B45" s="61" t="s">
        <v>18</v>
      </c>
      <c r="C45" s="182">
        <v>2</v>
      </c>
      <c r="D45" s="182">
        <v>5</v>
      </c>
      <c r="E45" s="182">
        <v>4</v>
      </c>
      <c r="F45" s="182">
        <v>8</v>
      </c>
      <c r="G45" s="182">
        <v>11</v>
      </c>
      <c r="H45" s="182">
        <v>11</v>
      </c>
      <c r="I45" s="182">
        <v>4</v>
      </c>
      <c r="J45" s="182">
        <v>3</v>
      </c>
      <c r="K45" s="232"/>
      <c r="L45" s="61" t="s">
        <v>18</v>
      </c>
      <c r="M45" s="129">
        <v>1</v>
      </c>
      <c r="N45" s="129">
        <v>7</v>
      </c>
      <c r="O45" s="129">
        <v>4</v>
      </c>
      <c r="P45" s="129">
        <v>5</v>
      </c>
      <c r="Q45" s="129">
        <v>7</v>
      </c>
      <c r="R45" s="129">
        <v>7</v>
      </c>
      <c r="S45" s="129">
        <v>4</v>
      </c>
      <c r="T45" s="132">
        <v>2</v>
      </c>
      <c r="U45" s="60">
        <f>SUM(C45:J45,M45:T45)</f>
        <v>85</v>
      </c>
      <c r="AG45" s="96"/>
    </row>
    <row r="46" spans="1:33" ht="18.75" customHeight="1">
      <c r="AG46" s="96"/>
    </row>
    <row r="47" spans="1:33" ht="18.75" customHeight="1">
      <c r="A47" s="1"/>
      <c r="B47" s="1"/>
      <c r="C47" s="183" t="s">
        <v>0</v>
      </c>
      <c r="D47" s="225"/>
      <c r="E47" s="225"/>
      <c r="F47" s="225"/>
      <c r="G47" s="226"/>
      <c r="H47" s="2"/>
      <c r="I47" s="1"/>
    </row>
    <row r="48" spans="1:33" ht="18.75" customHeight="1">
      <c r="A48" s="1"/>
      <c r="B48" s="183" t="s">
        <v>1</v>
      </c>
      <c r="C48" s="225"/>
      <c r="D48" s="226"/>
      <c r="E48" s="1"/>
      <c r="F48" s="184" t="s">
        <v>132</v>
      </c>
      <c r="G48" s="225"/>
      <c r="H48" s="226"/>
      <c r="I48" s="1"/>
      <c r="K48" s="1"/>
      <c r="L48" s="183" t="s">
        <v>26</v>
      </c>
      <c r="M48" s="225"/>
      <c r="N48" s="226"/>
      <c r="O48" s="1"/>
      <c r="P48" s="184" t="s">
        <v>2</v>
      </c>
      <c r="Q48" s="225"/>
      <c r="R48" s="226"/>
      <c r="S48" s="1"/>
    </row>
    <row r="49" spans="1:40" ht="18.75" customHeight="1">
      <c r="A49" s="54" t="s">
        <v>35</v>
      </c>
      <c r="B49" s="54" t="s">
        <v>4</v>
      </c>
      <c r="C49" s="54" t="s">
        <v>12</v>
      </c>
      <c r="D49" s="54" t="s">
        <v>19</v>
      </c>
      <c r="E49" s="54" t="s">
        <v>20</v>
      </c>
      <c r="F49" s="54" t="s">
        <v>21</v>
      </c>
      <c r="G49" s="54" t="s">
        <v>22</v>
      </c>
      <c r="H49" s="54" t="s">
        <v>23</v>
      </c>
      <c r="I49" s="54" t="s">
        <v>24</v>
      </c>
      <c r="J49" s="54" t="s">
        <v>25</v>
      </c>
      <c r="K49" s="54" t="s">
        <v>35</v>
      </c>
      <c r="L49" s="54" t="s">
        <v>4</v>
      </c>
      <c r="M49" s="54" t="s">
        <v>27</v>
      </c>
      <c r="N49" s="54" t="s">
        <v>28</v>
      </c>
      <c r="O49" s="54" t="s">
        <v>29</v>
      </c>
      <c r="P49" s="54" t="s">
        <v>30</v>
      </c>
      <c r="Q49" s="54" t="s">
        <v>31</v>
      </c>
      <c r="R49" s="54" t="s">
        <v>32</v>
      </c>
      <c r="S49" s="54" t="s">
        <v>33</v>
      </c>
      <c r="T49" s="54" t="s">
        <v>34</v>
      </c>
      <c r="U49" s="54" t="s">
        <v>55</v>
      </c>
    </row>
    <row r="50" spans="1:40" ht="18.75" customHeight="1">
      <c r="A50" s="195" t="s">
        <v>5</v>
      </c>
      <c r="B50" s="56" t="s">
        <v>13</v>
      </c>
      <c r="C50" s="57"/>
      <c r="D50" s="57"/>
      <c r="E50" s="56">
        <v>7</v>
      </c>
      <c r="F50" s="56">
        <v>29</v>
      </c>
      <c r="G50" s="56">
        <v>23</v>
      </c>
      <c r="H50" s="56">
        <v>45</v>
      </c>
      <c r="I50" s="56">
        <v>39</v>
      </c>
      <c r="J50" s="56">
        <v>29</v>
      </c>
      <c r="K50" s="196" t="s">
        <v>5</v>
      </c>
      <c r="L50" s="56" t="s">
        <v>13</v>
      </c>
      <c r="M50" s="56">
        <v>40</v>
      </c>
      <c r="N50" s="56">
        <v>34</v>
      </c>
      <c r="O50" s="56">
        <v>32</v>
      </c>
      <c r="P50" s="56">
        <v>27</v>
      </c>
      <c r="Q50" s="56">
        <v>16</v>
      </c>
      <c r="R50" s="57"/>
      <c r="S50" s="57"/>
      <c r="T50" s="58"/>
      <c r="U50" s="59">
        <f>SUM(M50:T50,C50:J50)</f>
        <v>321</v>
      </c>
      <c r="W50" s="197" t="s">
        <v>2</v>
      </c>
      <c r="X50" s="198"/>
      <c r="AG50" s="190" t="s">
        <v>58</v>
      </c>
      <c r="AH50" s="191"/>
      <c r="AI50" s="191"/>
      <c r="AJ50" s="191"/>
      <c r="AK50" s="191"/>
      <c r="AL50" s="191"/>
      <c r="AM50" s="191"/>
      <c r="AN50" s="192"/>
    </row>
    <row r="51" spans="1:40" ht="18.75" customHeight="1">
      <c r="A51" s="230"/>
      <c r="B51" s="4" t="s">
        <v>14</v>
      </c>
      <c r="C51" s="5"/>
      <c r="D51" s="5"/>
      <c r="E51" s="4">
        <v>5</v>
      </c>
      <c r="F51" s="4">
        <v>5</v>
      </c>
      <c r="G51" s="4">
        <v>6</v>
      </c>
      <c r="H51" s="4">
        <v>5</v>
      </c>
      <c r="I51" s="4">
        <v>3</v>
      </c>
      <c r="J51" s="4">
        <v>4</v>
      </c>
      <c r="K51" s="227"/>
      <c r="L51" s="4" t="s">
        <v>14</v>
      </c>
      <c r="M51" s="4">
        <v>9</v>
      </c>
      <c r="N51" s="4">
        <v>5</v>
      </c>
      <c r="O51" s="4">
        <v>8</v>
      </c>
      <c r="P51" s="4">
        <v>6</v>
      </c>
      <c r="Q51" s="4">
        <v>4</v>
      </c>
      <c r="R51" s="5"/>
      <c r="S51" s="5"/>
      <c r="T51" s="49"/>
      <c r="U51" s="59">
        <f>SUM(M51:T51,C51:J51)</f>
        <v>60</v>
      </c>
      <c r="W51" s="55" t="s">
        <v>5</v>
      </c>
      <c r="X51" s="48">
        <f>SUM(U50:U55)</f>
        <v>807</v>
      </c>
      <c r="AG51" s="98" t="s">
        <v>4</v>
      </c>
      <c r="AH51" s="98" t="s">
        <v>5</v>
      </c>
      <c r="AI51" s="98" t="s">
        <v>6</v>
      </c>
      <c r="AJ51" s="98" t="s">
        <v>7</v>
      </c>
      <c r="AK51" s="98" t="s">
        <v>8</v>
      </c>
      <c r="AL51" s="98" t="s">
        <v>9</v>
      </c>
      <c r="AM51" s="98" t="s">
        <v>10</v>
      </c>
      <c r="AN51" s="98" t="s">
        <v>11</v>
      </c>
    </row>
    <row r="52" spans="1:40" ht="18.75" customHeight="1">
      <c r="A52" s="230"/>
      <c r="B52" s="4" t="s">
        <v>15</v>
      </c>
      <c r="C52" s="5"/>
      <c r="D52" s="5"/>
      <c r="E52" s="4">
        <v>4</v>
      </c>
      <c r="F52" s="4">
        <v>10</v>
      </c>
      <c r="G52" s="4">
        <v>9</v>
      </c>
      <c r="H52" s="4">
        <v>25</v>
      </c>
      <c r="I52" s="4">
        <v>29</v>
      </c>
      <c r="J52" s="4">
        <v>36</v>
      </c>
      <c r="K52" s="227"/>
      <c r="L52" s="4" t="s">
        <v>15</v>
      </c>
      <c r="M52" s="4">
        <v>20</v>
      </c>
      <c r="N52" s="4">
        <v>22</v>
      </c>
      <c r="O52" s="4">
        <v>19</v>
      </c>
      <c r="P52" s="4">
        <v>14</v>
      </c>
      <c r="Q52" s="4">
        <v>8</v>
      </c>
      <c r="R52" s="5"/>
      <c r="S52" s="5"/>
      <c r="T52" s="49"/>
      <c r="U52" s="59">
        <f>SUM(M52:T52,C52:J52)</f>
        <v>196</v>
      </c>
      <c r="W52" s="55" t="s">
        <v>6</v>
      </c>
      <c r="X52" s="48">
        <f>SUM(U56:U61)</f>
        <v>664</v>
      </c>
      <c r="AG52" s="79" t="s">
        <v>13</v>
      </c>
      <c r="AH52" s="79">
        <f t="shared" ref="AH52:AH57" si="9">U50</f>
        <v>321</v>
      </c>
      <c r="AI52" s="79">
        <f t="shared" ref="AI52:AI57" si="10">U56</f>
        <v>283</v>
      </c>
      <c r="AJ52" s="79">
        <f t="shared" ref="AJ52:AJ57" si="11">U62</f>
        <v>470</v>
      </c>
      <c r="AK52" s="79">
        <f t="shared" ref="AK52:AK57" si="12">U68</f>
        <v>393</v>
      </c>
      <c r="AL52" s="79">
        <f t="shared" ref="AL52:AL57" si="13">U74</f>
        <v>347</v>
      </c>
      <c r="AM52" s="79">
        <f t="shared" ref="AM52:AM57" si="14">U80</f>
        <v>375</v>
      </c>
      <c r="AN52" s="79">
        <f t="shared" ref="AN52:AN57" si="15">U86</f>
        <v>347</v>
      </c>
    </row>
    <row r="53" spans="1:40" ht="18.75" customHeight="1">
      <c r="A53" s="230"/>
      <c r="B53" s="4" t="s">
        <v>16</v>
      </c>
      <c r="C53" s="5"/>
      <c r="D53" s="5"/>
      <c r="E53" s="4">
        <v>4</v>
      </c>
      <c r="F53" s="4">
        <v>7</v>
      </c>
      <c r="G53" s="4">
        <v>10</v>
      </c>
      <c r="H53" s="4">
        <v>10</v>
      </c>
      <c r="I53" s="4">
        <v>9</v>
      </c>
      <c r="J53" s="4">
        <v>11</v>
      </c>
      <c r="K53" s="227"/>
      <c r="L53" s="4" t="s">
        <v>16</v>
      </c>
      <c r="M53" s="4">
        <v>8</v>
      </c>
      <c r="N53" s="4">
        <v>6</v>
      </c>
      <c r="O53" s="4">
        <v>8</v>
      </c>
      <c r="P53" s="4">
        <v>4</v>
      </c>
      <c r="Q53" s="4">
        <v>4</v>
      </c>
      <c r="R53" s="5"/>
      <c r="S53" s="5"/>
      <c r="T53" s="49"/>
      <c r="U53" s="59">
        <f>SUM(M53:T53,C53:J53)</f>
        <v>81</v>
      </c>
      <c r="W53" s="55" t="s">
        <v>7</v>
      </c>
      <c r="X53" s="48">
        <f>SUM(U62:U67)</f>
        <v>1589</v>
      </c>
      <c r="AG53" s="97" t="s">
        <v>14</v>
      </c>
      <c r="AH53" s="97">
        <f t="shared" si="9"/>
        <v>60</v>
      </c>
      <c r="AI53" s="97">
        <f t="shared" si="10"/>
        <v>57</v>
      </c>
      <c r="AJ53" s="97">
        <f t="shared" si="11"/>
        <v>169</v>
      </c>
      <c r="AK53" s="97">
        <f t="shared" si="12"/>
        <v>116</v>
      </c>
      <c r="AL53" s="97">
        <f t="shared" si="13"/>
        <v>165</v>
      </c>
      <c r="AM53" s="97">
        <f t="shared" si="14"/>
        <v>126</v>
      </c>
      <c r="AN53" s="97">
        <f t="shared" si="15"/>
        <v>120</v>
      </c>
    </row>
    <row r="54" spans="1:40" ht="18.75" customHeight="1">
      <c r="A54" s="230"/>
      <c r="B54" s="4" t="s">
        <v>17</v>
      </c>
      <c r="C54" s="5"/>
      <c r="D54" s="5"/>
      <c r="E54" s="4">
        <v>2</v>
      </c>
      <c r="F54" s="4">
        <v>3</v>
      </c>
      <c r="G54" s="4">
        <v>5</v>
      </c>
      <c r="H54" s="4">
        <v>8</v>
      </c>
      <c r="I54" s="4">
        <v>15</v>
      </c>
      <c r="J54" s="4">
        <v>12</v>
      </c>
      <c r="K54" s="227"/>
      <c r="L54" s="4" t="s">
        <v>17</v>
      </c>
      <c r="M54" s="4">
        <v>12</v>
      </c>
      <c r="N54" s="4">
        <v>6</v>
      </c>
      <c r="O54" s="4">
        <v>6</v>
      </c>
      <c r="P54" s="4">
        <v>3</v>
      </c>
      <c r="Q54" s="4">
        <v>5</v>
      </c>
      <c r="R54" s="5"/>
      <c r="S54" s="5"/>
      <c r="T54" s="49"/>
      <c r="U54" s="59">
        <f>SUM(M54:T54,C54:J54)</f>
        <v>77</v>
      </c>
      <c r="W54" s="55" t="s">
        <v>61</v>
      </c>
      <c r="X54" s="48">
        <f>SUM(U68:U73)</f>
        <v>1269</v>
      </c>
      <c r="AG54" s="79" t="s">
        <v>15</v>
      </c>
      <c r="AH54" s="79">
        <f t="shared" si="9"/>
        <v>196</v>
      </c>
      <c r="AI54" s="79">
        <f t="shared" si="10"/>
        <v>150</v>
      </c>
      <c r="AJ54" s="79">
        <f t="shared" si="11"/>
        <v>435</v>
      </c>
      <c r="AK54" s="79">
        <f t="shared" si="12"/>
        <v>375</v>
      </c>
      <c r="AL54" s="79">
        <f t="shared" si="13"/>
        <v>338</v>
      </c>
      <c r="AM54" s="79">
        <f t="shared" si="14"/>
        <v>333</v>
      </c>
      <c r="AN54" s="79">
        <f t="shared" si="15"/>
        <v>331</v>
      </c>
    </row>
    <row r="55" spans="1:40" ht="18.75" customHeight="1">
      <c r="A55" s="230"/>
      <c r="B55" s="46" t="s">
        <v>18</v>
      </c>
      <c r="C55" s="64"/>
      <c r="D55" s="64"/>
      <c r="E55" s="46">
        <v>4</v>
      </c>
      <c r="F55" s="46">
        <v>5</v>
      </c>
      <c r="G55" s="46">
        <v>5</v>
      </c>
      <c r="H55" s="46">
        <v>12</v>
      </c>
      <c r="I55" s="46">
        <v>8</v>
      </c>
      <c r="J55" s="46">
        <v>6</v>
      </c>
      <c r="K55" s="227"/>
      <c r="L55" s="46" t="s">
        <v>18</v>
      </c>
      <c r="M55" s="46">
        <v>13</v>
      </c>
      <c r="N55" s="46">
        <v>7</v>
      </c>
      <c r="O55" s="46">
        <v>2</v>
      </c>
      <c r="P55" s="46">
        <v>4</v>
      </c>
      <c r="Q55" s="46">
        <v>6</v>
      </c>
      <c r="R55" s="64"/>
      <c r="S55" s="64"/>
      <c r="T55" s="65"/>
      <c r="U55" s="59">
        <f>SUM(M55:T55,C55:J55)</f>
        <v>72</v>
      </c>
      <c r="W55" s="55" t="s">
        <v>9</v>
      </c>
      <c r="X55" s="48">
        <f>SUM(U74:U79)</f>
        <v>1190</v>
      </c>
      <c r="AG55" s="97" t="s">
        <v>16</v>
      </c>
      <c r="AH55" s="97">
        <f t="shared" si="9"/>
        <v>81</v>
      </c>
      <c r="AI55" s="97">
        <f t="shared" si="10"/>
        <v>74</v>
      </c>
      <c r="AJ55" s="97">
        <f t="shared" si="11"/>
        <v>188</v>
      </c>
      <c r="AK55" s="97">
        <f t="shared" si="12"/>
        <v>119</v>
      </c>
      <c r="AL55" s="97">
        <f t="shared" si="13"/>
        <v>110</v>
      </c>
      <c r="AM55" s="97">
        <f t="shared" si="14"/>
        <v>99</v>
      </c>
      <c r="AN55" s="97">
        <f t="shared" si="15"/>
        <v>109</v>
      </c>
    </row>
    <row r="56" spans="1:40" ht="18.75" customHeight="1">
      <c r="A56" s="193" t="s">
        <v>6</v>
      </c>
      <c r="B56" s="63" t="s">
        <v>13</v>
      </c>
      <c r="C56" s="57"/>
      <c r="D56" s="57"/>
      <c r="E56" s="57"/>
      <c r="F56" s="63">
        <v>39</v>
      </c>
      <c r="G56" s="63">
        <v>44</v>
      </c>
      <c r="H56" s="63">
        <v>43</v>
      </c>
      <c r="I56" s="63">
        <v>40</v>
      </c>
      <c r="J56" s="63">
        <v>40</v>
      </c>
      <c r="K56" s="194" t="s">
        <v>6</v>
      </c>
      <c r="L56" s="63" t="s">
        <v>13</v>
      </c>
      <c r="M56" s="63">
        <v>25</v>
      </c>
      <c r="N56" s="63">
        <v>20</v>
      </c>
      <c r="O56" s="63">
        <v>16</v>
      </c>
      <c r="P56" s="63">
        <v>16</v>
      </c>
      <c r="Q56" s="57"/>
      <c r="R56" s="57"/>
      <c r="S56" s="57"/>
      <c r="T56" s="58"/>
      <c r="U56" s="59">
        <f>SUM(M56:T56,C56:J56)</f>
        <v>283</v>
      </c>
      <c r="W56" s="55" t="s">
        <v>10</v>
      </c>
      <c r="X56" s="48">
        <f>SUM(U80:U85)</f>
        <v>1185</v>
      </c>
      <c r="AG56" s="79" t="s">
        <v>17</v>
      </c>
      <c r="AH56" s="79">
        <f t="shared" si="9"/>
        <v>77</v>
      </c>
      <c r="AI56" s="79">
        <f t="shared" si="10"/>
        <v>48</v>
      </c>
      <c r="AJ56" s="79">
        <f t="shared" si="11"/>
        <v>159</v>
      </c>
      <c r="AK56" s="79">
        <f t="shared" si="12"/>
        <v>107</v>
      </c>
      <c r="AL56" s="79">
        <f t="shared" si="13"/>
        <v>92</v>
      </c>
      <c r="AM56" s="79">
        <f t="shared" si="14"/>
        <v>121</v>
      </c>
      <c r="AN56" s="79">
        <f t="shared" si="15"/>
        <v>79</v>
      </c>
    </row>
    <row r="57" spans="1:40" ht="18.75" customHeight="1">
      <c r="A57" s="230"/>
      <c r="B57" s="6" t="s">
        <v>14</v>
      </c>
      <c r="C57" s="5"/>
      <c r="D57" s="5"/>
      <c r="E57" s="5"/>
      <c r="F57" s="6">
        <v>8</v>
      </c>
      <c r="G57" s="6">
        <v>9</v>
      </c>
      <c r="H57" s="6">
        <v>10</v>
      </c>
      <c r="I57" s="6">
        <v>8</v>
      </c>
      <c r="J57" s="6">
        <v>7</v>
      </c>
      <c r="K57" s="227"/>
      <c r="L57" s="6" t="s">
        <v>14</v>
      </c>
      <c r="M57" s="6">
        <v>6</v>
      </c>
      <c r="N57" s="6">
        <v>2</v>
      </c>
      <c r="O57" s="6">
        <v>3</v>
      </c>
      <c r="P57" s="6">
        <v>4</v>
      </c>
      <c r="Q57" s="5"/>
      <c r="R57" s="5"/>
      <c r="S57" s="5"/>
      <c r="T57" s="49"/>
      <c r="U57" s="59">
        <f>SUM(M57:T57,C57:J57)</f>
        <v>57</v>
      </c>
      <c r="W57" s="81" t="s">
        <v>11</v>
      </c>
      <c r="X57" s="80">
        <f>SUM(U86:U91)</f>
        <v>1103</v>
      </c>
      <c r="AG57" s="97" t="s">
        <v>18</v>
      </c>
      <c r="AH57" s="97">
        <f t="shared" si="9"/>
        <v>72</v>
      </c>
      <c r="AI57" s="97">
        <f t="shared" si="10"/>
        <v>52</v>
      </c>
      <c r="AJ57" s="97">
        <f t="shared" si="11"/>
        <v>168</v>
      </c>
      <c r="AK57" s="97">
        <f t="shared" si="12"/>
        <v>159</v>
      </c>
      <c r="AL57" s="97">
        <f t="shared" si="13"/>
        <v>138</v>
      </c>
      <c r="AM57" s="97">
        <f t="shared" si="14"/>
        <v>131</v>
      </c>
      <c r="AN57" s="97">
        <f t="shared" si="15"/>
        <v>117</v>
      </c>
    </row>
    <row r="58" spans="1:40" ht="18.75" customHeight="1">
      <c r="A58" s="230"/>
      <c r="B58" s="6" t="s">
        <v>15</v>
      </c>
      <c r="C58" s="5"/>
      <c r="D58" s="5"/>
      <c r="E58" s="5"/>
      <c r="F58" s="6">
        <v>23</v>
      </c>
      <c r="G58" s="6">
        <v>29</v>
      </c>
      <c r="H58" s="6">
        <v>30</v>
      </c>
      <c r="I58" s="6">
        <v>28</v>
      </c>
      <c r="J58" s="6">
        <v>14</v>
      </c>
      <c r="K58" s="227"/>
      <c r="L58" s="6" t="s">
        <v>15</v>
      </c>
      <c r="M58" s="6">
        <v>10</v>
      </c>
      <c r="N58" s="6">
        <v>4</v>
      </c>
      <c r="O58" s="6">
        <v>7</v>
      </c>
      <c r="P58" s="6">
        <v>5</v>
      </c>
      <c r="Q58" s="5"/>
      <c r="R58" s="5"/>
      <c r="S58" s="5"/>
      <c r="T58" s="49"/>
      <c r="U58" s="59">
        <f>SUM(M58:T58,C58:J58)</f>
        <v>150</v>
      </c>
      <c r="W58" s="79" t="s">
        <v>63</v>
      </c>
      <c r="X58" s="82">
        <f>SUM(X51:X57)</f>
        <v>7807</v>
      </c>
    </row>
    <row r="59" spans="1:40" ht="18.75" customHeight="1">
      <c r="A59" s="230"/>
      <c r="B59" s="6" t="s">
        <v>16</v>
      </c>
      <c r="C59" s="5"/>
      <c r="D59" s="5"/>
      <c r="E59" s="5"/>
      <c r="F59" s="6">
        <v>8</v>
      </c>
      <c r="G59" s="6">
        <v>15</v>
      </c>
      <c r="H59" s="6">
        <v>7</v>
      </c>
      <c r="I59" s="6">
        <v>10</v>
      </c>
      <c r="J59" s="6">
        <v>12</v>
      </c>
      <c r="K59" s="227"/>
      <c r="L59" s="6" t="s">
        <v>16</v>
      </c>
      <c r="M59" s="6">
        <v>5</v>
      </c>
      <c r="N59" s="6">
        <v>10</v>
      </c>
      <c r="O59" s="6">
        <v>4</v>
      </c>
      <c r="P59" s="6">
        <v>3</v>
      </c>
      <c r="Q59" s="5"/>
      <c r="R59" s="5"/>
      <c r="S59" s="5"/>
      <c r="T59" s="49"/>
      <c r="U59" s="59">
        <f>SUM(M59:T59,C59:J59)</f>
        <v>74</v>
      </c>
    </row>
    <row r="60" spans="1:40" ht="18.75" customHeight="1">
      <c r="A60" s="230"/>
      <c r="B60" s="6" t="s">
        <v>17</v>
      </c>
      <c r="C60" s="5"/>
      <c r="D60" s="5"/>
      <c r="E60" s="5"/>
      <c r="F60" s="6">
        <v>5</v>
      </c>
      <c r="G60" s="6">
        <v>9</v>
      </c>
      <c r="H60" s="6">
        <v>8</v>
      </c>
      <c r="I60" s="6">
        <v>8</v>
      </c>
      <c r="J60" s="6">
        <v>10</v>
      </c>
      <c r="K60" s="227"/>
      <c r="L60" s="6" t="s">
        <v>17</v>
      </c>
      <c r="M60" s="6">
        <v>2</v>
      </c>
      <c r="N60" s="6">
        <v>2</v>
      </c>
      <c r="O60" s="6">
        <v>2</v>
      </c>
      <c r="P60" s="6">
        <v>2</v>
      </c>
      <c r="Q60" s="5"/>
      <c r="R60" s="5"/>
      <c r="S60" s="5"/>
      <c r="T60" s="49"/>
      <c r="U60" s="59">
        <f>SUM(M60:T60,C60:J60)</f>
        <v>48</v>
      </c>
    </row>
    <row r="61" spans="1:40" ht="18.75" customHeight="1">
      <c r="A61" s="230"/>
      <c r="B61" s="47" t="s">
        <v>18</v>
      </c>
      <c r="C61" s="64"/>
      <c r="D61" s="64"/>
      <c r="E61" s="64"/>
      <c r="F61" s="47">
        <v>7</v>
      </c>
      <c r="G61" s="47">
        <v>9</v>
      </c>
      <c r="H61" s="47">
        <v>6</v>
      </c>
      <c r="I61" s="47">
        <v>6</v>
      </c>
      <c r="J61" s="47">
        <v>12</v>
      </c>
      <c r="K61" s="227"/>
      <c r="L61" s="47" t="s">
        <v>18</v>
      </c>
      <c r="M61" s="47">
        <v>4</v>
      </c>
      <c r="N61" s="47">
        <v>4</v>
      </c>
      <c r="O61" s="47">
        <v>2</v>
      </c>
      <c r="P61" s="47">
        <v>2</v>
      </c>
      <c r="Q61" s="64"/>
      <c r="R61" s="64"/>
      <c r="S61" s="64"/>
      <c r="T61" s="65"/>
      <c r="U61" s="59">
        <f>SUM(M61:T61,C61:J61)</f>
        <v>52</v>
      </c>
    </row>
    <row r="62" spans="1:40" ht="18.75" customHeight="1">
      <c r="A62" s="195" t="s">
        <v>7</v>
      </c>
      <c r="B62" s="56" t="s">
        <v>13</v>
      </c>
      <c r="C62" s="56">
        <v>11</v>
      </c>
      <c r="D62" s="56">
        <v>15</v>
      </c>
      <c r="E62" s="56">
        <v>14</v>
      </c>
      <c r="F62" s="56">
        <v>23</v>
      </c>
      <c r="G62" s="56">
        <v>38</v>
      </c>
      <c r="H62" s="56">
        <v>44</v>
      </c>
      <c r="I62" s="56">
        <v>32</v>
      </c>
      <c r="J62" s="56">
        <v>35</v>
      </c>
      <c r="K62" s="196" t="s">
        <v>7</v>
      </c>
      <c r="L62" s="56" t="s">
        <v>13</v>
      </c>
      <c r="M62" s="56">
        <v>31</v>
      </c>
      <c r="N62" s="56">
        <v>30</v>
      </c>
      <c r="O62" s="56">
        <v>28</v>
      </c>
      <c r="P62" s="56">
        <v>36</v>
      </c>
      <c r="Q62" s="56">
        <v>37</v>
      </c>
      <c r="R62" s="56">
        <v>49</v>
      </c>
      <c r="S62" s="56">
        <v>29</v>
      </c>
      <c r="T62" s="67">
        <v>18</v>
      </c>
      <c r="U62" s="59">
        <f>SUM(M62:T62,C62:J62)</f>
        <v>470</v>
      </c>
    </row>
    <row r="63" spans="1:40" ht="18.75" customHeight="1">
      <c r="A63" s="230"/>
      <c r="B63" s="4" t="s">
        <v>14</v>
      </c>
      <c r="C63" s="4">
        <v>8</v>
      </c>
      <c r="D63" s="4">
        <v>8</v>
      </c>
      <c r="E63" s="4">
        <v>11</v>
      </c>
      <c r="F63" s="4">
        <v>17</v>
      </c>
      <c r="G63" s="4">
        <v>13</v>
      </c>
      <c r="H63" s="4">
        <v>10</v>
      </c>
      <c r="I63" s="4">
        <v>13</v>
      </c>
      <c r="J63" s="4">
        <v>9</v>
      </c>
      <c r="K63" s="227"/>
      <c r="L63" s="4" t="s">
        <v>14</v>
      </c>
      <c r="M63" s="4">
        <v>12</v>
      </c>
      <c r="N63" s="4">
        <v>14</v>
      </c>
      <c r="O63" s="4">
        <v>12</v>
      </c>
      <c r="P63" s="4">
        <v>13</v>
      </c>
      <c r="Q63" s="4">
        <v>7</v>
      </c>
      <c r="R63" s="4">
        <v>8</v>
      </c>
      <c r="S63" s="4">
        <v>10</v>
      </c>
      <c r="T63" s="50">
        <v>4</v>
      </c>
      <c r="U63" s="59">
        <f>SUM(M63:T63,C63:J63)</f>
        <v>169</v>
      </c>
    </row>
    <row r="64" spans="1:40" ht="18.75" customHeight="1">
      <c r="A64" s="230"/>
      <c r="B64" s="4" t="s">
        <v>15</v>
      </c>
      <c r="C64" s="4">
        <v>23</v>
      </c>
      <c r="D64" s="4">
        <v>17</v>
      </c>
      <c r="E64" s="4">
        <v>22</v>
      </c>
      <c r="F64" s="4">
        <v>17</v>
      </c>
      <c r="G64" s="4">
        <v>31</v>
      </c>
      <c r="H64" s="4">
        <v>30</v>
      </c>
      <c r="I64" s="4">
        <v>30</v>
      </c>
      <c r="J64" s="4">
        <v>43</v>
      </c>
      <c r="K64" s="227"/>
      <c r="L64" s="4" t="s">
        <v>15</v>
      </c>
      <c r="M64" s="4">
        <v>25</v>
      </c>
      <c r="N64" s="4">
        <v>22</v>
      </c>
      <c r="O64" s="4">
        <v>23</v>
      </c>
      <c r="P64" s="4">
        <v>29</v>
      </c>
      <c r="Q64" s="4">
        <v>32</v>
      </c>
      <c r="R64" s="4">
        <v>35</v>
      </c>
      <c r="S64" s="4">
        <v>32</v>
      </c>
      <c r="T64" s="50">
        <v>24</v>
      </c>
      <c r="U64" s="59">
        <f>SUM(M64:T64,C64:J64)</f>
        <v>435</v>
      </c>
    </row>
    <row r="65" spans="1:21" ht="18.75" customHeight="1">
      <c r="A65" s="230"/>
      <c r="B65" s="4" t="s">
        <v>16</v>
      </c>
      <c r="C65" s="4">
        <v>4</v>
      </c>
      <c r="D65" s="4">
        <v>9</v>
      </c>
      <c r="E65" s="4">
        <v>4</v>
      </c>
      <c r="F65" s="4">
        <v>11</v>
      </c>
      <c r="G65" s="4">
        <v>18</v>
      </c>
      <c r="H65" s="4">
        <v>16</v>
      </c>
      <c r="I65" s="4">
        <v>19</v>
      </c>
      <c r="J65" s="4">
        <v>15</v>
      </c>
      <c r="K65" s="227"/>
      <c r="L65" s="4" t="s">
        <v>16</v>
      </c>
      <c r="M65" s="4">
        <v>14</v>
      </c>
      <c r="N65" s="4">
        <v>12</v>
      </c>
      <c r="O65" s="4">
        <v>14</v>
      </c>
      <c r="P65" s="4">
        <v>8</v>
      </c>
      <c r="Q65" s="4">
        <v>12</v>
      </c>
      <c r="R65" s="4">
        <v>16</v>
      </c>
      <c r="S65" s="4">
        <v>8</v>
      </c>
      <c r="T65" s="50">
        <v>8</v>
      </c>
      <c r="U65" s="59">
        <f>SUM(M65:T65,C65:J65)</f>
        <v>188</v>
      </c>
    </row>
    <row r="66" spans="1:21" ht="18.75" customHeight="1">
      <c r="A66" s="230"/>
      <c r="B66" s="4" t="s">
        <v>17</v>
      </c>
      <c r="C66" s="4">
        <v>5</v>
      </c>
      <c r="D66" s="4">
        <v>4</v>
      </c>
      <c r="E66" s="4">
        <v>4</v>
      </c>
      <c r="F66" s="4">
        <v>4</v>
      </c>
      <c r="G66" s="4">
        <v>11</v>
      </c>
      <c r="H66" s="4">
        <v>20</v>
      </c>
      <c r="I66" s="4">
        <v>10</v>
      </c>
      <c r="J66" s="4">
        <v>3</v>
      </c>
      <c r="K66" s="227"/>
      <c r="L66" s="4" t="s">
        <v>17</v>
      </c>
      <c r="M66" s="4">
        <v>8</v>
      </c>
      <c r="N66" s="4">
        <v>10</v>
      </c>
      <c r="O66" s="4">
        <v>8</v>
      </c>
      <c r="P66" s="4">
        <v>17</v>
      </c>
      <c r="Q66" s="4">
        <v>17</v>
      </c>
      <c r="R66" s="4">
        <v>18</v>
      </c>
      <c r="S66" s="4">
        <v>12</v>
      </c>
      <c r="T66" s="50">
        <v>8</v>
      </c>
      <c r="U66" s="59">
        <f>SUM(M66:T66,C66:J66)</f>
        <v>159</v>
      </c>
    </row>
    <row r="67" spans="1:21" ht="18.75" customHeight="1">
      <c r="A67" s="230"/>
      <c r="B67" s="46" t="s">
        <v>18</v>
      </c>
      <c r="C67" s="46">
        <v>5</v>
      </c>
      <c r="D67" s="46">
        <v>8</v>
      </c>
      <c r="E67" s="46">
        <v>10</v>
      </c>
      <c r="F67" s="46">
        <v>8</v>
      </c>
      <c r="G67" s="46">
        <v>16</v>
      </c>
      <c r="H67" s="46">
        <v>14</v>
      </c>
      <c r="I67" s="46">
        <v>14</v>
      </c>
      <c r="J67" s="46">
        <v>9</v>
      </c>
      <c r="K67" s="227"/>
      <c r="L67" s="46" t="s">
        <v>18</v>
      </c>
      <c r="M67" s="46">
        <v>15</v>
      </c>
      <c r="N67" s="46">
        <v>14</v>
      </c>
      <c r="O67" s="46">
        <v>10</v>
      </c>
      <c r="P67" s="46">
        <v>8</v>
      </c>
      <c r="Q67" s="46">
        <v>16</v>
      </c>
      <c r="R67" s="46">
        <v>8</v>
      </c>
      <c r="S67" s="46">
        <v>10</v>
      </c>
      <c r="T67" s="69">
        <v>3</v>
      </c>
      <c r="U67" s="59">
        <f>SUM(M67:T67,C67:J67)</f>
        <v>168</v>
      </c>
    </row>
    <row r="68" spans="1:21" ht="18.75" customHeight="1">
      <c r="A68" s="193" t="s">
        <v>8</v>
      </c>
      <c r="B68" s="63" t="s">
        <v>13</v>
      </c>
      <c r="C68" s="63">
        <v>22</v>
      </c>
      <c r="D68" s="63">
        <v>23</v>
      </c>
      <c r="E68" s="63">
        <v>21</v>
      </c>
      <c r="F68" s="63">
        <v>22</v>
      </c>
      <c r="G68" s="63">
        <v>46</v>
      </c>
      <c r="H68" s="63">
        <v>45</v>
      </c>
      <c r="I68" s="63">
        <v>26</v>
      </c>
      <c r="J68" s="63">
        <v>20</v>
      </c>
      <c r="K68" s="194" t="s">
        <v>8</v>
      </c>
      <c r="L68" s="63" t="s">
        <v>13</v>
      </c>
      <c r="M68" s="63">
        <v>25</v>
      </c>
      <c r="N68" s="63">
        <v>22</v>
      </c>
      <c r="O68" s="63">
        <v>22</v>
      </c>
      <c r="P68" s="63">
        <v>27</v>
      </c>
      <c r="Q68" s="63">
        <v>28</v>
      </c>
      <c r="R68" s="63">
        <v>25</v>
      </c>
      <c r="S68" s="63">
        <v>10</v>
      </c>
      <c r="T68" s="68">
        <v>9</v>
      </c>
      <c r="U68" s="59">
        <f>SUM(M68:T68,C68:J68)</f>
        <v>393</v>
      </c>
    </row>
    <row r="69" spans="1:21" ht="18.75" customHeight="1">
      <c r="A69" s="230"/>
      <c r="B69" s="6" t="s">
        <v>14</v>
      </c>
      <c r="C69" s="6">
        <v>4</v>
      </c>
      <c r="D69" s="6">
        <v>8</v>
      </c>
      <c r="E69" s="6">
        <v>10</v>
      </c>
      <c r="F69" s="6">
        <v>7</v>
      </c>
      <c r="G69" s="6">
        <v>8</v>
      </c>
      <c r="H69" s="6">
        <v>9</v>
      </c>
      <c r="I69" s="6">
        <v>11</v>
      </c>
      <c r="J69" s="6">
        <v>11</v>
      </c>
      <c r="K69" s="227"/>
      <c r="L69" s="6" t="s">
        <v>14</v>
      </c>
      <c r="M69" s="6">
        <v>16</v>
      </c>
      <c r="N69" s="6">
        <v>10</v>
      </c>
      <c r="O69" s="6">
        <v>7</v>
      </c>
      <c r="P69" s="6">
        <v>4</v>
      </c>
      <c r="Q69" s="6">
        <v>4</v>
      </c>
      <c r="R69" s="6">
        <v>4</v>
      </c>
      <c r="S69" s="6">
        <v>2</v>
      </c>
      <c r="T69" s="51">
        <v>1</v>
      </c>
      <c r="U69" s="59">
        <f>SUM(M69:T69,C69:J69)</f>
        <v>116</v>
      </c>
    </row>
    <row r="70" spans="1:21" ht="18.75" customHeight="1">
      <c r="A70" s="230"/>
      <c r="B70" s="6" t="s">
        <v>15</v>
      </c>
      <c r="C70" s="6">
        <v>17</v>
      </c>
      <c r="D70" s="6">
        <v>18</v>
      </c>
      <c r="E70" s="6">
        <v>16</v>
      </c>
      <c r="F70" s="6">
        <v>15</v>
      </c>
      <c r="G70" s="6">
        <v>28</v>
      </c>
      <c r="H70" s="6">
        <v>28</v>
      </c>
      <c r="I70" s="6">
        <v>25</v>
      </c>
      <c r="J70" s="6">
        <v>29</v>
      </c>
      <c r="K70" s="227"/>
      <c r="L70" s="6" t="s">
        <v>15</v>
      </c>
      <c r="M70" s="6">
        <v>30</v>
      </c>
      <c r="N70" s="6">
        <v>24</v>
      </c>
      <c r="O70" s="6">
        <v>28</v>
      </c>
      <c r="P70" s="6">
        <v>23</v>
      </c>
      <c r="Q70" s="6">
        <v>35</v>
      </c>
      <c r="R70" s="6">
        <v>18</v>
      </c>
      <c r="S70" s="6">
        <v>25</v>
      </c>
      <c r="T70" s="51">
        <v>16</v>
      </c>
      <c r="U70" s="59">
        <f>SUM(M70:T70,C70:J70)</f>
        <v>375</v>
      </c>
    </row>
    <row r="71" spans="1:21" ht="18.75" customHeight="1">
      <c r="A71" s="230"/>
      <c r="B71" s="6" t="s">
        <v>16</v>
      </c>
      <c r="C71" s="6">
        <v>4</v>
      </c>
      <c r="D71" s="6">
        <v>4</v>
      </c>
      <c r="E71" s="6">
        <v>5</v>
      </c>
      <c r="F71" s="6">
        <v>6</v>
      </c>
      <c r="G71" s="6">
        <v>20</v>
      </c>
      <c r="H71" s="6">
        <v>17</v>
      </c>
      <c r="I71" s="6">
        <v>7</v>
      </c>
      <c r="J71" s="6">
        <v>7</v>
      </c>
      <c r="K71" s="227"/>
      <c r="L71" s="6" t="s">
        <v>16</v>
      </c>
      <c r="M71" s="6">
        <v>9</v>
      </c>
      <c r="N71" s="6">
        <v>7</v>
      </c>
      <c r="O71" s="6">
        <v>5</v>
      </c>
      <c r="P71" s="6">
        <v>12</v>
      </c>
      <c r="Q71" s="6">
        <v>8</v>
      </c>
      <c r="R71" s="6">
        <v>3</v>
      </c>
      <c r="S71" s="6">
        <v>3</v>
      </c>
      <c r="T71" s="51">
        <v>2</v>
      </c>
      <c r="U71" s="59">
        <f>SUM(M71:T71,C71:J71)</f>
        <v>119</v>
      </c>
    </row>
    <row r="72" spans="1:21" ht="18.75" customHeight="1">
      <c r="A72" s="230"/>
      <c r="B72" s="6" t="s">
        <v>17</v>
      </c>
      <c r="C72" s="6">
        <v>3</v>
      </c>
      <c r="D72" s="6">
        <v>6</v>
      </c>
      <c r="E72" s="6">
        <v>7</v>
      </c>
      <c r="F72" s="6">
        <v>9</v>
      </c>
      <c r="G72" s="6">
        <v>15</v>
      </c>
      <c r="H72" s="6">
        <v>12</v>
      </c>
      <c r="I72" s="6">
        <v>10</v>
      </c>
      <c r="J72" s="6">
        <v>3</v>
      </c>
      <c r="K72" s="227"/>
      <c r="L72" s="6" t="s">
        <v>17</v>
      </c>
      <c r="M72" s="6">
        <v>5</v>
      </c>
      <c r="N72" s="6">
        <v>8</v>
      </c>
      <c r="O72" s="6">
        <v>5</v>
      </c>
      <c r="P72" s="6">
        <v>2</v>
      </c>
      <c r="Q72" s="6">
        <v>6</v>
      </c>
      <c r="R72" s="6">
        <v>6</v>
      </c>
      <c r="S72" s="6">
        <v>8</v>
      </c>
      <c r="T72" s="51">
        <v>2</v>
      </c>
      <c r="U72" s="59">
        <f>SUM(M72:T72,C72:J72)</f>
        <v>107</v>
      </c>
    </row>
    <row r="73" spans="1:21" ht="18.75" customHeight="1">
      <c r="A73" s="230"/>
      <c r="B73" s="47" t="s">
        <v>18</v>
      </c>
      <c r="C73" s="47">
        <v>15</v>
      </c>
      <c r="D73" s="47">
        <v>5</v>
      </c>
      <c r="E73" s="47">
        <v>6</v>
      </c>
      <c r="F73" s="47">
        <v>10</v>
      </c>
      <c r="G73" s="47">
        <v>13</v>
      </c>
      <c r="H73" s="47">
        <v>12</v>
      </c>
      <c r="I73" s="47">
        <v>18</v>
      </c>
      <c r="J73" s="47">
        <v>11</v>
      </c>
      <c r="K73" s="227"/>
      <c r="L73" s="47" t="s">
        <v>18</v>
      </c>
      <c r="M73" s="47">
        <v>8</v>
      </c>
      <c r="N73" s="47">
        <v>3</v>
      </c>
      <c r="O73" s="47">
        <v>2</v>
      </c>
      <c r="P73" s="47">
        <v>13</v>
      </c>
      <c r="Q73" s="47">
        <v>19</v>
      </c>
      <c r="R73" s="47">
        <v>12</v>
      </c>
      <c r="S73" s="47">
        <v>9</v>
      </c>
      <c r="T73" s="70">
        <v>3</v>
      </c>
      <c r="U73" s="59">
        <f>SUM(M73:T73,C73:J73)</f>
        <v>159</v>
      </c>
    </row>
    <row r="74" spans="1:21" ht="18.75" customHeight="1">
      <c r="A74" s="195" t="s">
        <v>9</v>
      </c>
      <c r="B74" s="56" t="s">
        <v>13</v>
      </c>
      <c r="C74" s="56">
        <v>15</v>
      </c>
      <c r="D74" s="56">
        <v>29</v>
      </c>
      <c r="E74" s="56">
        <v>25</v>
      </c>
      <c r="F74" s="56">
        <v>28</v>
      </c>
      <c r="G74" s="56">
        <v>36</v>
      </c>
      <c r="H74" s="56">
        <v>36</v>
      </c>
      <c r="I74" s="56">
        <v>36</v>
      </c>
      <c r="J74" s="56"/>
      <c r="K74" s="196" t="s">
        <v>9</v>
      </c>
      <c r="L74" s="56" t="s">
        <v>13</v>
      </c>
      <c r="M74" s="56">
        <v>17</v>
      </c>
      <c r="N74" s="56">
        <v>8</v>
      </c>
      <c r="O74" s="56">
        <v>18</v>
      </c>
      <c r="P74" s="56">
        <v>24</v>
      </c>
      <c r="Q74" s="56">
        <v>26</v>
      </c>
      <c r="R74" s="56">
        <v>21</v>
      </c>
      <c r="S74" s="56">
        <v>19</v>
      </c>
      <c r="T74" s="67">
        <v>9</v>
      </c>
      <c r="U74" s="59">
        <f>SUM(M74:T74,C74:J74)</f>
        <v>347</v>
      </c>
    </row>
    <row r="75" spans="1:21" ht="18.75" customHeight="1">
      <c r="A75" s="230"/>
      <c r="B75" s="4" t="s">
        <v>14</v>
      </c>
      <c r="C75" s="4">
        <v>10</v>
      </c>
      <c r="D75" s="4">
        <v>9</v>
      </c>
      <c r="E75" s="4">
        <v>13</v>
      </c>
      <c r="F75" s="4">
        <v>16</v>
      </c>
      <c r="G75" s="4">
        <v>15</v>
      </c>
      <c r="H75" s="4">
        <v>19</v>
      </c>
      <c r="I75" s="4">
        <v>19</v>
      </c>
      <c r="J75" s="4"/>
      <c r="K75" s="227"/>
      <c r="L75" s="4" t="s">
        <v>14</v>
      </c>
      <c r="M75" s="4">
        <v>11</v>
      </c>
      <c r="N75" s="4">
        <v>12</v>
      </c>
      <c r="O75" s="4">
        <v>12</v>
      </c>
      <c r="P75" s="4">
        <v>6</v>
      </c>
      <c r="Q75" s="4">
        <v>6</v>
      </c>
      <c r="R75" s="4">
        <v>7</v>
      </c>
      <c r="S75" s="4">
        <v>7</v>
      </c>
      <c r="T75" s="50">
        <v>3</v>
      </c>
      <c r="U75" s="59">
        <f>SUM(M75:T75,C75:J75)</f>
        <v>165</v>
      </c>
    </row>
    <row r="76" spans="1:21" ht="18.75" customHeight="1">
      <c r="A76" s="230"/>
      <c r="B76" s="4" t="s">
        <v>15</v>
      </c>
      <c r="C76" s="4">
        <v>22</v>
      </c>
      <c r="D76" s="4">
        <v>28</v>
      </c>
      <c r="E76" s="4">
        <v>23</v>
      </c>
      <c r="F76" s="4">
        <v>20</v>
      </c>
      <c r="G76" s="4">
        <v>24</v>
      </c>
      <c r="H76" s="4">
        <v>27</v>
      </c>
      <c r="I76" s="4">
        <v>27</v>
      </c>
      <c r="J76" s="4"/>
      <c r="K76" s="227"/>
      <c r="L76" s="4" t="s">
        <v>15</v>
      </c>
      <c r="M76" s="4">
        <v>12</v>
      </c>
      <c r="N76" s="4">
        <v>18</v>
      </c>
      <c r="O76" s="4">
        <v>20</v>
      </c>
      <c r="P76" s="4">
        <v>26</v>
      </c>
      <c r="Q76" s="4">
        <v>26</v>
      </c>
      <c r="R76" s="4">
        <v>23</v>
      </c>
      <c r="S76" s="4">
        <v>25</v>
      </c>
      <c r="T76" s="50">
        <v>17</v>
      </c>
      <c r="U76" s="59">
        <f>SUM(M76:T76,C76:J76)</f>
        <v>338</v>
      </c>
    </row>
    <row r="77" spans="1:21" ht="18.75" customHeight="1">
      <c r="A77" s="230"/>
      <c r="B77" s="4" t="s">
        <v>16</v>
      </c>
      <c r="C77" s="4">
        <v>9</v>
      </c>
      <c r="D77" s="4">
        <v>5</v>
      </c>
      <c r="E77" s="4">
        <v>4</v>
      </c>
      <c r="F77" s="4">
        <v>12</v>
      </c>
      <c r="G77" s="4">
        <v>14</v>
      </c>
      <c r="H77" s="4">
        <v>12</v>
      </c>
      <c r="I77" s="4">
        <v>12</v>
      </c>
      <c r="J77" s="4"/>
      <c r="K77" s="227"/>
      <c r="L77" s="4" t="s">
        <v>16</v>
      </c>
      <c r="M77" s="4">
        <v>6</v>
      </c>
      <c r="N77" s="4">
        <v>7</v>
      </c>
      <c r="O77" s="4">
        <v>8</v>
      </c>
      <c r="P77" s="4">
        <v>3</v>
      </c>
      <c r="Q77" s="4">
        <v>7</v>
      </c>
      <c r="R77" s="4">
        <v>5</v>
      </c>
      <c r="S77" s="4">
        <v>4</v>
      </c>
      <c r="T77" s="50">
        <v>2</v>
      </c>
      <c r="U77" s="59">
        <f>SUM(M77:T77,C77:J77)</f>
        <v>110</v>
      </c>
    </row>
    <row r="78" spans="1:21" ht="18.75" customHeight="1">
      <c r="A78" s="230"/>
      <c r="B78" s="4" t="s">
        <v>17</v>
      </c>
      <c r="C78" s="4">
        <v>9</v>
      </c>
      <c r="D78" s="4">
        <v>7</v>
      </c>
      <c r="E78" s="4">
        <v>5</v>
      </c>
      <c r="F78" s="4">
        <v>6</v>
      </c>
      <c r="G78" s="4">
        <v>13</v>
      </c>
      <c r="H78" s="4">
        <v>6</v>
      </c>
      <c r="I78" s="4">
        <v>6</v>
      </c>
      <c r="J78" s="4"/>
      <c r="K78" s="227"/>
      <c r="L78" s="4" t="s">
        <v>17</v>
      </c>
      <c r="M78" s="4">
        <v>4</v>
      </c>
      <c r="N78" s="4">
        <v>5</v>
      </c>
      <c r="O78" s="4">
        <v>7</v>
      </c>
      <c r="P78" s="4">
        <v>5</v>
      </c>
      <c r="Q78" s="4">
        <v>4</v>
      </c>
      <c r="R78" s="4">
        <v>7</v>
      </c>
      <c r="S78" s="4">
        <v>5</v>
      </c>
      <c r="T78" s="50">
        <v>3</v>
      </c>
      <c r="U78" s="59">
        <f>SUM(M78:T78,C78:J78)</f>
        <v>92</v>
      </c>
    </row>
    <row r="79" spans="1:21" ht="18.75" customHeight="1">
      <c r="A79" s="230"/>
      <c r="B79" s="46" t="s">
        <v>18</v>
      </c>
      <c r="C79" s="46">
        <v>22</v>
      </c>
      <c r="D79" s="46">
        <v>8</v>
      </c>
      <c r="E79" s="46">
        <v>4</v>
      </c>
      <c r="F79" s="46">
        <v>6</v>
      </c>
      <c r="G79" s="46">
        <v>10</v>
      </c>
      <c r="H79" s="46">
        <v>11</v>
      </c>
      <c r="I79" s="46">
        <v>11</v>
      </c>
      <c r="J79" s="46"/>
      <c r="K79" s="227"/>
      <c r="L79" s="46" t="s">
        <v>18</v>
      </c>
      <c r="M79" s="46">
        <v>8</v>
      </c>
      <c r="N79" s="46">
        <v>13</v>
      </c>
      <c r="O79" s="46">
        <v>11</v>
      </c>
      <c r="P79" s="46">
        <v>7</v>
      </c>
      <c r="Q79" s="46">
        <v>13</v>
      </c>
      <c r="R79" s="46">
        <v>6</v>
      </c>
      <c r="S79" s="46">
        <v>4</v>
      </c>
      <c r="T79" s="69">
        <v>4</v>
      </c>
      <c r="U79" s="59">
        <f>SUM(M79:T79,C79:J79)</f>
        <v>138</v>
      </c>
    </row>
    <row r="80" spans="1:21" ht="18.75" customHeight="1">
      <c r="A80" s="193" t="s">
        <v>10</v>
      </c>
      <c r="B80" s="63" t="s">
        <v>13</v>
      </c>
      <c r="C80" s="99">
        <v>28</v>
      </c>
      <c r="D80" s="99">
        <v>19</v>
      </c>
      <c r="E80" s="99">
        <v>23</v>
      </c>
      <c r="F80" s="99">
        <v>20</v>
      </c>
      <c r="G80" s="99">
        <v>40</v>
      </c>
      <c r="H80" s="99">
        <v>35</v>
      </c>
      <c r="I80" s="99">
        <v>33</v>
      </c>
      <c r="J80" s="99">
        <v>23</v>
      </c>
      <c r="K80" s="194" t="s">
        <v>10</v>
      </c>
      <c r="L80" s="63" t="s">
        <v>13</v>
      </c>
      <c r="M80" s="99">
        <v>16</v>
      </c>
      <c r="N80" s="99">
        <v>17</v>
      </c>
      <c r="O80" s="99">
        <v>19</v>
      </c>
      <c r="P80" s="99">
        <v>22</v>
      </c>
      <c r="Q80" s="99">
        <v>29</v>
      </c>
      <c r="R80" s="99">
        <v>32</v>
      </c>
      <c r="S80" s="99">
        <v>19</v>
      </c>
      <c r="T80" s="102"/>
      <c r="U80" s="59">
        <f>SUM(M80:T80,C80:J80)</f>
        <v>375</v>
      </c>
    </row>
    <row r="81" spans="1:40" ht="18.75" customHeight="1">
      <c r="A81" s="230"/>
      <c r="B81" s="6" t="s">
        <v>14</v>
      </c>
      <c r="C81" s="100">
        <v>5</v>
      </c>
      <c r="D81" s="100">
        <v>6</v>
      </c>
      <c r="E81" s="100">
        <v>10</v>
      </c>
      <c r="F81" s="100">
        <v>11</v>
      </c>
      <c r="G81" s="100">
        <v>15</v>
      </c>
      <c r="H81" s="100">
        <v>12</v>
      </c>
      <c r="I81" s="100">
        <v>14</v>
      </c>
      <c r="J81" s="100">
        <v>5</v>
      </c>
      <c r="K81" s="227"/>
      <c r="L81" s="6" t="s">
        <v>14</v>
      </c>
      <c r="M81" s="100">
        <v>10</v>
      </c>
      <c r="N81" s="100">
        <v>10</v>
      </c>
      <c r="O81" s="100">
        <v>8</v>
      </c>
      <c r="P81" s="100">
        <v>4</v>
      </c>
      <c r="Q81" s="100">
        <v>6</v>
      </c>
      <c r="R81" s="100">
        <v>7</v>
      </c>
      <c r="S81" s="100">
        <v>3</v>
      </c>
      <c r="T81" s="103"/>
      <c r="U81" s="59">
        <f>SUM(M81:T81,C81:J81)</f>
        <v>126</v>
      </c>
    </row>
    <row r="82" spans="1:40" ht="18.75" customHeight="1">
      <c r="A82" s="230"/>
      <c r="B82" s="6" t="s">
        <v>15</v>
      </c>
      <c r="C82" s="100">
        <v>14</v>
      </c>
      <c r="D82" s="100">
        <v>16</v>
      </c>
      <c r="E82" s="100">
        <v>15</v>
      </c>
      <c r="F82" s="100">
        <v>17</v>
      </c>
      <c r="G82" s="100">
        <v>28</v>
      </c>
      <c r="H82" s="100">
        <v>21</v>
      </c>
      <c r="I82" s="100">
        <v>20</v>
      </c>
      <c r="J82" s="100">
        <v>24</v>
      </c>
      <c r="K82" s="227"/>
      <c r="L82" s="6" t="s">
        <v>15</v>
      </c>
      <c r="M82" s="100">
        <v>25</v>
      </c>
      <c r="N82" s="100">
        <v>22</v>
      </c>
      <c r="O82" s="100">
        <v>24</v>
      </c>
      <c r="P82" s="100">
        <v>23</v>
      </c>
      <c r="Q82" s="100">
        <v>28</v>
      </c>
      <c r="R82" s="100">
        <v>30</v>
      </c>
      <c r="S82" s="100">
        <v>26</v>
      </c>
      <c r="T82" s="103"/>
      <c r="U82" s="59">
        <f>SUM(M82:T82,C82:J82)</f>
        <v>333</v>
      </c>
    </row>
    <row r="83" spans="1:40" ht="18.75" customHeight="1">
      <c r="A83" s="230"/>
      <c r="B83" s="6" t="s">
        <v>16</v>
      </c>
      <c r="C83" s="100">
        <v>4</v>
      </c>
      <c r="D83" s="100">
        <v>3</v>
      </c>
      <c r="E83" s="100">
        <v>5</v>
      </c>
      <c r="F83" s="100">
        <v>9</v>
      </c>
      <c r="G83" s="100">
        <v>20</v>
      </c>
      <c r="H83" s="100">
        <v>12</v>
      </c>
      <c r="I83" s="100">
        <v>10</v>
      </c>
      <c r="J83" s="100">
        <v>4</v>
      </c>
      <c r="K83" s="227"/>
      <c r="L83" s="6" t="s">
        <v>16</v>
      </c>
      <c r="M83" s="100">
        <v>1</v>
      </c>
      <c r="N83" s="100">
        <v>14</v>
      </c>
      <c r="O83" s="100">
        <v>5</v>
      </c>
      <c r="P83" s="100">
        <v>3</v>
      </c>
      <c r="Q83" s="100">
        <v>4</v>
      </c>
      <c r="R83" s="100">
        <v>2</v>
      </c>
      <c r="S83" s="100">
        <v>3</v>
      </c>
      <c r="T83" s="103"/>
      <c r="U83" s="59">
        <f>SUM(M83:T83,C83:J83)</f>
        <v>99</v>
      </c>
    </row>
    <row r="84" spans="1:40" ht="18.75" customHeight="1">
      <c r="A84" s="230"/>
      <c r="B84" s="6" t="s">
        <v>17</v>
      </c>
      <c r="C84" s="100">
        <v>3</v>
      </c>
      <c r="D84" s="100">
        <v>8</v>
      </c>
      <c r="E84" s="100">
        <v>4</v>
      </c>
      <c r="F84" s="100">
        <v>6</v>
      </c>
      <c r="G84" s="100">
        <v>15</v>
      </c>
      <c r="H84" s="100">
        <v>25</v>
      </c>
      <c r="I84" s="100">
        <v>15</v>
      </c>
      <c r="J84" s="100">
        <v>2</v>
      </c>
      <c r="K84" s="227"/>
      <c r="L84" s="6" t="s">
        <v>17</v>
      </c>
      <c r="M84" s="100">
        <v>6</v>
      </c>
      <c r="N84" s="100">
        <v>9</v>
      </c>
      <c r="O84" s="100">
        <v>0</v>
      </c>
      <c r="P84" s="100">
        <v>5</v>
      </c>
      <c r="Q84" s="100">
        <v>6</v>
      </c>
      <c r="R84" s="100">
        <v>10</v>
      </c>
      <c r="S84" s="100">
        <v>7</v>
      </c>
      <c r="T84" s="103"/>
      <c r="U84" s="59">
        <f>SUM(M84:T84,C84:J84)</f>
        <v>121</v>
      </c>
    </row>
    <row r="85" spans="1:40" ht="18.75" customHeight="1">
      <c r="A85" s="230"/>
      <c r="B85" s="47" t="s">
        <v>18</v>
      </c>
      <c r="C85" s="101">
        <v>13</v>
      </c>
      <c r="D85" s="101">
        <v>7</v>
      </c>
      <c r="E85" s="101">
        <v>6</v>
      </c>
      <c r="F85" s="101">
        <v>8</v>
      </c>
      <c r="G85" s="101">
        <v>10</v>
      </c>
      <c r="H85" s="101">
        <v>12</v>
      </c>
      <c r="I85" s="101">
        <v>10</v>
      </c>
      <c r="J85" s="101">
        <v>7</v>
      </c>
      <c r="K85" s="227"/>
      <c r="L85" s="47" t="s">
        <v>18</v>
      </c>
      <c r="M85" s="101">
        <v>6</v>
      </c>
      <c r="N85" s="101">
        <v>1</v>
      </c>
      <c r="O85" s="101">
        <v>2</v>
      </c>
      <c r="P85" s="101">
        <v>8</v>
      </c>
      <c r="Q85" s="101">
        <v>7</v>
      </c>
      <c r="R85" s="101">
        <v>11</v>
      </c>
      <c r="S85" s="101">
        <v>23</v>
      </c>
      <c r="T85" s="104"/>
      <c r="U85" s="59">
        <f>SUM(M85:T85,C85:J85)</f>
        <v>131</v>
      </c>
    </row>
    <row r="86" spans="1:40" ht="18.75" customHeight="1">
      <c r="A86" s="195" t="s">
        <v>11</v>
      </c>
      <c r="B86" s="56" t="s">
        <v>13</v>
      </c>
      <c r="C86" s="162">
        <v>18</v>
      </c>
      <c r="D86" s="162">
        <v>17</v>
      </c>
      <c r="E86" s="162">
        <v>18</v>
      </c>
      <c r="F86" s="162">
        <v>21</v>
      </c>
      <c r="G86" s="162">
        <v>32</v>
      </c>
      <c r="H86" s="162">
        <v>42</v>
      </c>
      <c r="I86" s="162">
        <v>27</v>
      </c>
      <c r="J86" s="162">
        <v>30</v>
      </c>
      <c r="K86" s="196" t="s">
        <v>11</v>
      </c>
      <c r="L86" s="56" t="s">
        <v>13</v>
      </c>
      <c r="M86" s="162">
        <v>21</v>
      </c>
      <c r="N86" s="162">
        <v>20</v>
      </c>
      <c r="O86" s="162">
        <v>21</v>
      </c>
      <c r="P86" s="162">
        <v>25</v>
      </c>
      <c r="Q86" s="162">
        <v>18</v>
      </c>
      <c r="R86" s="162">
        <v>15</v>
      </c>
      <c r="S86" s="162">
        <v>11</v>
      </c>
      <c r="T86" s="165">
        <v>11</v>
      </c>
      <c r="U86" s="59">
        <f>SUM(M86:T86,C86:J86)</f>
        <v>347</v>
      </c>
    </row>
    <row r="87" spans="1:40" ht="18.75" customHeight="1">
      <c r="A87" s="230"/>
      <c r="B87" s="4" t="s">
        <v>14</v>
      </c>
      <c r="C87" s="163">
        <v>8</v>
      </c>
      <c r="D87" s="163">
        <v>6</v>
      </c>
      <c r="E87" s="163">
        <v>7</v>
      </c>
      <c r="F87" s="163">
        <v>7</v>
      </c>
      <c r="G87" s="163">
        <v>13</v>
      </c>
      <c r="H87" s="163">
        <v>17</v>
      </c>
      <c r="I87" s="163">
        <v>12</v>
      </c>
      <c r="J87" s="163">
        <v>14</v>
      </c>
      <c r="K87" s="227"/>
      <c r="L87" s="4" t="s">
        <v>14</v>
      </c>
      <c r="M87" s="163">
        <v>8</v>
      </c>
      <c r="N87" s="163">
        <v>5</v>
      </c>
      <c r="O87" s="163">
        <v>6</v>
      </c>
      <c r="P87" s="163">
        <v>4</v>
      </c>
      <c r="Q87" s="163">
        <v>4</v>
      </c>
      <c r="R87" s="163">
        <v>7</v>
      </c>
      <c r="S87" s="163">
        <v>2</v>
      </c>
      <c r="T87" s="166">
        <v>0</v>
      </c>
      <c r="U87" s="59">
        <f>SUM(M87:T87,C87:J87)</f>
        <v>120</v>
      </c>
    </row>
    <row r="88" spans="1:40" ht="18.75" customHeight="1">
      <c r="A88" s="230"/>
      <c r="B88" s="4" t="s">
        <v>15</v>
      </c>
      <c r="C88" s="163">
        <v>20</v>
      </c>
      <c r="D88" s="163">
        <v>12</v>
      </c>
      <c r="E88" s="163">
        <v>17</v>
      </c>
      <c r="F88" s="163">
        <v>16</v>
      </c>
      <c r="G88" s="163">
        <v>25</v>
      </c>
      <c r="H88" s="163">
        <v>37</v>
      </c>
      <c r="I88" s="163">
        <v>24</v>
      </c>
      <c r="J88" s="163">
        <v>23</v>
      </c>
      <c r="K88" s="227"/>
      <c r="L88" s="4" t="s">
        <v>15</v>
      </c>
      <c r="M88" s="163">
        <v>21</v>
      </c>
      <c r="N88" s="163">
        <v>19</v>
      </c>
      <c r="O88" s="163">
        <v>15</v>
      </c>
      <c r="P88" s="163">
        <v>19</v>
      </c>
      <c r="Q88" s="163">
        <v>23</v>
      </c>
      <c r="R88" s="163">
        <v>19</v>
      </c>
      <c r="S88" s="163">
        <v>25</v>
      </c>
      <c r="T88" s="166">
        <v>16</v>
      </c>
      <c r="U88" s="59">
        <f>SUM(M88:T88,C88:J88)</f>
        <v>331</v>
      </c>
      <c r="W88" t="s">
        <v>133</v>
      </c>
    </row>
    <row r="89" spans="1:40" ht="18.75" customHeight="1">
      <c r="A89" s="230"/>
      <c r="B89" s="4" t="s">
        <v>16</v>
      </c>
      <c r="C89" s="163">
        <v>2</v>
      </c>
      <c r="D89" s="163">
        <v>7</v>
      </c>
      <c r="E89" s="163">
        <v>10</v>
      </c>
      <c r="F89" s="163">
        <v>15</v>
      </c>
      <c r="G89" s="163">
        <v>10</v>
      </c>
      <c r="H89" s="163">
        <v>10</v>
      </c>
      <c r="I89" s="163">
        <v>10</v>
      </c>
      <c r="J89" s="163">
        <v>11</v>
      </c>
      <c r="K89" s="227"/>
      <c r="L89" s="4" t="s">
        <v>16</v>
      </c>
      <c r="M89" s="163">
        <v>7</v>
      </c>
      <c r="N89" s="163">
        <v>8</v>
      </c>
      <c r="O89" s="163">
        <v>6</v>
      </c>
      <c r="P89" s="163">
        <v>3</v>
      </c>
      <c r="Q89" s="163">
        <v>3</v>
      </c>
      <c r="R89" s="163">
        <v>5</v>
      </c>
      <c r="S89" s="163">
        <v>1</v>
      </c>
      <c r="T89" s="166">
        <v>1</v>
      </c>
      <c r="U89" s="59">
        <f>SUM(M89:T89,C89:J89)</f>
        <v>109</v>
      </c>
    </row>
    <row r="90" spans="1:40" ht="15.75" customHeight="1">
      <c r="A90" s="230"/>
      <c r="B90" s="4" t="s">
        <v>17</v>
      </c>
      <c r="C90" s="163">
        <v>3</v>
      </c>
      <c r="D90" s="163">
        <v>1</v>
      </c>
      <c r="E90" s="163">
        <v>8</v>
      </c>
      <c r="F90" s="163">
        <v>8</v>
      </c>
      <c r="G90" s="163">
        <v>9</v>
      </c>
      <c r="H90" s="163">
        <v>9</v>
      </c>
      <c r="I90" s="163">
        <v>3</v>
      </c>
      <c r="J90" s="163">
        <v>4</v>
      </c>
      <c r="K90" s="227"/>
      <c r="L90" s="4" t="s">
        <v>17</v>
      </c>
      <c r="M90" s="163">
        <v>8</v>
      </c>
      <c r="N90" s="163">
        <v>5</v>
      </c>
      <c r="O90" s="163">
        <v>7</v>
      </c>
      <c r="P90" s="163">
        <v>5</v>
      </c>
      <c r="Q90" s="163">
        <v>4</v>
      </c>
      <c r="R90" s="163">
        <v>2</v>
      </c>
      <c r="S90" s="163">
        <v>2</v>
      </c>
      <c r="T90" s="166">
        <v>1</v>
      </c>
      <c r="U90" s="59">
        <f>SUM(M90:T90,C90:J90)</f>
        <v>79</v>
      </c>
    </row>
    <row r="91" spans="1:40" ht="15.75" customHeight="1">
      <c r="A91" s="231"/>
      <c r="B91" s="61" t="s">
        <v>18</v>
      </c>
      <c r="C91" s="164">
        <v>11</v>
      </c>
      <c r="D91" s="164">
        <v>4</v>
      </c>
      <c r="E91" s="164">
        <v>6</v>
      </c>
      <c r="F91" s="164">
        <v>12</v>
      </c>
      <c r="G91" s="164">
        <v>12</v>
      </c>
      <c r="H91" s="164">
        <v>16</v>
      </c>
      <c r="I91" s="164">
        <v>4</v>
      </c>
      <c r="J91" s="164">
        <v>5</v>
      </c>
      <c r="K91" s="232"/>
      <c r="L91" s="61" t="s">
        <v>18</v>
      </c>
      <c r="M91" s="164">
        <v>9</v>
      </c>
      <c r="N91" s="164">
        <v>4</v>
      </c>
      <c r="O91" s="164">
        <v>9</v>
      </c>
      <c r="P91" s="164">
        <v>7</v>
      </c>
      <c r="Q91" s="164">
        <v>7</v>
      </c>
      <c r="R91" s="164">
        <v>2</v>
      </c>
      <c r="S91" s="164">
        <v>6</v>
      </c>
      <c r="T91" s="167">
        <v>3</v>
      </c>
      <c r="U91" s="59">
        <f>SUM(M91:T91,C91:J91)</f>
        <v>117</v>
      </c>
    </row>
    <row r="93" spans="1:40" ht="15.75" customHeight="1">
      <c r="A93" s="1"/>
      <c r="B93" s="1"/>
      <c r="C93" s="183" t="s">
        <v>0</v>
      </c>
      <c r="D93" s="225"/>
      <c r="E93" s="225"/>
      <c r="F93" s="225"/>
      <c r="G93" s="226"/>
      <c r="H93" s="2"/>
      <c r="I93" s="1"/>
    </row>
    <row r="94" spans="1:40" ht="15.75" customHeight="1">
      <c r="A94" s="1"/>
      <c r="B94" s="183" t="s">
        <v>1</v>
      </c>
      <c r="C94" s="225"/>
      <c r="D94" s="226"/>
      <c r="E94" s="1"/>
      <c r="F94" s="184" t="s">
        <v>2</v>
      </c>
      <c r="G94" s="225"/>
      <c r="H94" s="226"/>
      <c r="I94" s="1"/>
      <c r="K94" s="1"/>
      <c r="L94" s="183" t="s">
        <v>26</v>
      </c>
      <c r="M94" s="225"/>
      <c r="N94" s="226"/>
      <c r="O94" s="1"/>
      <c r="P94" s="184" t="s">
        <v>2</v>
      </c>
      <c r="Q94" s="225"/>
      <c r="R94" s="226"/>
      <c r="S94" s="1"/>
    </row>
    <row r="95" spans="1:40" ht="15.75" customHeight="1">
      <c r="A95" s="54" t="s">
        <v>35</v>
      </c>
      <c r="B95" s="54" t="s">
        <v>4</v>
      </c>
      <c r="C95" s="54" t="s">
        <v>12</v>
      </c>
      <c r="D95" s="54" t="s">
        <v>19</v>
      </c>
      <c r="E95" s="54" t="s">
        <v>20</v>
      </c>
      <c r="F95" s="54" t="s">
        <v>21</v>
      </c>
      <c r="G95" s="54" t="s">
        <v>22</v>
      </c>
      <c r="H95" s="54" t="s">
        <v>23</v>
      </c>
      <c r="I95" s="54" t="s">
        <v>24</v>
      </c>
      <c r="J95" s="54" t="s">
        <v>25</v>
      </c>
      <c r="K95" s="54" t="s">
        <v>35</v>
      </c>
      <c r="L95" s="54" t="s">
        <v>4</v>
      </c>
      <c r="M95" s="54" t="s">
        <v>27</v>
      </c>
      <c r="N95" s="54" t="s">
        <v>28</v>
      </c>
      <c r="O95" s="54" t="s">
        <v>29</v>
      </c>
      <c r="P95" s="54" t="s">
        <v>30</v>
      </c>
      <c r="Q95" s="54" t="s">
        <v>31</v>
      </c>
      <c r="R95" s="54" t="s">
        <v>32</v>
      </c>
      <c r="S95" s="54" t="s">
        <v>33</v>
      </c>
      <c r="T95" s="54" t="s">
        <v>34</v>
      </c>
      <c r="U95" s="54" t="s">
        <v>55</v>
      </c>
    </row>
    <row r="96" spans="1:40" ht="15.75" customHeight="1">
      <c r="A96" s="195" t="s">
        <v>5</v>
      </c>
      <c r="B96" s="56" t="s">
        <v>13</v>
      </c>
      <c r="C96" s="57"/>
      <c r="D96" s="57"/>
      <c r="E96" s="56">
        <v>16</v>
      </c>
      <c r="F96" s="56">
        <v>36</v>
      </c>
      <c r="G96" s="56">
        <v>20</v>
      </c>
      <c r="H96" s="56">
        <v>43</v>
      </c>
      <c r="I96" s="56">
        <v>35</v>
      </c>
      <c r="J96" s="56" t="s">
        <v>78</v>
      </c>
      <c r="K96" s="196" t="s">
        <v>5</v>
      </c>
      <c r="L96" s="56" t="s">
        <v>13</v>
      </c>
      <c r="M96" s="56">
        <v>31</v>
      </c>
      <c r="N96" s="56">
        <v>17</v>
      </c>
      <c r="O96" s="56">
        <v>16</v>
      </c>
      <c r="P96" s="56">
        <v>29</v>
      </c>
      <c r="Q96" s="56">
        <v>11</v>
      </c>
      <c r="R96" s="57"/>
      <c r="S96" s="57"/>
      <c r="T96" s="58"/>
      <c r="U96" s="59">
        <f>SUM(M96:T96,C96:J96)</f>
        <v>254</v>
      </c>
      <c r="W96" s="197" t="s">
        <v>2</v>
      </c>
      <c r="X96" s="198"/>
      <c r="AG96" s="190" t="s">
        <v>58</v>
      </c>
      <c r="AH96" s="191"/>
      <c r="AI96" s="191"/>
      <c r="AJ96" s="191"/>
      <c r="AK96" s="191"/>
      <c r="AL96" s="191"/>
      <c r="AM96" s="191"/>
      <c r="AN96" s="192"/>
    </row>
    <row r="97" spans="1:40" ht="15.75" customHeight="1">
      <c r="A97" s="230"/>
      <c r="B97" s="4" t="s">
        <v>14</v>
      </c>
      <c r="C97" s="5"/>
      <c r="D97" s="5"/>
      <c r="E97" s="4">
        <v>2</v>
      </c>
      <c r="F97" s="4">
        <v>9</v>
      </c>
      <c r="G97" s="4">
        <v>14</v>
      </c>
      <c r="H97" s="4">
        <v>10</v>
      </c>
      <c r="I97" s="4">
        <v>8</v>
      </c>
      <c r="J97" s="4" t="s">
        <v>78</v>
      </c>
      <c r="K97" s="227"/>
      <c r="L97" s="4" t="s">
        <v>14</v>
      </c>
      <c r="M97" s="4">
        <v>8</v>
      </c>
      <c r="N97" s="4">
        <v>6</v>
      </c>
      <c r="O97" s="4">
        <v>3</v>
      </c>
      <c r="P97" s="4">
        <v>1</v>
      </c>
      <c r="Q97" s="4">
        <v>1</v>
      </c>
      <c r="R97" s="5"/>
      <c r="S97" s="5"/>
      <c r="T97" s="49"/>
      <c r="U97" s="59">
        <f>SUM(M97:T97,C97:J97)</f>
        <v>62</v>
      </c>
      <c r="W97" s="55" t="s">
        <v>5</v>
      </c>
      <c r="X97" s="48">
        <f>SUM(U96:U101)</f>
        <v>804</v>
      </c>
      <c r="AG97" s="98" t="s">
        <v>4</v>
      </c>
      <c r="AH97" s="98" t="s">
        <v>5</v>
      </c>
      <c r="AI97" s="98" t="s">
        <v>6</v>
      </c>
      <c r="AJ97" s="98" t="s">
        <v>7</v>
      </c>
      <c r="AK97" s="98" t="s">
        <v>8</v>
      </c>
      <c r="AL97" s="98" t="s">
        <v>9</v>
      </c>
      <c r="AM97" s="98" t="s">
        <v>10</v>
      </c>
      <c r="AN97" s="98" t="s">
        <v>11</v>
      </c>
    </row>
    <row r="98" spans="1:40" ht="15.75" customHeight="1">
      <c r="A98" s="230"/>
      <c r="B98" s="4" t="s">
        <v>15</v>
      </c>
      <c r="C98" s="5"/>
      <c r="D98" s="5"/>
      <c r="E98" s="4">
        <v>10</v>
      </c>
      <c r="F98" s="4">
        <v>17</v>
      </c>
      <c r="G98" s="4">
        <v>22</v>
      </c>
      <c r="H98" s="4">
        <v>33</v>
      </c>
      <c r="I98" s="4">
        <v>32</v>
      </c>
      <c r="J98" s="4" t="s">
        <v>78</v>
      </c>
      <c r="K98" s="227"/>
      <c r="L98" s="4" t="s">
        <v>15</v>
      </c>
      <c r="M98" s="4">
        <v>33</v>
      </c>
      <c r="N98" s="4">
        <v>23</v>
      </c>
      <c r="O98" s="4">
        <v>17</v>
      </c>
      <c r="P98" s="4">
        <v>33</v>
      </c>
      <c r="Q98" s="4">
        <v>22</v>
      </c>
      <c r="R98" s="5"/>
      <c r="S98" s="5"/>
      <c r="T98" s="49"/>
      <c r="U98" s="59">
        <f>SUM(M98:T98,C98:J98)</f>
        <v>242</v>
      </c>
      <c r="W98" s="55" t="s">
        <v>6</v>
      </c>
      <c r="X98" s="48">
        <f>SUM(U102:U107)</f>
        <v>490</v>
      </c>
      <c r="AG98" s="79" t="s">
        <v>13</v>
      </c>
      <c r="AH98" s="79">
        <f t="shared" ref="AH98:AH103" si="16">U96</f>
        <v>254</v>
      </c>
      <c r="AI98" s="79">
        <f t="shared" ref="AI98:AI103" si="17">U102</f>
        <v>199</v>
      </c>
      <c r="AJ98" s="79">
        <f t="shared" ref="AJ98:AJ103" si="18">U108</f>
        <v>483</v>
      </c>
      <c r="AK98" s="79">
        <f t="shared" ref="AK98:AK103" si="19">U114</f>
        <v>423</v>
      </c>
      <c r="AL98" s="79">
        <f t="shared" ref="AL98:AL103" si="20">U120</f>
        <v>329</v>
      </c>
      <c r="AM98" s="79">
        <f t="shared" ref="AM98:AM103" si="21">U126</f>
        <v>0</v>
      </c>
      <c r="AN98" s="79">
        <f t="shared" ref="AN98:AN103" si="22">U132</f>
        <v>183</v>
      </c>
    </row>
    <row r="99" spans="1:40" ht="15.75" customHeight="1">
      <c r="A99" s="230"/>
      <c r="B99" s="4" t="s">
        <v>16</v>
      </c>
      <c r="C99" s="5"/>
      <c r="D99" s="5"/>
      <c r="E99" s="4">
        <v>2</v>
      </c>
      <c r="F99" s="4">
        <v>5</v>
      </c>
      <c r="G99" s="4">
        <v>9</v>
      </c>
      <c r="H99" s="4">
        <v>18</v>
      </c>
      <c r="I99" s="4">
        <v>7</v>
      </c>
      <c r="J99" s="4" t="s">
        <v>78</v>
      </c>
      <c r="K99" s="227"/>
      <c r="L99" s="4" t="s">
        <v>16</v>
      </c>
      <c r="M99" s="4">
        <v>8</v>
      </c>
      <c r="N99" s="4">
        <v>6</v>
      </c>
      <c r="O99" s="4">
        <v>8</v>
      </c>
      <c r="P99" s="4">
        <v>6</v>
      </c>
      <c r="Q99" s="4">
        <v>3</v>
      </c>
      <c r="R99" s="5"/>
      <c r="S99" s="5"/>
      <c r="T99" s="49"/>
      <c r="U99" s="59">
        <f>SUM(M99:T99,C99:J99)</f>
        <v>72</v>
      </c>
      <c r="W99" s="55" t="s">
        <v>7</v>
      </c>
      <c r="X99" s="48">
        <f>SUM(U108:U113)</f>
        <v>1718</v>
      </c>
      <c r="AG99" s="97" t="s">
        <v>14</v>
      </c>
      <c r="AH99" s="97">
        <f t="shared" si="16"/>
        <v>62</v>
      </c>
      <c r="AI99" s="97">
        <f t="shared" si="17"/>
        <v>39</v>
      </c>
      <c r="AJ99" s="97">
        <f t="shared" si="18"/>
        <v>239</v>
      </c>
      <c r="AK99" s="97">
        <f t="shared" si="19"/>
        <v>109</v>
      </c>
      <c r="AL99" s="97">
        <f t="shared" si="20"/>
        <v>72</v>
      </c>
      <c r="AM99" s="97">
        <f t="shared" si="21"/>
        <v>0</v>
      </c>
      <c r="AN99" s="97">
        <f t="shared" si="22"/>
        <v>47</v>
      </c>
    </row>
    <row r="100" spans="1:40" ht="15.75" customHeight="1">
      <c r="A100" s="230"/>
      <c r="B100" s="4" t="s">
        <v>17</v>
      </c>
      <c r="C100" s="5"/>
      <c r="D100" s="5"/>
      <c r="E100" s="4">
        <v>6</v>
      </c>
      <c r="F100" s="4">
        <v>10</v>
      </c>
      <c r="G100" s="4">
        <v>8</v>
      </c>
      <c r="H100" s="4">
        <v>18</v>
      </c>
      <c r="I100" s="4">
        <v>6</v>
      </c>
      <c r="J100" s="4" t="s">
        <v>78</v>
      </c>
      <c r="K100" s="227"/>
      <c r="L100" s="4" t="s">
        <v>17</v>
      </c>
      <c r="M100" s="4">
        <v>6</v>
      </c>
      <c r="N100" s="4">
        <v>5</v>
      </c>
      <c r="O100" s="4">
        <v>6</v>
      </c>
      <c r="P100" s="4">
        <v>7</v>
      </c>
      <c r="Q100" s="4">
        <v>5</v>
      </c>
      <c r="R100" s="5"/>
      <c r="S100" s="5"/>
      <c r="T100" s="49"/>
      <c r="U100" s="59">
        <f>SUM(M100:T100,C100:J100)</f>
        <v>77</v>
      </c>
      <c r="W100" s="55" t="s">
        <v>61</v>
      </c>
      <c r="X100" s="48">
        <f>SUM(U114:U119)</f>
        <v>1160</v>
      </c>
      <c r="AG100" s="79" t="s">
        <v>15</v>
      </c>
      <c r="AH100" s="79">
        <f t="shared" si="16"/>
        <v>242</v>
      </c>
      <c r="AI100" s="79">
        <f t="shared" si="17"/>
        <v>123</v>
      </c>
      <c r="AJ100" s="79">
        <f t="shared" si="18"/>
        <v>484</v>
      </c>
      <c r="AK100" s="79">
        <f t="shared" si="19"/>
        <v>323</v>
      </c>
      <c r="AL100" s="79">
        <f t="shared" si="20"/>
        <v>283</v>
      </c>
      <c r="AM100" s="79">
        <f t="shared" si="21"/>
        <v>0</v>
      </c>
      <c r="AN100" s="79">
        <f t="shared" si="22"/>
        <v>151</v>
      </c>
    </row>
    <row r="101" spans="1:40" ht="15.75" customHeight="1">
      <c r="A101" s="230"/>
      <c r="B101" s="46" t="s">
        <v>18</v>
      </c>
      <c r="C101" s="64"/>
      <c r="D101" s="64"/>
      <c r="E101" s="46">
        <v>17</v>
      </c>
      <c r="F101" s="46">
        <v>7</v>
      </c>
      <c r="G101" s="46">
        <v>8</v>
      </c>
      <c r="H101" s="46">
        <v>12</v>
      </c>
      <c r="I101" s="46">
        <v>15</v>
      </c>
      <c r="J101" s="46" t="s">
        <v>78</v>
      </c>
      <c r="K101" s="227"/>
      <c r="L101" s="46" t="s">
        <v>18</v>
      </c>
      <c r="M101" s="46">
        <v>9</v>
      </c>
      <c r="N101" s="46">
        <v>9</v>
      </c>
      <c r="O101" s="46">
        <v>7</v>
      </c>
      <c r="P101" s="46">
        <v>10</v>
      </c>
      <c r="Q101" s="46">
        <v>3</v>
      </c>
      <c r="R101" s="64"/>
      <c r="S101" s="64"/>
      <c r="T101" s="65"/>
      <c r="U101" s="59">
        <f>SUM(M101:T101,C101:J101)</f>
        <v>97</v>
      </c>
      <c r="W101" s="55" t="s">
        <v>9</v>
      </c>
      <c r="X101" s="48">
        <f>SUM(U120:U125)</f>
        <v>1021</v>
      </c>
      <c r="AG101" s="97" t="s">
        <v>16</v>
      </c>
      <c r="AH101" s="97">
        <f t="shared" si="16"/>
        <v>72</v>
      </c>
      <c r="AI101" s="97">
        <f t="shared" si="17"/>
        <v>51</v>
      </c>
      <c r="AJ101" s="97">
        <f t="shared" si="18"/>
        <v>161</v>
      </c>
      <c r="AK101" s="97">
        <f t="shared" si="19"/>
        <v>94</v>
      </c>
      <c r="AL101" s="97">
        <f t="shared" si="20"/>
        <v>88</v>
      </c>
      <c r="AM101" s="97">
        <f t="shared" si="21"/>
        <v>0</v>
      </c>
      <c r="AN101" s="97">
        <f t="shared" si="22"/>
        <v>30</v>
      </c>
    </row>
    <row r="102" spans="1:40" ht="15.75" customHeight="1">
      <c r="A102" s="193" t="s">
        <v>6</v>
      </c>
      <c r="B102" s="63" t="s">
        <v>13</v>
      </c>
      <c r="C102" s="57"/>
      <c r="D102" s="57"/>
      <c r="E102" s="57"/>
      <c r="F102" s="63">
        <v>21</v>
      </c>
      <c r="G102" s="63">
        <v>30</v>
      </c>
      <c r="H102" s="63">
        <v>31</v>
      </c>
      <c r="I102" s="63" t="s">
        <v>78</v>
      </c>
      <c r="J102" s="63">
        <v>25</v>
      </c>
      <c r="K102" s="194" t="s">
        <v>6</v>
      </c>
      <c r="L102" s="63" t="s">
        <v>13</v>
      </c>
      <c r="M102" s="63">
        <v>24</v>
      </c>
      <c r="N102" s="63">
        <v>21</v>
      </c>
      <c r="O102" s="63">
        <v>25</v>
      </c>
      <c r="P102" s="63">
        <v>22</v>
      </c>
      <c r="Q102" s="57"/>
      <c r="R102" s="57"/>
      <c r="S102" s="57"/>
      <c r="T102" s="58"/>
      <c r="U102" s="59">
        <f>SUM(M102:T102,C102:J102)</f>
        <v>199</v>
      </c>
      <c r="W102" s="55" t="s">
        <v>10</v>
      </c>
      <c r="X102" s="48">
        <f>SUM(U126:U131)</f>
        <v>0</v>
      </c>
      <c r="AG102" s="79" t="s">
        <v>17</v>
      </c>
      <c r="AH102" s="79">
        <f t="shared" si="16"/>
        <v>77</v>
      </c>
      <c r="AI102" s="79">
        <f t="shared" si="17"/>
        <v>39</v>
      </c>
      <c r="AJ102" s="79">
        <f t="shared" si="18"/>
        <v>158</v>
      </c>
      <c r="AK102" s="79">
        <f t="shared" si="19"/>
        <v>103</v>
      </c>
      <c r="AL102" s="79">
        <f t="shared" si="20"/>
        <v>122</v>
      </c>
      <c r="AM102" s="79">
        <f t="shared" si="21"/>
        <v>0</v>
      </c>
      <c r="AN102" s="79">
        <f t="shared" si="22"/>
        <v>47</v>
      </c>
    </row>
    <row r="103" spans="1:40" ht="15.75" customHeight="1">
      <c r="A103" s="230"/>
      <c r="B103" s="6" t="s">
        <v>14</v>
      </c>
      <c r="C103" s="5"/>
      <c r="D103" s="5"/>
      <c r="E103" s="5"/>
      <c r="F103" s="6">
        <v>7</v>
      </c>
      <c r="G103" s="6">
        <v>5</v>
      </c>
      <c r="H103" s="6">
        <v>7</v>
      </c>
      <c r="I103" s="6" t="s">
        <v>78</v>
      </c>
      <c r="J103" s="6">
        <v>5</v>
      </c>
      <c r="K103" s="227"/>
      <c r="L103" s="6" t="s">
        <v>14</v>
      </c>
      <c r="M103" s="6">
        <v>4</v>
      </c>
      <c r="N103" s="6">
        <v>5</v>
      </c>
      <c r="O103" s="6">
        <v>3</v>
      </c>
      <c r="P103" s="6">
        <v>3</v>
      </c>
      <c r="Q103" s="5"/>
      <c r="R103" s="5"/>
      <c r="S103" s="5"/>
      <c r="T103" s="49"/>
      <c r="U103" s="59">
        <f>SUM(M103:T103,C103:J103)</f>
        <v>39</v>
      </c>
      <c r="W103" s="81" t="s">
        <v>11</v>
      </c>
      <c r="X103" s="80">
        <f>SUM(U132:U137)</f>
        <v>512</v>
      </c>
      <c r="AG103" s="97" t="s">
        <v>18</v>
      </c>
      <c r="AH103" s="97">
        <f t="shared" si="16"/>
        <v>97</v>
      </c>
      <c r="AI103" s="97">
        <f t="shared" si="17"/>
        <v>39</v>
      </c>
      <c r="AJ103" s="97">
        <f t="shared" si="18"/>
        <v>193</v>
      </c>
      <c r="AK103" s="97">
        <f t="shared" si="19"/>
        <v>108</v>
      </c>
      <c r="AL103" s="97">
        <f t="shared" si="20"/>
        <v>127</v>
      </c>
      <c r="AM103" s="97">
        <f t="shared" si="21"/>
        <v>0</v>
      </c>
      <c r="AN103" s="97">
        <f t="shared" si="22"/>
        <v>54</v>
      </c>
    </row>
    <row r="104" spans="1:40" ht="15.75" customHeight="1">
      <c r="A104" s="230"/>
      <c r="B104" s="6" t="s">
        <v>15</v>
      </c>
      <c r="C104" s="5"/>
      <c r="D104" s="5"/>
      <c r="E104" s="5"/>
      <c r="F104" s="6">
        <v>17</v>
      </c>
      <c r="G104" s="6">
        <v>20</v>
      </c>
      <c r="H104" s="6">
        <v>25</v>
      </c>
      <c r="I104" s="6" t="s">
        <v>78</v>
      </c>
      <c r="J104" s="6">
        <v>11</v>
      </c>
      <c r="K104" s="227"/>
      <c r="L104" s="6" t="s">
        <v>15</v>
      </c>
      <c r="M104" s="6">
        <v>15</v>
      </c>
      <c r="N104" s="6">
        <v>12</v>
      </c>
      <c r="O104" s="6">
        <v>8</v>
      </c>
      <c r="P104" s="6">
        <v>15</v>
      </c>
      <c r="Q104" s="5"/>
      <c r="R104" s="5"/>
      <c r="S104" s="5"/>
      <c r="T104" s="49"/>
      <c r="U104" s="59">
        <f>SUM(M104:T104,C104:J104)</f>
        <v>123</v>
      </c>
      <c r="W104" s="79" t="s">
        <v>63</v>
      </c>
      <c r="X104" s="82">
        <f>SUM(X97:X103)</f>
        <v>5705</v>
      </c>
    </row>
    <row r="105" spans="1:40" ht="15.75" customHeight="1">
      <c r="A105" s="230"/>
      <c r="B105" s="6" t="s">
        <v>16</v>
      </c>
      <c r="C105" s="5"/>
      <c r="D105" s="5"/>
      <c r="E105" s="5"/>
      <c r="F105" s="6">
        <v>7</v>
      </c>
      <c r="G105" s="6">
        <v>9</v>
      </c>
      <c r="H105" s="6">
        <v>11</v>
      </c>
      <c r="I105" s="6" t="s">
        <v>78</v>
      </c>
      <c r="J105" s="6">
        <v>5</v>
      </c>
      <c r="K105" s="227"/>
      <c r="L105" s="6" t="s">
        <v>16</v>
      </c>
      <c r="M105" s="6">
        <v>8</v>
      </c>
      <c r="N105" s="6">
        <v>4</v>
      </c>
      <c r="O105" s="6">
        <v>5</v>
      </c>
      <c r="P105" s="6">
        <v>2</v>
      </c>
      <c r="Q105" s="5"/>
      <c r="R105" s="5"/>
      <c r="S105" s="5"/>
      <c r="T105" s="49"/>
      <c r="U105" s="59">
        <f>SUM(M105:T105,C105:J105)</f>
        <v>51</v>
      </c>
    </row>
    <row r="106" spans="1:40" ht="15.75" customHeight="1">
      <c r="A106" s="230"/>
      <c r="B106" s="6" t="s">
        <v>17</v>
      </c>
      <c r="C106" s="5"/>
      <c r="D106" s="5"/>
      <c r="E106" s="5"/>
      <c r="F106" s="6">
        <v>3</v>
      </c>
      <c r="G106" s="6">
        <v>10</v>
      </c>
      <c r="H106" s="6">
        <v>12</v>
      </c>
      <c r="I106" s="6" t="s">
        <v>78</v>
      </c>
      <c r="J106" s="6">
        <v>6</v>
      </c>
      <c r="K106" s="227"/>
      <c r="L106" s="6" t="s">
        <v>17</v>
      </c>
      <c r="M106" s="6">
        <v>2</v>
      </c>
      <c r="N106" s="6">
        <v>2</v>
      </c>
      <c r="O106" s="6">
        <v>2</v>
      </c>
      <c r="P106" s="6">
        <v>2</v>
      </c>
      <c r="Q106" s="5"/>
      <c r="R106" s="5"/>
      <c r="S106" s="5"/>
      <c r="T106" s="49"/>
      <c r="U106" s="59">
        <f>SUM(M106:T106,C106:J106)</f>
        <v>39</v>
      </c>
    </row>
    <row r="107" spans="1:40" ht="15.75" customHeight="1">
      <c r="A107" s="230"/>
      <c r="B107" s="47" t="s">
        <v>18</v>
      </c>
      <c r="C107" s="64"/>
      <c r="D107" s="64"/>
      <c r="E107" s="64"/>
      <c r="F107" s="47">
        <v>4</v>
      </c>
      <c r="G107" s="47">
        <v>7</v>
      </c>
      <c r="H107" s="47">
        <v>9</v>
      </c>
      <c r="I107" s="47" t="s">
        <v>78</v>
      </c>
      <c r="J107" s="47">
        <v>5</v>
      </c>
      <c r="K107" s="227"/>
      <c r="L107" s="47" t="s">
        <v>18</v>
      </c>
      <c r="M107" s="47">
        <v>5</v>
      </c>
      <c r="N107" s="47">
        <v>4</v>
      </c>
      <c r="O107" s="47">
        <v>5</v>
      </c>
      <c r="P107" s="47"/>
      <c r="Q107" s="64"/>
      <c r="R107" s="64"/>
      <c r="S107" s="64"/>
      <c r="T107" s="65"/>
      <c r="U107" s="59">
        <f>SUM(M107:T107,C107:J107)</f>
        <v>39</v>
      </c>
    </row>
    <row r="108" spans="1:40" ht="15.75" customHeight="1">
      <c r="A108" s="195" t="s">
        <v>7</v>
      </c>
      <c r="B108" s="56" t="s">
        <v>13</v>
      </c>
      <c r="C108" s="56">
        <v>14</v>
      </c>
      <c r="D108" s="56">
        <v>18</v>
      </c>
      <c r="E108" s="56">
        <v>25</v>
      </c>
      <c r="F108" s="56">
        <v>28</v>
      </c>
      <c r="G108" s="56">
        <v>41</v>
      </c>
      <c r="H108" s="56">
        <v>51</v>
      </c>
      <c r="I108" s="56">
        <v>44</v>
      </c>
      <c r="J108" s="56">
        <v>36</v>
      </c>
      <c r="K108" s="196" t="s">
        <v>7</v>
      </c>
      <c r="L108" s="56" t="s">
        <v>13</v>
      </c>
      <c r="M108" s="56">
        <v>35</v>
      </c>
      <c r="N108" s="56">
        <v>31</v>
      </c>
      <c r="O108" s="56">
        <v>30</v>
      </c>
      <c r="P108" s="56">
        <v>27</v>
      </c>
      <c r="Q108" s="56">
        <v>24</v>
      </c>
      <c r="R108" s="56">
        <v>46</v>
      </c>
      <c r="S108" s="56">
        <v>24</v>
      </c>
      <c r="T108" s="67">
        <v>9</v>
      </c>
      <c r="U108" s="59">
        <f>SUM(M108:T108,C108:J108)</f>
        <v>483</v>
      </c>
    </row>
    <row r="109" spans="1:40" ht="15.75" customHeight="1">
      <c r="A109" s="230"/>
      <c r="B109" s="4" t="s">
        <v>14</v>
      </c>
      <c r="C109" s="4">
        <v>7</v>
      </c>
      <c r="D109" s="4">
        <v>6</v>
      </c>
      <c r="E109" s="4">
        <v>10</v>
      </c>
      <c r="F109" s="4">
        <v>77</v>
      </c>
      <c r="G109" s="4">
        <v>11</v>
      </c>
      <c r="H109" s="4">
        <v>13</v>
      </c>
      <c r="I109" s="4">
        <v>14</v>
      </c>
      <c r="J109" s="4">
        <v>13</v>
      </c>
      <c r="K109" s="227"/>
      <c r="L109" s="4" t="s">
        <v>14</v>
      </c>
      <c r="M109" s="4">
        <v>16</v>
      </c>
      <c r="N109" s="4">
        <v>14</v>
      </c>
      <c r="O109" s="4">
        <v>15</v>
      </c>
      <c r="P109" s="4">
        <v>8</v>
      </c>
      <c r="Q109" s="4">
        <v>12</v>
      </c>
      <c r="R109" s="4">
        <v>14</v>
      </c>
      <c r="S109" s="4">
        <v>6</v>
      </c>
      <c r="T109" s="50">
        <v>3</v>
      </c>
      <c r="U109" s="59">
        <f>SUM(M109:T109,C109:J109)</f>
        <v>239</v>
      </c>
    </row>
    <row r="110" spans="1:40" ht="15.75" customHeight="1">
      <c r="A110" s="230"/>
      <c r="B110" s="4" t="s">
        <v>15</v>
      </c>
      <c r="C110" s="4">
        <v>19</v>
      </c>
      <c r="D110" s="4">
        <v>13</v>
      </c>
      <c r="E110" s="4">
        <v>26</v>
      </c>
      <c r="F110" s="4">
        <v>21</v>
      </c>
      <c r="G110" s="4">
        <v>32</v>
      </c>
      <c r="H110" s="4">
        <v>40</v>
      </c>
      <c r="I110" s="4">
        <v>40</v>
      </c>
      <c r="J110" s="4">
        <v>45</v>
      </c>
      <c r="K110" s="227"/>
      <c r="L110" s="4" t="s">
        <v>15</v>
      </c>
      <c r="M110" s="4">
        <v>30</v>
      </c>
      <c r="N110" s="4">
        <v>25</v>
      </c>
      <c r="O110" s="4">
        <v>35</v>
      </c>
      <c r="P110" s="4">
        <v>38</v>
      </c>
      <c r="Q110" s="4">
        <v>34</v>
      </c>
      <c r="R110" s="4">
        <v>41</v>
      </c>
      <c r="S110" s="4">
        <v>24</v>
      </c>
      <c r="T110" s="50">
        <v>21</v>
      </c>
      <c r="U110" s="59">
        <f>SUM(M110:T110,C110:J110)</f>
        <v>484</v>
      </c>
    </row>
    <row r="111" spans="1:40" ht="15.75" customHeight="1">
      <c r="A111" s="230"/>
      <c r="B111" s="4" t="s">
        <v>16</v>
      </c>
      <c r="C111" s="4">
        <v>1</v>
      </c>
      <c r="D111" s="4">
        <v>1</v>
      </c>
      <c r="E111" s="4">
        <v>3</v>
      </c>
      <c r="F111" s="4">
        <v>12</v>
      </c>
      <c r="G111" s="4">
        <v>22</v>
      </c>
      <c r="H111" s="4">
        <v>18</v>
      </c>
      <c r="I111" s="4">
        <v>17</v>
      </c>
      <c r="J111" s="4">
        <v>10</v>
      </c>
      <c r="K111" s="227"/>
      <c r="L111" s="4" t="s">
        <v>16</v>
      </c>
      <c r="M111" s="4">
        <v>12</v>
      </c>
      <c r="N111" s="4">
        <v>10</v>
      </c>
      <c r="O111" s="4">
        <v>14</v>
      </c>
      <c r="P111" s="4">
        <v>6</v>
      </c>
      <c r="Q111" s="4">
        <v>10</v>
      </c>
      <c r="R111" s="4">
        <v>12</v>
      </c>
      <c r="S111" s="4">
        <v>9</v>
      </c>
      <c r="T111" s="50">
        <v>4</v>
      </c>
      <c r="U111" s="59">
        <f>SUM(M111:T111,C111:J111)</f>
        <v>161</v>
      </c>
    </row>
    <row r="112" spans="1:40" ht="15.75" customHeight="1">
      <c r="A112" s="230"/>
      <c r="B112" s="4" t="s">
        <v>17</v>
      </c>
      <c r="C112" s="4">
        <v>2</v>
      </c>
      <c r="D112" s="4">
        <v>4</v>
      </c>
      <c r="E112" s="4">
        <v>6</v>
      </c>
      <c r="F112" s="4">
        <v>5</v>
      </c>
      <c r="G112" s="4">
        <v>12</v>
      </c>
      <c r="H112" s="4">
        <v>21</v>
      </c>
      <c r="I112" s="4">
        <v>18</v>
      </c>
      <c r="J112" s="4">
        <v>15</v>
      </c>
      <c r="K112" s="227"/>
      <c r="L112" s="4" t="s">
        <v>17</v>
      </c>
      <c r="M112" s="4">
        <v>9</v>
      </c>
      <c r="N112" s="4">
        <v>7</v>
      </c>
      <c r="O112" s="4">
        <v>15</v>
      </c>
      <c r="P112" s="4">
        <v>8</v>
      </c>
      <c r="Q112" s="4">
        <v>14</v>
      </c>
      <c r="R112" s="4">
        <v>12</v>
      </c>
      <c r="S112" s="4">
        <v>6</v>
      </c>
      <c r="T112" s="50">
        <v>4</v>
      </c>
      <c r="U112" s="59">
        <f>SUM(M112:T112,C112:J112)</f>
        <v>158</v>
      </c>
    </row>
    <row r="113" spans="1:21" ht="15.75" customHeight="1">
      <c r="A113" s="230"/>
      <c r="B113" s="46" t="s">
        <v>18</v>
      </c>
      <c r="C113" s="46">
        <v>12</v>
      </c>
      <c r="D113" s="46">
        <v>7</v>
      </c>
      <c r="E113" s="46">
        <v>12</v>
      </c>
      <c r="F113" s="46">
        <v>7</v>
      </c>
      <c r="G113" s="46">
        <v>22</v>
      </c>
      <c r="H113" s="46">
        <v>15</v>
      </c>
      <c r="I113" s="46">
        <v>25</v>
      </c>
      <c r="J113" s="46">
        <v>16</v>
      </c>
      <c r="K113" s="227"/>
      <c r="L113" s="46" t="s">
        <v>18</v>
      </c>
      <c r="M113" s="46">
        <v>11</v>
      </c>
      <c r="N113" s="46">
        <v>10</v>
      </c>
      <c r="O113" s="46">
        <v>12</v>
      </c>
      <c r="P113" s="46">
        <v>16</v>
      </c>
      <c r="Q113" s="46">
        <v>8</v>
      </c>
      <c r="R113" s="46">
        <v>12</v>
      </c>
      <c r="S113" s="46">
        <v>4</v>
      </c>
      <c r="T113" s="69">
        <v>4</v>
      </c>
      <c r="U113" s="59">
        <f>SUM(M113:T113,C113:J113)</f>
        <v>193</v>
      </c>
    </row>
    <row r="114" spans="1:21" ht="15.75" customHeight="1">
      <c r="A114" s="193" t="s">
        <v>8</v>
      </c>
      <c r="B114" s="63" t="s">
        <v>13</v>
      </c>
      <c r="C114" s="63">
        <v>15</v>
      </c>
      <c r="D114" s="63">
        <v>14</v>
      </c>
      <c r="E114" s="63">
        <v>23</v>
      </c>
      <c r="F114" s="63">
        <v>30</v>
      </c>
      <c r="G114" s="63">
        <v>41</v>
      </c>
      <c r="H114" s="63">
        <v>40</v>
      </c>
      <c r="I114" s="63">
        <v>31</v>
      </c>
      <c r="J114" s="63">
        <v>42</v>
      </c>
      <c r="K114" s="194" t="s">
        <v>8</v>
      </c>
      <c r="L114" s="63" t="s">
        <v>13</v>
      </c>
      <c r="M114" s="63">
        <v>30</v>
      </c>
      <c r="N114" s="63">
        <v>39</v>
      </c>
      <c r="O114" s="63">
        <v>42</v>
      </c>
      <c r="P114" s="63">
        <v>33</v>
      </c>
      <c r="Q114" s="63">
        <v>19</v>
      </c>
      <c r="R114" s="63">
        <v>11</v>
      </c>
      <c r="S114" s="63">
        <v>13</v>
      </c>
      <c r="T114" s="68"/>
      <c r="U114" s="59">
        <f>SUM(M114:T114,C114:J114)</f>
        <v>423</v>
      </c>
    </row>
    <row r="115" spans="1:21" ht="15.75" customHeight="1">
      <c r="A115" s="230"/>
      <c r="B115" s="6" t="s">
        <v>14</v>
      </c>
      <c r="C115" s="6">
        <v>6</v>
      </c>
      <c r="D115" s="6">
        <v>5</v>
      </c>
      <c r="E115" s="6">
        <v>8</v>
      </c>
      <c r="F115" s="6">
        <v>9</v>
      </c>
      <c r="G115" s="6">
        <v>13</v>
      </c>
      <c r="H115" s="6">
        <v>10</v>
      </c>
      <c r="I115" s="6">
        <v>6</v>
      </c>
      <c r="J115" s="6">
        <v>11</v>
      </c>
      <c r="K115" s="227"/>
      <c r="L115" s="6" t="s">
        <v>14</v>
      </c>
      <c r="M115" s="6">
        <v>11</v>
      </c>
      <c r="N115" s="6">
        <v>5</v>
      </c>
      <c r="O115" s="6">
        <v>11</v>
      </c>
      <c r="P115" s="6">
        <v>6</v>
      </c>
      <c r="Q115" s="6">
        <v>2</v>
      </c>
      <c r="R115" s="6">
        <v>4</v>
      </c>
      <c r="S115" s="6">
        <v>2</v>
      </c>
      <c r="T115" s="51"/>
      <c r="U115" s="59">
        <f>SUM(M115:T115,C115:J115)</f>
        <v>109</v>
      </c>
    </row>
    <row r="116" spans="1:21" ht="15.75" customHeight="1">
      <c r="A116" s="230"/>
      <c r="B116" s="6" t="s">
        <v>15</v>
      </c>
      <c r="C116" s="6">
        <v>14</v>
      </c>
      <c r="D116" s="6">
        <v>15</v>
      </c>
      <c r="E116" s="6">
        <v>17</v>
      </c>
      <c r="F116" s="6">
        <v>20</v>
      </c>
      <c r="G116" s="6">
        <v>22</v>
      </c>
      <c r="H116" s="6">
        <v>25</v>
      </c>
      <c r="I116" s="6">
        <v>26</v>
      </c>
      <c r="J116" s="6">
        <v>22</v>
      </c>
      <c r="K116" s="227"/>
      <c r="L116" s="6" t="s">
        <v>15</v>
      </c>
      <c r="M116" s="6">
        <v>23</v>
      </c>
      <c r="N116" s="6">
        <v>24</v>
      </c>
      <c r="O116" s="6">
        <v>22</v>
      </c>
      <c r="P116" s="6">
        <v>29</v>
      </c>
      <c r="Q116" s="6">
        <v>21</v>
      </c>
      <c r="R116" s="6">
        <v>23</v>
      </c>
      <c r="S116" s="6">
        <v>20</v>
      </c>
      <c r="T116" s="51"/>
      <c r="U116" s="59">
        <f>SUM(M116:T116,C116:J116)</f>
        <v>323</v>
      </c>
    </row>
    <row r="117" spans="1:21" ht="15.75" customHeight="1">
      <c r="A117" s="230"/>
      <c r="B117" s="6" t="s">
        <v>16</v>
      </c>
      <c r="C117" s="6">
        <v>6</v>
      </c>
      <c r="D117" s="6">
        <v>4</v>
      </c>
      <c r="E117" s="6">
        <v>3</v>
      </c>
      <c r="F117" s="6">
        <v>8</v>
      </c>
      <c r="G117" s="6">
        <v>12</v>
      </c>
      <c r="H117" s="6">
        <v>12</v>
      </c>
      <c r="I117" s="6">
        <v>7</v>
      </c>
      <c r="J117" s="6">
        <v>5</v>
      </c>
      <c r="K117" s="227"/>
      <c r="L117" s="6" t="s">
        <v>16</v>
      </c>
      <c r="M117" s="6">
        <v>6</v>
      </c>
      <c r="N117" s="6">
        <v>3</v>
      </c>
      <c r="O117" s="6">
        <v>5</v>
      </c>
      <c r="P117" s="6">
        <v>9</v>
      </c>
      <c r="Q117" s="6">
        <v>6</v>
      </c>
      <c r="R117" s="6">
        <v>4</v>
      </c>
      <c r="S117" s="6">
        <v>4</v>
      </c>
      <c r="T117" s="51"/>
      <c r="U117" s="59">
        <f>SUM(M117:T117,C117:J117)</f>
        <v>94</v>
      </c>
    </row>
    <row r="118" spans="1:21" ht="15.75" customHeight="1">
      <c r="A118" s="230"/>
      <c r="B118" s="6" t="s">
        <v>17</v>
      </c>
      <c r="C118" s="6">
        <v>5</v>
      </c>
      <c r="D118" s="6">
        <v>6</v>
      </c>
      <c r="E118" s="6">
        <v>8</v>
      </c>
      <c r="F118" s="6">
        <v>10</v>
      </c>
      <c r="G118" s="6">
        <v>17</v>
      </c>
      <c r="H118" s="6">
        <v>17</v>
      </c>
      <c r="I118" s="6">
        <v>7</v>
      </c>
      <c r="J118" s="6">
        <v>3</v>
      </c>
      <c r="K118" s="227"/>
      <c r="L118" s="6" t="s">
        <v>17</v>
      </c>
      <c r="M118" s="6">
        <v>3</v>
      </c>
      <c r="N118" s="6">
        <v>2</v>
      </c>
      <c r="O118" s="6">
        <v>3</v>
      </c>
      <c r="P118" s="6">
        <v>9</v>
      </c>
      <c r="Q118" s="6">
        <v>6</v>
      </c>
      <c r="R118" s="6">
        <v>4</v>
      </c>
      <c r="S118" s="6">
        <v>3</v>
      </c>
      <c r="T118" s="51"/>
      <c r="U118" s="59">
        <f>SUM(M118:T118,C118:J118)</f>
        <v>103</v>
      </c>
    </row>
    <row r="119" spans="1:21" ht="15.75" customHeight="1">
      <c r="A119" s="230"/>
      <c r="B119" s="47" t="s">
        <v>18</v>
      </c>
      <c r="C119" s="47">
        <v>17</v>
      </c>
      <c r="D119" s="47">
        <v>5</v>
      </c>
      <c r="E119" s="47">
        <v>7</v>
      </c>
      <c r="F119" s="47">
        <v>9</v>
      </c>
      <c r="G119" s="47">
        <v>14</v>
      </c>
      <c r="H119" s="47">
        <v>15</v>
      </c>
      <c r="I119" s="47">
        <v>6</v>
      </c>
      <c r="J119" s="47">
        <v>5</v>
      </c>
      <c r="K119" s="227"/>
      <c r="L119" s="47" t="s">
        <v>18</v>
      </c>
      <c r="M119" s="47">
        <v>4</v>
      </c>
      <c r="N119" s="47">
        <v>3</v>
      </c>
      <c r="O119" s="47">
        <v>5</v>
      </c>
      <c r="P119" s="47">
        <v>4</v>
      </c>
      <c r="Q119" s="47">
        <v>6</v>
      </c>
      <c r="R119" s="47">
        <v>3</v>
      </c>
      <c r="S119" s="47">
        <v>5</v>
      </c>
      <c r="T119" s="70"/>
      <c r="U119" s="59">
        <f>SUM(M119:T119,C119:J119)</f>
        <v>108</v>
      </c>
    </row>
    <row r="120" spans="1:21" ht="15.75" customHeight="1">
      <c r="A120" s="195" t="s">
        <v>9</v>
      </c>
      <c r="B120" s="56" t="s">
        <v>13</v>
      </c>
      <c r="C120" s="56">
        <v>17</v>
      </c>
      <c r="D120" s="56">
        <v>22</v>
      </c>
      <c r="E120" s="56">
        <v>28</v>
      </c>
      <c r="F120" s="56">
        <v>45</v>
      </c>
      <c r="G120" s="56">
        <v>46</v>
      </c>
      <c r="H120" s="56">
        <v>44</v>
      </c>
      <c r="I120" s="56">
        <v>50</v>
      </c>
      <c r="J120" s="56">
        <v>52</v>
      </c>
      <c r="K120" s="196" t="s">
        <v>9</v>
      </c>
      <c r="L120" s="56" t="s">
        <v>13</v>
      </c>
      <c r="M120" s="56">
        <v>25</v>
      </c>
      <c r="N120" s="5"/>
      <c r="O120" s="5"/>
      <c r="P120" s="5"/>
      <c r="Q120" s="5"/>
      <c r="R120" s="5"/>
      <c r="S120" s="5"/>
      <c r="T120" s="5"/>
      <c r="U120" s="59">
        <f>SUM(M120:T120,C120:J120)</f>
        <v>329</v>
      </c>
    </row>
    <row r="121" spans="1:21" ht="15.75" customHeight="1">
      <c r="A121" s="230"/>
      <c r="B121" s="4" t="s">
        <v>14</v>
      </c>
      <c r="C121" s="4">
        <v>6</v>
      </c>
      <c r="D121" s="4">
        <v>6</v>
      </c>
      <c r="E121" s="4">
        <v>6</v>
      </c>
      <c r="F121" s="4">
        <v>8</v>
      </c>
      <c r="G121" s="4">
        <v>11</v>
      </c>
      <c r="H121" s="4">
        <v>16</v>
      </c>
      <c r="I121" s="4">
        <v>10</v>
      </c>
      <c r="J121" s="4">
        <v>7</v>
      </c>
      <c r="K121" s="227"/>
      <c r="L121" s="4" t="s">
        <v>14</v>
      </c>
      <c r="M121" s="4">
        <v>2</v>
      </c>
      <c r="N121" s="5"/>
      <c r="O121" s="5"/>
      <c r="P121" s="5"/>
      <c r="Q121" s="5"/>
      <c r="R121" s="5"/>
      <c r="S121" s="5"/>
      <c r="T121" s="5"/>
      <c r="U121" s="59">
        <f>SUM(M121:T121,C121:J121)</f>
        <v>72</v>
      </c>
    </row>
    <row r="122" spans="1:21" ht="15.75" customHeight="1">
      <c r="A122" s="230"/>
      <c r="B122" s="4" t="s">
        <v>15</v>
      </c>
      <c r="C122" s="4">
        <v>12</v>
      </c>
      <c r="D122" s="4">
        <v>18</v>
      </c>
      <c r="E122" s="4">
        <v>34</v>
      </c>
      <c r="F122" s="4">
        <v>16</v>
      </c>
      <c r="G122" s="4">
        <v>20</v>
      </c>
      <c r="H122" s="4">
        <v>40</v>
      </c>
      <c r="I122" s="4">
        <v>48</v>
      </c>
      <c r="J122" s="4">
        <v>54</v>
      </c>
      <c r="K122" s="227"/>
      <c r="L122" s="4" t="s">
        <v>15</v>
      </c>
      <c r="M122" s="4">
        <v>41</v>
      </c>
      <c r="N122" s="5"/>
      <c r="O122" s="5"/>
      <c r="P122" s="5"/>
      <c r="Q122" s="5"/>
      <c r="R122" s="5"/>
      <c r="S122" s="5"/>
      <c r="T122" s="5"/>
      <c r="U122" s="59">
        <f>SUM(M122:T122,C122:J122)</f>
        <v>283</v>
      </c>
    </row>
    <row r="123" spans="1:21" ht="15.75" customHeight="1">
      <c r="A123" s="230"/>
      <c r="B123" s="4" t="s">
        <v>16</v>
      </c>
      <c r="C123" s="4">
        <v>6</v>
      </c>
      <c r="D123" s="4">
        <v>2</v>
      </c>
      <c r="E123" s="4">
        <v>4</v>
      </c>
      <c r="F123" s="4">
        <v>10</v>
      </c>
      <c r="G123" s="4">
        <v>5</v>
      </c>
      <c r="H123" s="4">
        <v>16</v>
      </c>
      <c r="I123" s="4">
        <v>23</v>
      </c>
      <c r="J123" s="4">
        <v>15</v>
      </c>
      <c r="K123" s="227"/>
      <c r="L123" s="4" t="s">
        <v>16</v>
      </c>
      <c r="M123" s="4">
        <v>7</v>
      </c>
      <c r="N123" s="5"/>
      <c r="O123" s="5"/>
      <c r="P123" s="5"/>
      <c r="Q123" s="5"/>
      <c r="R123" s="5"/>
      <c r="S123" s="5"/>
      <c r="T123" s="5"/>
      <c r="U123" s="59">
        <f>SUM(M123:T123,C123:J123)</f>
        <v>88</v>
      </c>
    </row>
    <row r="124" spans="1:21" ht="15.75" customHeight="1">
      <c r="A124" s="230"/>
      <c r="B124" s="4" t="s">
        <v>17</v>
      </c>
      <c r="C124" s="4">
        <v>4</v>
      </c>
      <c r="D124" s="4">
        <v>7</v>
      </c>
      <c r="E124" s="4">
        <v>11</v>
      </c>
      <c r="F124" s="4">
        <v>8</v>
      </c>
      <c r="G124" s="4">
        <v>23</v>
      </c>
      <c r="H124" s="4">
        <v>17</v>
      </c>
      <c r="I124" s="4">
        <v>20</v>
      </c>
      <c r="J124" s="4">
        <v>24</v>
      </c>
      <c r="K124" s="227"/>
      <c r="L124" s="4" t="s">
        <v>17</v>
      </c>
      <c r="M124" s="4">
        <v>8</v>
      </c>
      <c r="N124" s="5"/>
      <c r="O124" s="5"/>
      <c r="P124" s="5"/>
      <c r="Q124" s="5"/>
      <c r="R124" s="5"/>
      <c r="S124" s="5"/>
      <c r="T124" s="5"/>
      <c r="U124" s="59">
        <f>SUM(M124:T124,C124:J124)</f>
        <v>122</v>
      </c>
    </row>
    <row r="125" spans="1:21" ht="15.75" customHeight="1">
      <c r="A125" s="230"/>
      <c r="B125" s="46" t="s">
        <v>18</v>
      </c>
      <c r="C125" s="46">
        <v>18</v>
      </c>
      <c r="D125" s="46">
        <v>8</v>
      </c>
      <c r="E125" s="46">
        <v>4</v>
      </c>
      <c r="F125" s="46">
        <v>14</v>
      </c>
      <c r="G125" s="46">
        <v>17</v>
      </c>
      <c r="H125" s="46">
        <v>23</v>
      </c>
      <c r="I125" s="46">
        <v>17</v>
      </c>
      <c r="J125" s="46">
        <v>12</v>
      </c>
      <c r="K125" s="227"/>
      <c r="L125" s="46" t="s">
        <v>18</v>
      </c>
      <c r="M125" s="46">
        <v>14</v>
      </c>
      <c r="N125" s="5"/>
      <c r="O125" s="5"/>
      <c r="P125" s="5"/>
      <c r="Q125" s="5"/>
      <c r="R125" s="5"/>
      <c r="S125" s="5"/>
      <c r="T125" s="5"/>
      <c r="U125" s="59">
        <f>SUM(M125:T125,C125:J125)</f>
        <v>127</v>
      </c>
    </row>
    <row r="126" spans="1:21" ht="15.75" customHeight="1">
      <c r="A126" s="193" t="s">
        <v>10</v>
      </c>
      <c r="B126" s="63" t="s">
        <v>13</v>
      </c>
      <c r="C126" s="5"/>
      <c r="D126" s="5"/>
      <c r="E126" s="5"/>
      <c r="F126" s="5"/>
      <c r="G126" s="5"/>
      <c r="H126" s="5"/>
      <c r="I126" s="5"/>
      <c r="J126" s="5"/>
      <c r="K126" s="194" t="s">
        <v>10</v>
      </c>
      <c r="L126" s="63" t="s">
        <v>13</v>
      </c>
      <c r="M126" s="5"/>
      <c r="N126" s="5"/>
      <c r="O126" s="5"/>
      <c r="P126" s="5"/>
      <c r="Q126" s="5"/>
      <c r="R126" s="5"/>
      <c r="S126" s="5"/>
      <c r="T126" s="5"/>
      <c r="U126" s="59">
        <f>SUM(M126:T126,C126:J126)</f>
        <v>0</v>
      </c>
    </row>
    <row r="127" spans="1:21" ht="15.75" customHeight="1">
      <c r="A127" s="230"/>
      <c r="B127" s="6" t="s">
        <v>14</v>
      </c>
      <c r="C127" s="5"/>
      <c r="D127" s="5"/>
      <c r="E127" s="5"/>
      <c r="F127" s="5"/>
      <c r="G127" s="5"/>
      <c r="H127" s="5"/>
      <c r="I127" s="5"/>
      <c r="J127" s="5"/>
      <c r="K127" s="227"/>
      <c r="L127" s="6" t="s">
        <v>14</v>
      </c>
      <c r="M127" s="5"/>
      <c r="N127" s="5"/>
      <c r="O127" s="5"/>
      <c r="P127" s="5"/>
      <c r="Q127" s="5"/>
      <c r="R127" s="5"/>
      <c r="S127" s="5"/>
      <c r="T127" s="5"/>
      <c r="U127" s="59">
        <f>SUM(M127:T127,C127:J127)</f>
        <v>0</v>
      </c>
    </row>
    <row r="128" spans="1:21" ht="15.75" customHeight="1">
      <c r="A128" s="230"/>
      <c r="B128" s="6" t="s">
        <v>15</v>
      </c>
      <c r="C128" s="5"/>
      <c r="D128" s="5"/>
      <c r="E128" s="5"/>
      <c r="F128" s="5"/>
      <c r="G128" s="5"/>
      <c r="H128" s="5"/>
      <c r="I128" s="5"/>
      <c r="J128" s="5"/>
      <c r="K128" s="227"/>
      <c r="L128" s="6" t="s">
        <v>15</v>
      </c>
      <c r="M128" s="5"/>
      <c r="N128" s="5"/>
      <c r="O128" s="5"/>
      <c r="P128" s="5"/>
      <c r="Q128" s="5"/>
      <c r="R128" s="5"/>
      <c r="S128" s="5"/>
      <c r="T128" s="5"/>
      <c r="U128" s="59">
        <f>SUM(M128:T128,C128:J128)</f>
        <v>0</v>
      </c>
    </row>
    <row r="129" spans="1:40" ht="15.75" customHeight="1">
      <c r="A129" s="230"/>
      <c r="B129" s="6" t="s">
        <v>16</v>
      </c>
      <c r="C129" s="5"/>
      <c r="D129" s="5"/>
      <c r="E129" s="5"/>
      <c r="F129" s="5"/>
      <c r="G129" s="5"/>
      <c r="H129" s="5"/>
      <c r="I129" s="5"/>
      <c r="J129" s="5"/>
      <c r="K129" s="227"/>
      <c r="L129" s="6" t="s">
        <v>16</v>
      </c>
      <c r="M129" s="5"/>
      <c r="N129" s="5"/>
      <c r="O129" s="5"/>
      <c r="P129" s="5"/>
      <c r="Q129" s="5"/>
      <c r="R129" s="5"/>
      <c r="S129" s="5"/>
      <c r="T129" s="5"/>
      <c r="U129" s="59">
        <f>SUM(M129:T129,C129:J129)</f>
        <v>0</v>
      </c>
    </row>
    <row r="130" spans="1:40" ht="15.75" customHeight="1">
      <c r="A130" s="230"/>
      <c r="B130" s="6" t="s">
        <v>17</v>
      </c>
      <c r="C130" s="5"/>
      <c r="D130" s="5"/>
      <c r="E130" s="5"/>
      <c r="F130" s="5"/>
      <c r="G130" s="5"/>
      <c r="H130" s="5"/>
      <c r="I130" s="5"/>
      <c r="J130" s="5"/>
      <c r="K130" s="227"/>
      <c r="L130" s="6" t="s">
        <v>17</v>
      </c>
      <c r="M130" s="5"/>
      <c r="N130" s="5"/>
      <c r="O130" s="5"/>
      <c r="P130" s="5"/>
      <c r="Q130" s="5"/>
      <c r="R130" s="5"/>
      <c r="S130" s="5"/>
      <c r="T130" s="5"/>
      <c r="U130" s="59">
        <f>SUM(M130:T130,C130:J130)</f>
        <v>0</v>
      </c>
    </row>
    <row r="131" spans="1:40" ht="15.75" customHeight="1">
      <c r="A131" s="230"/>
      <c r="B131" s="47" t="s">
        <v>18</v>
      </c>
      <c r="C131" s="5"/>
      <c r="D131" s="5"/>
      <c r="E131" s="5"/>
      <c r="F131" s="5"/>
      <c r="G131" s="5"/>
      <c r="H131" s="5"/>
      <c r="I131" s="5"/>
      <c r="J131" s="5"/>
      <c r="K131" s="227"/>
      <c r="L131" s="47" t="s">
        <v>18</v>
      </c>
      <c r="M131" s="5"/>
      <c r="N131" s="5"/>
      <c r="O131" s="5"/>
      <c r="P131" s="5"/>
      <c r="Q131" s="5"/>
      <c r="R131" s="5"/>
      <c r="S131" s="5"/>
      <c r="T131" s="5"/>
      <c r="U131" s="59">
        <f>SUM(M131:T131,C131:J131)</f>
        <v>0</v>
      </c>
    </row>
    <row r="132" spans="1:40" ht="15.75" customHeight="1">
      <c r="A132" s="195" t="s">
        <v>11</v>
      </c>
      <c r="B132" s="56" t="s">
        <v>13</v>
      </c>
      <c r="C132" s="5">
        <v>7</v>
      </c>
      <c r="D132" s="5">
        <v>16</v>
      </c>
      <c r="E132" s="5">
        <v>14</v>
      </c>
      <c r="F132" s="5">
        <v>27</v>
      </c>
      <c r="G132" s="73"/>
      <c r="H132" s="73"/>
      <c r="I132" s="73"/>
      <c r="J132" s="73"/>
      <c r="K132" s="196" t="s">
        <v>11</v>
      </c>
      <c r="L132" s="56" t="s">
        <v>13</v>
      </c>
      <c r="M132" s="73">
        <v>45</v>
      </c>
      <c r="N132" s="73">
        <v>32</v>
      </c>
      <c r="O132" s="73">
        <v>21</v>
      </c>
      <c r="P132" s="73">
        <v>11</v>
      </c>
      <c r="Q132" s="73">
        <v>10</v>
      </c>
      <c r="R132" s="73"/>
      <c r="S132" s="73"/>
      <c r="T132" s="74"/>
      <c r="U132" s="59">
        <f>SUM(M132:T132,C132:J132)</f>
        <v>183</v>
      </c>
    </row>
    <row r="133" spans="1:40" ht="15.75" customHeight="1">
      <c r="A133" s="230"/>
      <c r="B133" s="4" t="s">
        <v>14</v>
      </c>
      <c r="C133" s="5">
        <v>5</v>
      </c>
      <c r="D133" s="5">
        <v>4</v>
      </c>
      <c r="E133" s="5">
        <v>3</v>
      </c>
      <c r="F133" s="5">
        <v>9</v>
      </c>
      <c r="G133" s="9"/>
      <c r="H133" s="9"/>
      <c r="I133" s="9"/>
      <c r="J133" s="9"/>
      <c r="K133" s="227"/>
      <c r="L133" s="4" t="s">
        <v>14</v>
      </c>
      <c r="M133" s="9">
        <v>10</v>
      </c>
      <c r="N133" s="9">
        <v>6</v>
      </c>
      <c r="O133" s="9">
        <v>3</v>
      </c>
      <c r="P133" s="9">
        <v>4</v>
      </c>
      <c r="Q133" s="9">
        <v>3</v>
      </c>
      <c r="R133" s="9"/>
      <c r="S133" s="9"/>
      <c r="T133" s="53"/>
      <c r="U133" s="59">
        <f>SUM(M133:T133,C133:J133)</f>
        <v>47</v>
      </c>
    </row>
    <row r="134" spans="1:40" ht="15.75" customHeight="1">
      <c r="A134" s="230"/>
      <c r="B134" s="4" t="s">
        <v>15</v>
      </c>
      <c r="C134" s="5">
        <v>8</v>
      </c>
      <c r="D134" s="5">
        <v>7</v>
      </c>
      <c r="E134" s="5">
        <v>12</v>
      </c>
      <c r="F134" s="5">
        <v>15</v>
      </c>
      <c r="G134" s="9"/>
      <c r="H134" s="9"/>
      <c r="I134" s="9"/>
      <c r="J134" s="9"/>
      <c r="K134" s="227"/>
      <c r="L134" s="4" t="s">
        <v>15</v>
      </c>
      <c r="M134" s="9">
        <v>30</v>
      </c>
      <c r="N134" s="9">
        <v>27</v>
      </c>
      <c r="O134" s="9">
        <v>11</v>
      </c>
      <c r="P134" s="9">
        <v>19</v>
      </c>
      <c r="Q134" s="9">
        <v>22</v>
      </c>
      <c r="R134" s="9"/>
      <c r="S134" s="9"/>
      <c r="T134" s="53"/>
      <c r="U134" s="59">
        <f>SUM(M134:T134,C134:J134)</f>
        <v>151</v>
      </c>
    </row>
    <row r="135" spans="1:40" ht="15.75" customHeight="1">
      <c r="A135" s="230"/>
      <c r="B135" s="4" t="s">
        <v>16</v>
      </c>
      <c r="C135" s="5">
        <v>0</v>
      </c>
      <c r="D135" s="5">
        <v>2</v>
      </c>
      <c r="E135" s="5">
        <v>6</v>
      </c>
      <c r="F135" s="5">
        <v>8</v>
      </c>
      <c r="G135" s="9"/>
      <c r="H135" s="9"/>
      <c r="I135" s="9"/>
      <c r="J135" s="9"/>
      <c r="K135" s="227"/>
      <c r="L135" s="4" t="s">
        <v>16</v>
      </c>
      <c r="M135" s="9">
        <v>5</v>
      </c>
      <c r="N135" s="9">
        <v>4</v>
      </c>
      <c r="O135" s="9">
        <v>2</v>
      </c>
      <c r="P135" s="9">
        <v>2</v>
      </c>
      <c r="Q135" s="9">
        <v>1</v>
      </c>
      <c r="R135" s="9"/>
      <c r="S135" s="9"/>
      <c r="T135" s="53"/>
      <c r="U135" s="59">
        <f>SUM(M135:T135,C135:J135)</f>
        <v>30</v>
      </c>
    </row>
    <row r="136" spans="1:40" ht="15.75" customHeight="1">
      <c r="A136" s="230"/>
      <c r="B136" s="4" t="s">
        <v>17</v>
      </c>
      <c r="C136" s="5">
        <v>1</v>
      </c>
      <c r="D136" s="5">
        <v>4</v>
      </c>
      <c r="E136" s="5">
        <v>5</v>
      </c>
      <c r="F136" s="5">
        <v>5</v>
      </c>
      <c r="G136" s="9"/>
      <c r="H136" s="9"/>
      <c r="I136" s="9"/>
      <c r="J136" s="9"/>
      <c r="K136" s="227"/>
      <c r="L136" s="4" t="s">
        <v>17</v>
      </c>
      <c r="M136" s="9">
        <v>10</v>
      </c>
      <c r="N136" s="9">
        <v>7</v>
      </c>
      <c r="O136" s="9">
        <v>5</v>
      </c>
      <c r="P136" s="9">
        <v>5</v>
      </c>
      <c r="Q136" s="9">
        <v>5</v>
      </c>
      <c r="R136" s="9"/>
      <c r="S136" s="9"/>
      <c r="T136" s="53"/>
      <c r="U136" s="59">
        <f>SUM(M136:T136,C136:J136)</f>
        <v>47</v>
      </c>
    </row>
    <row r="137" spans="1:40" ht="15.75" customHeight="1">
      <c r="A137" s="231"/>
      <c r="B137" s="61" t="s">
        <v>18</v>
      </c>
      <c r="C137" s="5">
        <v>2</v>
      </c>
      <c r="D137" s="5">
        <v>4</v>
      </c>
      <c r="E137" s="5">
        <v>7</v>
      </c>
      <c r="F137" s="5">
        <v>4</v>
      </c>
      <c r="G137" s="75"/>
      <c r="H137" s="75"/>
      <c r="I137" s="75"/>
      <c r="J137" s="75"/>
      <c r="K137" s="232"/>
      <c r="L137" s="61" t="s">
        <v>18</v>
      </c>
      <c r="M137" s="75">
        <v>12</v>
      </c>
      <c r="N137" s="75">
        <v>9</v>
      </c>
      <c r="O137" s="75">
        <v>7</v>
      </c>
      <c r="P137" s="75">
        <v>7</v>
      </c>
      <c r="Q137" s="75">
        <v>2</v>
      </c>
      <c r="R137" s="75"/>
      <c r="S137" s="75"/>
      <c r="T137" s="76"/>
      <c r="U137" s="59">
        <f>SUM(M137:T137,C137:J137)</f>
        <v>54</v>
      </c>
    </row>
    <row r="139" spans="1:40" ht="15.75" customHeight="1">
      <c r="A139" s="1"/>
      <c r="B139" s="1"/>
      <c r="C139" s="183" t="s">
        <v>0</v>
      </c>
      <c r="D139" s="225"/>
      <c r="E139" s="225"/>
      <c r="F139" s="225"/>
      <c r="G139" s="226"/>
      <c r="H139" s="2"/>
      <c r="I139" s="1"/>
    </row>
    <row r="140" spans="1:40" ht="15.75" customHeight="1">
      <c r="A140" s="1"/>
      <c r="B140" s="183" t="s">
        <v>1</v>
      </c>
      <c r="C140" s="225"/>
      <c r="D140" s="226"/>
      <c r="E140" s="1"/>
      <c r="F140" s="184" t="s">
        <v>134</v>
      </c>
      <c r="G140" s="225"/>
      <c r="H140" s="226"/>
      <c r="I140" s="1"/>
      <c r="K140" s="1"/>
      <c r="L140" s="183" t="s">
        <v>26</v>
      </c>
      <c r="M140" s="225"/>
      <c r="N140" s="226"/>
      <c r="O140" s="1"/>
      <c r="P140" s="184" t="s">
        <v>134</v>
      </c>
      <c r="Q140" s="225"/>
      <c r="R140" s="226"/>
      <c r="S140" s="1"/>
    </row>
    <row r="141" spans="1:40" ht="15.75" customHeight="1">
      <c r="A141" s="54" t="s">
        <v>35</v>
      </c>
      <c r="B141" s="54" t="s">
        <v>4</v>
      </c>
      <c r="C141" s="54" t="s">
        <v>12</v>
      </c>
      <c r="D141" s="54" t="s">
        <v>19</v>
      </c>
      <c r="E141" s="54" t="s">
        <v>20</v>
      </c>
      <c r="F141" s="54" t="s">
        <v>21</v>
      </c>
      <c r="G141" s="54" t="s">
        <v>22</v>
      </c>
      <c r="H141" s="54" t="s">
        <v>23</v>
      </c>
      <c r="I141" s="54" t="s">
        <v>24</v>
      </c>
      <c r="J141" s="54" t="s">
        <v>25</v>
      </c>
      <c r="K141" s="54" t="s">
        <v>35</v>
      </c>
      <c r="L141" s="54" t="s">
        <v>4</v>
      </c>
      <c r="M141" s="54" t="s">
        <v>27</v>
      </c>
      <c r="N141" s="54" t="s">
        <v>28</v>
      </c>
      <c r="O141" s="54" t="s">
        <v>29</v>
      </c>
      <c r="P141" s="54" t="s">
        <v>30</v>
      </c>
      <c r="Q141" s="54" t="s">
        <v>31</v>
      </c>
      <c r="R141" s="54" t="s">
        <v>32</v>
      </c>
      <c r="S141" s="54" t="s">
        <v>33</v>
      </c>
      <c r="T141" s="54" t="s">
        <v>34</v>
      </c>
      <c r="U141" s="54" t="s">
        <v>55</v>
      </c>
    </row>
    <row r="142" spans="1:40" ht="15.75" customHeight="1">
      <c r="A142" s="195" t="s">
        <v>5</v>
      </c>
      <c r="B142" s="56" t="s">
        <v>13</v>
      </c>
      <c r="C142" s="57"/>
      <c r="D142" s="57"/>
      <c r="E142" s="56">
        <v>5</v>
      </c>
      <c r="F142" s="56">
        <v>15</v>
      </c>
      <c r="G142" s="56">
        <v>26</v>
      </c>
      <c r="H142" s="56">
        <v>37</v>
      </c>
      <c r="I142" s="56">
        <v>35</v>
      </c>
      <c r="J142" s="56">
        <v>24</v>
      </c>
      <c r="K142" s="196" t="s">
        <v>5</v>
      </c>
      <c r="L142" s="56" t="s">
        <v>13</v>
      </c>
      <c r="M142" s="56">
        <v>36</v>
      </c>
      <c r="N142" s="56">
        <v>29</v>
      </c>
      <c r="O142" s="56">
        <v>23</v>
      </c>
      <c r="P142" s="56">
        <v>28</v>
      </c>
      <c r="Q142" s="56">
        <v>23</v>
      </c>
      <c r="R142" s="57"/>
      <c r="S142" s="57"/>
      <c r="T142" s="58"/>
      <c r="U142" s="59">
        <f>SUM(M142:T142,C142:J142)</f>
        <v>281</v>
      </c>
      <c r="W142" s="197" t="s">
        <v>2</v>
      </c>
      <c r="X142" s="198"/>
      <c r="AG142" s="190" t="s">
        <v>58</v>
      </c>
      <c r="AH142" s="191"/>
      <c r="AI142" s="191"/>
      <c r="AJ142" s="191"/>
      <c r="AK142" s="191"/>
      <c r="AL142" s="191"/>
      <c r="AM142" s="191"/>
      <c r="AN142" s="192"/>
    </row>
    <row r="143" spans="1:40" ht="15.75" customHeight="1">
      <c r="A143" s="230"/>
      <c r="B143" s="4" t="s">
        <v>14</v>
      </c>
      <c r="C143" s="5"/>
      <c r="D143" s="5"/>
      <c r="E143" s="4">
        <v>2</v>
      </c>
      <c r="F143" s="4">
        <v>3</v>
      </c>
      <c r="G143" s="4">
        <v>5</v>
      </c>
      <c r="H143" s="4">
        <v>7</v>
      </c>
      <c r="I143" s="4">
        <v>18</v>
      </c>
      <c r="J143" s="4">
        <v>17</v>
      </c>
      <c r="K143" s="227"/>
      <c r="L143" s="4" t="s">
        <v>14</v>
      </c>
      <c r="M143" s="4">
        <v>3</v>
      </c>
      <c r="N143" s="4">
        <v>3</v>
      </c>
      <c r="O143" s="4">
        <v>7</v>
      </c>
      <c r="P143" s="4">
        <v>6</v>
      </c>
      <c r="Q143" s="4">
        <v>3</v>
      </c>
      <c r="R143" s="5"/>
      <c r="S143" s="5"/>
      <c r="T143" s="49"/>
      <c r="U143" s="59">
        <f>SUM(M143:T143,C143:J143)</f>
        <v>74</v>
      </c>
      <c r="W143" s="55" t="s">
        <v>5</v>
      </c>
      <c r="X143" s="48">
        <f>SUM(U142:U147)</f>
        <v>874</v>
      </c>
      <c r="AG143" s="98" t="s">
        <v>4</v>
      </c>
      <c r="AH143" s="98" t="s">
        <v>5</v>
      </c>
      <c r="AI143" s="98" t="s">
        <v>6</v>
      </c>
      <c r="AJ143" s="98" t="s">
        <v>7</v>
      </c>
      <c r="AK143" s="98" t="s">
        <v>8</v>
      </c>
      <c r="AL143" s="98" t="s">
        <v>9</v>
      </c>
      <c r="AM143" s="98" t="s">
        <v>10</v>
      </c>
      <c r="AN143" s="98" t="s">
        <v>11</v>
      </c>
    </row>
    <row r="144" spans="1:40" ht="15.75" customHeight="1">
      <c r="A144" s="230"/>
      <c r="B144" s="4" t="s">
        <v>15</v>
      </c>
      <c r="C144" s="5"/>
      <c r="D144" s="5"/>
      <c r="E144" s="4">
        <v>2</v>
      </c>
      <c r="F144" s="4">
        <v>6</v>
      </c>
      <c r="G144" s="4">
        <v>12</v>
      </c>
      <c r="H144" s="4">
        <v>20</v>
      </c>
      <c r="I144" s="4">
        <v>36</v>
      </c>
      <c r="J144" s="4">
        <v>41</v>
      </c>
      <c r="K144" s="227"/>
      <c r="L144" s="4" t="s">
        <v>15</v>
      </c>
      <c r="M144" s="4">
        <v>56</v>
      </c>
      <c r="N144" s="4">
        <v>23</v>
      </c>
      <c r="O144" s="4">
        <v>22</v>
      </c>
      <c r="P144" s="4">
        <v>34</v>
      </c>
      <c r="Q144" s="4">
        <v>12</v>
      </c>
      <c r="R144" s="5"/>
      <c r="S144" s="5"/>
      <c r="T144" s="49"/>
      <c r="U144" s="59">
        <f>SUM(M144:T144,C144:J144)</f>
        <v>264</v>
      </c>
      <c r="W144" s="55" t="s">
        <v>6</v>
      </c>
      <c r="X144" s="48">
        <f>SUM(U148:U153)</f>
        <v>834</v>
      </c>
      <c r="AG144" s="79" t="s">
        <v>13</v>
      </c>
      <c r="AH144" s="79">
        <f t="shared" ref="AH144:AH149" si="23">U142</f>
        <v>281</v>
      </c>
      <c r="AI144" s="79">
        <f t="shared" ref="AI144:AI149" si="24">U148</f>
        <v>333</v>
      </c>
      <c r="AJ144" s="79">
        <f t="shared" ref="AJ144:AJ149" si="25">U154</f>
        <v>378</v>
      </c>
      <c r="AK144" s="79">
        <f t="shared" ref="AK144:AK149" si="26">U160</f>
        <v>196</v>
      </c>
      <c r="AL144" s="79">
        <f t="shared" ref="AL144:AL149" si="27">U166</f>
        <v>251</v>
      </c>
      <c r="AM144" s="79">
        <f t="shared" ref="AM144:AM149" si="28">U172</f>
        <v>0</v>
      </c>
      <c r="AN144" s="79">
        <f t="shared" ref="AN144:AN149" si="29">U178</f>
        <v>130</v>
      </c>
    </row>
    <row r="145" spans="1:40" ht="15.75" customHeight="1">
      <c r="A145" s="230"/>
      <c r="B145" s="4" t="s">
        <v>16</v>
      </c>
      <c r="C145" s="5"/>
      <c r="D145" s="5"/>
      <c r="E145" s="4">
        <v>1</v>
      </c>
      <c r="F145" s="4">
        <v>3</v>
      </c>
      <c r="G145" s="4">
        <v>3</v>
      </c>
      <c r="H145" s="4">
        <v>8</v>
      </c>
      <c r="I145" s="4">
        <v>9</v>
      </c>
      <c r="J145" s="4">
        <v>8</v>
      </c>
      <c r="K145" s="227"/>
      <c r="L145" s="4" t="s">
        <v>16</v>
      </c>
      <c r="M145" s="4">
        <v>15</v>
      </c>
      <c r="N145" s="4">
        <v>11</v>
      </c>
      <c r="O145" s="4">
        <v>11</v>
      </c>
      <c r="P145" s="4">
        <v>12</v>
      </c>
      <c r="Q145" s="4">
        <v>7</v>
      </c>
      <c r="R145" s="5"/>
      <c r="S145" s="5"/>
      <c r="T145" s="49"/>
      <c r="U145" s="59">
        <f>SUM(M145:T145,C145:J145)</f>
        <v>88</v>
      </c>
      <c r="W145" s="55" t="s">
        <v>7</v>
      </c>
      <c r="X145" s="48">
        <f>SUM(U154:U159)</f>
        <v>1289</v>
      </c>
      <c r="AG145" s="97" t="s">
        <v>14</v>
      </c>
      <c r="AH145" s="97">
        <f t="shared" si="23"/>
        <v>74</v>
      </c>
      <c r="AI145" s="97">
        <f t="shared" si="24"/>
        <v>73</v>
      </c>
      <c r="AJ145" s="97">
        <f t="shared" si="25"/>
        <v>143</v>
      </c>
      <c r="AK145" s="97">
        <f t="shared" si="26"/>
        <v>61</v>
      </c>
      <c r="AL145" s="97">
        <f t="shared" si="27"/>
        <v>67</v>
      </c>
      <c r="AM145" s="97">
        <f t="shared" si="28"/>
        <v>0</v>
      </c>
      <c r="AN145" s="97">
        <f t="shared" si="29"/>
        <v>34</v>
      </c>
    </row>
    <row r="146" spans="1:40" ht="15.75" customHeight="1">
      <c r="A146" s="230"/>
      <c r="B146" s="4" t="s">
        <v>17</v>
      </c>
      <c r="C146" s="5"/>
      <c r="D146" s="5"/>
      <c r="E146" s="4">
        <v>2</v>
      </c>
      <c r="F146" s="4">
        <v>2</v>
      </c>
      <c r="G146" s="4">
        <v>2</v>
      </c>
      <c r="H146" s="4">
        <v>4</v>
      </c>
      <c r="I146" s="4">
        <v>11</v>
      </c>
      <c r="J146" s="4">
        <v>4</v>
      </c>
      <c r="K146" s="227"/>
      <c r="L146" s="4" t="s">
        <v>17</v>
      </c>
      <c r="M146" s="4">
        <v>17</v>
      </c>
      <c r="N146" s="4">
        <v>13</v>
      </c>
      <c r="O146" s="4">
        <v>9</v>
      </c>
      <c r="P146" s="4">
        <v>6</v>
      </c>
      <c r="Q146" s="4">
        <v>7</v>
      </c>
      <c r="R146" s="5"/>
      <c r="S146" s="5"/>
      <c r="T146" s="49"/>
      <c r="U146" s="59">
        <f>SUM(M146:T146,C146:J146)</f>
        <v>77</v>
      </c>
      <c r="W146" s="55" t="s">
        <v>61</v>
      </c>
      <c r="X146" s="48">
        <f>SUM(U160:U165)</f>
        <v>685</v>
      </c>
      <c r="AG146" s="79" t="s">
        <v>15</v>
      </c>
      <c r="AH146" s="79">
        <f t="shared" si="23"/>
        <v>264</v>
      </c>
      <c r="AI146" s="79">
        <f t="shared" si="24"/>
        <v>179</v>
      </c>
      <c r="AJ146" s="79">
        <f t="shared" si="25"/>
        <v>380</v>
      </c>
      <c r="AK146" s="79">
        <f t="shared" si="26"/>
        <v>193</v>
      </c>
      <c r="AL146" s="79">
        <f t="shared" si="27"/>
        <v>207</v>
      </c>
      <c r="AM146" s="79">
        <f t="shared" si="28"/>
        <v>0</v>
      </c>
      <c r="AN146" s="79">
        <f t="shared" si="29"/>
        <v>105</v>
      </c>
    </row>
    <row r="147" spans="1:40" ht="15.75" customHeight="1">
      <c r="A147" s="230"/>
      <c r="B147" s="46" t="s">
        <v>18</v>
      </c>
      <c r="C147" s="64"/>
      <c r="D147" s="64"/>
      <c r="E147" s="46">
        <v>2</v>
      </c>
      <c r="F147" s="46">
        <v>4</v>
      </c>
      <c r="G147" s="46">
        <v>7</v>
      </c>
      <c r="H147" s="46">
        <v>10</v>
      </c>
      <c r="I147" s="46">
        <v>16</v>
      </c>
      <c r="J147" s="46">
        <v>11</v>
      </c>
      <c r="K147" s="227"/>
      <c r="L147" s="46" t="s">
        <v>18</v>
      </c>
      <c r="M147" s="46">
        <v>11</v>
      </c>
      <c r="N147" s="46">
        <v>10</v>
      </c>
      <c r="O147" s="46">
        <v>10</v>
      </c>
      <c r="P147" s="46">
        <v>4</v>
      </c>
      <c r="Q147" s="46">
        <v>5</v>
      </c>
      <c r="R147" s="64"/>
      <c r="S147" s="64"/>
      <c r="T147" s="65"/>
      <c r="U147" s="59">
        <f>SUM(M147:T147,C147:J147)</f>
        <v>90</v>
      </c>
      <c r="W147" s="55" t="s">
        <v>9</v>
      </c>
      <c r="X147" s="48">
        <f>SUM(U166:U171)</f>
        <v>800</v>
      </c>
      <c r="AG147" s="97" t="s">
        <v>16</v>
      </c>
      <c r="AH147" s="97">
        <f t="shared" si="23"/>
        <v>88</v>
      </c>
      <c r="AI147" s="97">
        <f t="shared" si="24"/>
        <v>114</v>
      </c>
      <c r="AJ147" s="97">
        <f t="shared" si="25"/>
        <v>124</v>
      </c>
      <c r="AK147" s="97">
        <f t="shared" si="26"/>
        <v>58</v>
      </c>
      <c r="AL147" s="97">
        <f t="shared" si="27"/>
        <v>77</v>
      </c>
      <c r="AM147" s="97">
        <f t="shared" si="28"/>
        <v>0</v>
      </c>
      <c r="AN147" s="97">
        <f t="shared" si="29"/>
        <v>29</v>
      </c>
    </row>
    <row r="148" spans="1:40" ht="15.75" customHeight="1">
      <c r="A148" s="193" t="s">
        <v>6</v>
      </c>
      <c r="B148" s="63" t="s">
        <v>13</v>
      </c>
      <c r="C148" s="57"/>
      <c r="D148" s="57"/>
      <c r="E148" s="57"/>
      <c r="F148" s="63">
        <v>27</v>
      </c>
      <c r="G148" s="63">
        <v>41</v>
      </c>
      <c r="H148" s="63">
        <v>47</v>
      </c>
      <c r="I148" s="63">
        <v>55</v>
      </c>
      <c r="J148" s="63">
        <v>45</v>
      </c>
      <c r="K148" s="194" t="s">
        <v>6</v>
      </c>
      <c r="L148" s="63" t="s">
        <v>13</v>
      </c>
      <c r="M148" s="63">
        <v>38</v>
      </c>
      <c r="N148" s="63">
        <v>30</v>
      </c>
      <c r="O148" s="63">
        <v>25</v>
      </c>
      <c r="P148" s="63">
        <v>25</v>
      </c>
      <c r="Q148" s="57"/>
      <c r="R148" s="57"/>
      <c r="S148" s="57"/>
      <c r="T148" s="58"/>
      <c r="U148" s="59">
        <f>SUM(M148:T148,C148:J148)</f>
        <v>333</v>
      </c>
      <c r="W148" s="55" t="s">
        <v>10</v>
      </c>
      <c r="X148" s="48">
        <f>SUM(U172:U177)</f>
        <v>0</v>
      </c>
      <c r="AG148" s="79" t="s">
        <v>17</v>
      </c>
      <c r="AH148" s="79">
        <f t="shared" si="23"/>
        <v>77</v>
      </c>
      <c r="AI148" s="79">
        <f t="shared" si="24"/>
        <v>58</v>
      </c>
      <c r="AJ148" s="79">
        <f t="shared" si="25"/>
        <v>128</v>
      </c>
      <c r="AK148" s="79">
        <f t="shared" si="26"/>
        <v>80</v>
      </c>
      <c r="AL148" s="79">
        <f t="shared" si="27"/>
        <v>92</v>
      </c>
      <c r="AM148" s="79">
        <f t="shared" si="28"/>
        <v>0</v>
      </c>
      <c r="AN148" s="79">
        <f t="shared" si="29"/>
        <v>27</v>
      </c>
    </row>
    <row r="149" spans="1:40" ht="15.75" customHeight="1">
      <c r="A149" s="230"/>
      <c r="B149" s="6" t="s">
        <v>14</v>
      </c>
      <c r="C149" s="5"/>
      <c r="D149" s="5"/>
      <c r="E149" s="5"/>
      <c r="F149" s="6">
        <v>8</v>
      </c>
      <c r="G149" s="6">
        <v>10</v>
      </c>
      <c r="H149" s="6">
        <v>5</v>
      </c>
      <c r="I149" s="6">
        <v>9</v>
      </c>
      <c r="J149" s="6">
        <v>6</v>
      </c>
      <c r="K149" s="227"/>
      <c r="L149" s="6" t="s">
        <v>14</v>
      </c>
      <c r="M149" s="6">
        <v>12</v>
      </c>
      <c r="N149" s="6">
        <v>10</v>
      </c>
      <c r="O149" s="6">
        <v>10</v>
      </c>
      <c r="P149" s="6">
        <v>3</v>
      </c>
      <c r="Q149" s="5"/>
      <c r="R149" s="5"/>
      <c r="S149" s="5"/>
      <c r="T149" s="49"/>
      <c r="U149" s="59">
        <f>SUM(M149:T149,C149:J149)</f>
        <v>73</v>
      </c>
      <c r="W149" s="81" t="s">
        <v>11</v>
      </c>
      <c r="X149" s="80">
        <f>SUM(U178:U183)</f>
        <v>365</v>
      </c>
      <c r="AG149" s="97" t="s">
        <v>18</v>
      </c>
      <c r="AH149" s="97">
        <f t="shared" si="23"/>
        <v>90</v>
      </c>
      <c r="AI149" s="97">
        <f t="shared" si="24"/>
        <v>77</v>
      </c>
      <c r="AJ149" s="97">
        <f t="shared" si="25"/>
        <v>136</v>
      </c>
      <c r="AK149" s="97">
        <f t="shared" si="26"/>
        <v>97</v>
      </c>
      <c r="AL149" s="97">
        <f t="shared" si="27"/>
        <v>106</v>
      </c>
      <c r="AM149" s="97">
        <f t="shared" si="28"/>
        <v>0</v>
      </c>
      <c r="AN149" s="97">
        <f t="shared" si="29"/>
        <v>40</v>
      </c>
    </row>
    <row r="150" spans="1:40" ht="15.75" customHeight="1">
      <c r="A150" s="230"/>
      <c r="B150" s="6" t="s">
        <v>15</v>
      </c>
      <c r="C150" s="5"/>
      <c r="D150" s="5"/>
      <c r="E150" s="5"/>
      <c r="F150" s="6">
        <v>19</v>
      </c>
      <c r="G150" s="6">
        <v>25</v>
      </c>
      <c r="H150" s="6">
        <v>29</v>
      </c>
      <c r="I150" s="6">
        <v>26</v>
      </c>
      <c r="J150" s="6">
        <v>20</v>
      </c>
      <c r="K150" s="227"/>
      <c r="L150" s="6" t="s">
        <v>15</v>
      </c>
      <c r="M150" s="6">
        <v>15</v>
      </c>
      <c r="N150" s="6">
        <v>20</v>
      </c>
      <c r="O150" s="6">
        <v>18</v>
      </c>
      <c r="P150" s="6">
        <v>7</v>
      </c>
      <c r="Q150" s="5"/>
      <c r="R150" s="5"/>
      <c r="S150" s="5"/>
      <c r="T150" s="49"/>
      <c r="U150" s="59">
        <f>SUM(M150:T150,C150:J150)</f>
        <v>179</v>
      </c>
      <c r="W150" s="79" t="s">
        <v>63</v>
      </c>
      <c r="X150" s="82">
        <f>SUM(X143:X149)</f>
        <v>4847</v>
      </c>
    </row>
    <row r="151" spans="1:40" ht="15.75" customHeight="1">
      <c r="A151" s="230"/>
      <c r="B151" s="6" t="s">
        <v>16</v>
      </c>
      <c r="C151" s="5"/>
      <c r="D151" s="5"/>
      <c r="E151" s="5"/>
      <c r="F151" s="6">
        <v>10</v>
      </c>
      <c r="G151" s="6">
        <v>17</v>
      </c>
      <c r="H151" s="6">
        <v>18</v>
      </c>
      <c r="I151" s="6">
        <v>11</v>
      </c>
      <c r="J151" s="6">
        <v>20</v>
      </c>
      <c r="K151" s="227"/>
      <c r="L151" s="6" t="s">
        <v>16</v>
      </c>
      <c r="M151" s="6">
        <v>15</v>
      </c>
      <c r="N151" s="6">
        <v>10</v>
      </c>
      <c r="O151" s="6">
        <v>10</v>
      </c>
      <c r="P151" s="6">
        <v>3</v>
      </c>
      <c r="Q151" s="5"/>
      <c r="R151" s="5"/>
      <c r="S151" s="5"/>
      <c r="T151" s="49"/>
      <c r="U151" s="59">
        <f>SUM(M151:T151,C151:J151)</f>
        <v>114</v>
      </c>
    </row>
    <row r="152" spans="1:40" ht="15.75" customHeight="1">
      <c r="A152" s="230"/>
      <c r="B152" s="6" t="s">
        <v>17</v>
      </c>
      <c r="C152" s="5"/>
      <c r="D152" s="5"/>
      <c r="E152" s="5"/>
      <c r="F152" s="6">
        <v>8</v>
      </c>
      <c r="G152" s="6">
        <v>9</v>
      </c>
      <c r="H152" s="6">
        <v>10</v>
      </c>
      <c r="I152" s="6">
        <v>9</v>
      </c>
      <c r="J152" s="6">
        <v>10</v>
      </c>
      <c r="K152" s="227"/>
      <c r="L152" s="6" t="s">
        <v>17</v>
      </c>
      <c r="M152" s="6">
        <v>4</v>
      </c>
      <c r="N152" s="6">
        <v>4</v>
      </c>
      <c r="O152" s="6">
        <v>2</v>
      </c>
      <c r="P152" s="6">
        <v>2</v>
      </c>
      <c r="Q152" s="5"/>
      <c r="R152" s="5"/>
      <c r="S152" s="5"/>
      <c r="T152" s="49"/>
      <c r="U152" s="59">
        <f>SUM(M152:T152,C152:J152)</f>
        <v>58</v>
      </c>
    </row>
    <row r="153" spans="1:40" ht="15.75" customHeight="1">
      <c r="A153" s="230"/>
      <c r="B153" s="47" t="s">
        <v>18</v>
      </c>
      <c r="C153" s="64"/>
      <c r="D153" s="64"/>
      <c r="E153" s="64"/>
      <c r="F153" s="47">
        <v>9</v>
      </c>
      <c r="G153" s="47">
        <v>14</v>
      </c>
      <c r="H153" s="47">
        <v>9</v>
      </c>
      <c r="I153" s="47">
        <v>6</v>
      </c>
      <c r="J153" s="47">
        <v>15</v>
      </c>
      <c r="K153" s="227"/>
      <c r="L153" s="47" t="s">
        <v>18</v>
      </c>
      <c r="M153" s="47">
        <v>10</v>
      </c>
      <c r="N153" s="47">
        <v>6</v>
      </c>
      <c r="O153" s="47">
        <v>4</v>
      </c>
      <c r="P153" s="47">
        <v>4</v>
      </c>
      <c r="Q153" s="64"/>
      <c r="R153" s="64"/>
      <c r="S153" s="64"/>
      <c r="T153" s="65"/>
      <c r="U153" s="59">
        <f>SUM(M153:T153,C153:J153)</f>
        <v>77</v>
      </c>
    </row>
    <row r="154" spans="1:40" ht="15.75" customHeight="1">
      <c r="A154" s="195" t="s">
        <v>7</v>
      </c>
      <c r="B154" s="56" t="s">
        <v>13</v>
      </c>
      <c r="C154" s="56">
        <v>15</v>
      </c>
      <c r="D154" s="56">
        <v>15</v>
      </c>
      <c r="E154" s="56">
        <v>26</v>
      </c>
      <c r="F154" s="56">
        <v>25</v>
      </c>
      <c r="G154" s="56">
        <v>31</v>
      </c>
      <c r="H154" s="56">
        <v>55</v>
      </c>
      <c r="I154" s="56">
        <v>49</v>
      </c>
      <c r="J154" s="56">
        <v>35</v>
      </c>
      <c r="K154" s="196" t="s">
        <v>7</v>
      </c>
      <c r="L154" s="56" t="s">
        <v>13</v>
      </c>
      <c r="M154" s="56"/>
      <c r="N154" s="56">
        <v>18</v>
      </c>
      <c r="O154" s="56"/>
      <c r="P154" s="56">
        <v>28</v>
      </c>
      <c r="Q154" s="56">
        <v>26</v>
      </c>
      <c r="R154" s="56">
        <v>19</v>
      </c>
      <c r="S154" s="56">
        <v>23</v>
      </c>
      <c r="T154" s="67">
        <v>13</v>
      </c>
      <c r="U154" s="59">
        <f>SUM(M154:T154,C154:J154)</f>
        <v>378</v>
      </c>
    </row>
    <row r="155" spans="1:40" ht="15.75" customHeight="1">
      <c r="A155" s="230"/>
      <c r="B155" s="4" t="s">
        <v>14</v>
      </c>
      <c r="C155" s="4">
        <v>9</v>
      </c>
      <c r="D155" s="4">
        <v>7</v>
      </c>
      <c r="E155" s="4">
        <v>9</v>
      </c>
      <c r="F155" s="4">
        <v>13</v>
      </c>
      <c r="G155" s="4">
        <v>6</v>
      </c>
      <c r="H155" s="4">
        <v>15</v>
      </c>
      <c r="I155" s="4">
        <v>15</v>
      </c>
      <c r="J155" s="4">
        <v>10</v>
      </c>
      <c r="K155" s="227"/>
      <c r="L155" s="4" t="s">
        <v>14</v>
      </c>
      <c r="M155" s="4"/>
      <c r="N155" s="4">
        <v>21</v>
      </c>
      <c r="O155" s="4"/>
      <c r="P155" s="4">
        <v>10</v>
      </c>
      <c r="Q155" s="4">
        <v>7</v>
      </c>
      <c r="R155" s="4">
        <v>7</v>
      </c>
      <c r="S155" s="4">
        <v>7</v>
      </c>
      <c r="T155" s="50">
        <v>7</v>
      </c>
      <c r="U155" s="59">
        <f>SUM(M155:T155,C155:J155)</f>
        <v>143</v>
      </c>
    </row>
    <row r="156" spans="1:40" ht="15.75" customHeight="1">
      <c r="A156" s="230"/>
      <c r="B156" s="4" t="s">
        <v>15</v>
      </c>
      <c r="C156" s="4">
        <v>21</v>
      </c>
      <c r="D156" s="4">
        <v>19</v>
      </c>
      <c r="E156" s="4">
        <v>26</v>
      </c>
      <c r="F156" s="4">
        <v>26</v>
      </c>
      <c r="G156" s="4">
        <v>35</v>
      </c>
      <c r="H156" s="4">
        <v>44</v>
      </c>
      <c r="I156" s="4">
        <v>51</v>
      </c>
      <c r="J156" s="4">
        <v>41</v>
      </c>
      <c r="K156" s="227"/>
      <c r="L156" s="4" t="s">
        <v>15</v>
      </c>
      <c r="M156" s="4"/>
      <c r="N156" s="4">
        <v>2</v>
      </c>
      <c r="O156" s="4"/>
      <c r="P156" s="4">
        <v>28</v>
      </c>
      <c r="Q156" s="4">
        <v>23</v>
      </c>
      <c r="R156" s="4">
        <v>24</v>
      </c>
      <c r="S156" s="4">
        <v>18</v>
      </c>
      <c r="T156" s="50">
        <v>22</v>
      </c>
      <c r="U156" s="59">
        <f>SUM(M156:T156,C156:J156)</f>
        <v>380</v>
      </c>
    </row>
    <row r="157" spans="1:40" ht="15.75" customHeight="1">
      <c r="A157" s="230"/>
      <c r="B157" s="4" t="s">
        <v>16</v>
      </c>
      <c r="C157" s="4">
        <v>2</v>
      </c>
      <c r="D157" s="4">
        <v>3</v>
      </c>
      <c r="E157" s="4">
        <v>6</v>
      </c>
      <c r="F157" s="4">
        <v>7</v>
      </c>
      <c r="G157" s="4">
        <v>15</v>
      </c>
      <c r="H157" s="4">
        <v>26</v>
      </c>
      <c r="I157" s="4">
        <v>22</v>
      </c>
      <c r="J157" s="4">
        <v>12</v>
      </c>
      <c r="K157" s="227"/>
      <c r="L157" s="4" t="s">
        <v>16</v>
      </c>
      <c r="M157" s="4"/>
      <c r="N157" s="4">
        <v>5</v>
      </c>
      <c r="O157" s="4"/>
      <c r="P157" s="4">
        <v>10</v>
      </c>
      <c r="Q157" s="4">
        <v>5</v>
      </c>
      <c r="R157" s="4">
        <v>3</v>
      </c>
      <c r="S157" s="4">
        <v>4</v>
      </c>
      <c r="T157" s="50">
        <v>4</v>
      </c>
      <c r="U157" s="59">
        <f>SUM(M157:T157,C157:J157)</f>
        <v>124</v>
      </c>
    </row>
    <row r="158" spans="1:40" ht="15.75" customHeight="1">
      <c r="A158" s="230"/>
      <c r="B158" s="4" t="s">
        <v>17</v>
      </c>
      <c r="C158" s="4">
        <v>3</v>
      </c>
      <c r="D158" s="4">
        <v>7</v>
      </c>
      <c r="E158" s="4">
        <v>8</v>
      </c>
      <c r="F158" s="4">
        <v>8</v>
      </c>
      <c r="G158" s="4">
        <v>16</v>
      </c>
      <c r="H158" s="4">
        <v>17</v>
      </c>
      <c r="I158" s="4">
        <v>19</v>
      </c>
      <c r="J158" s="4">
        <v>16</v>
      </c>
      <c r="K158" s="227"/>
      <c r="L158" s="4" t="s">
        <v>17</v>
      </c>
      <c r="M158" s="4"/>
      <c r="N158" s="4">
        <v>8</v>
      </c>
      <c r="O158" s="4"/>
      <c r="P158" s="4">
        <v>7</v>
      </c>
      <c r="Q158" s="4">
        <v>5</v>
      </c>
      <c r="R158" s="4">
        <v>8</v>
      </c>
      <c r="S158" s="4">
        <v>3</v>
      </c>
      <c r="T158" s="50">
        <v>3</v>
      </c>
      <c r="U158" s="59">
        <f>SUM(M158:T158,C158:J158)</f>
        <v>128</v>
      </c>
    </row>
    <row r="159" spans="1:40" ht="15.75" customHeight="1">
      <c r="A159" s="230"/>
      <c r="B159" s="46" t="s">
        <v>18</v>
      </c>
      <c r="C159" s="46">
        <v>13</v>
      </c>
      <c r="D159" s="46">
        <v>4</v>
      </c>
      <c r="E159" s="46">
        <v>14</v>
      </c>
      <c r="F159" s="46">
        <v>6</v>
      </c>
      <c r="G159" s="46">
        <v>14</v>
      </c>
      <c r="H159" s="46">
        <v>21</v>
      </c>
      <c r="I159" s="46">
        <v>14</v>
      </c>
      <c r="J159" s="46">
        <v>7</v>
      </c>
      <c r="K159" s="227"/>
      <c r="L159" s="46" t="s">
        <v>18</v>
      </c>
      <c r="M159" s="46"/>
      <c r="N159" s="46">
        <v>8</v>
      </c>
      <c r="O159" s="46"/>
      <c r="P159" s="46">
        <v>10</v>
      </c>
      <c r="Q159" s="46">
        <v>6</v>
      </c>
      <c r="R159" s="46">
        <v>5</v>
      </c>
      <c r="S159" s="46">
        <v>9</v>
      </c>
      <c r="T159" s="69">
        <v>5</v>
      </c>
      <c r="U159" s="59">
        <f>SUM(M159:T159,C159:J159)</f>
        <v>136</v>
      </c>
    </row>
    <row r="160" spans="1:40" ht="15.75" customHeight="1">
      <c r="A160" s="193" t="s">
        <v>8</v>
      </c>
      <c r="B160" s="63" t="s">
        <v>13</v>
      </c>
      <c r="C160" s="63">
        <v>14</v>
      </c>
      <c r="D160" s="63">
        <v>18</v>
      </c>
      <c r="E160" s="63">
        <v>13</v>
      </c>
      <c r="F160" s="63">
        <v>27</v>
      </c>
      <c r="G160" s="63"/>
      <c r="H160" s="63">
        <v>42</v>
      </c>
      <c r="I160" s="63"/>
      <c r="J160" s="63"/>
      <c r="K160" s="194" t="s">
        <v>8</v>
      </c>
      <c r="L160" s="63" t="s">
        <v>13</v>
      </c>
      <c r="M160" s="63">
        <v>12</v>
      </c>
      <c r="N160" s="63">
        <v>17</v>
      </c>
      <c r="O160" s="63">
        <v>21</v>
      </c>
      <c r="P160" s="63">
        <v>10</v>
      </c>
      <c r="Q160" s="63">
        <v>22</v>
      </c>
      <c r="R160" s="63"/>
      <c r="S160" s="63"/>
      <c r="T160" s="68"/>
      <c r="U160" s="59">
        <f>SUM(M160:T160,C160:J160)</f>
        <v>196</v>
      </c>
    </row>
    <row r="161" spans="1:21" ht="15.75" customHeight="1">
      <c r="A161" s="230"/>
      <c r="B161" s="6" t="s">
        <v>14</v>
      </c>
      <c r="C161" s="6">
        <v>1</v>
      </c>
      <c r="D161" s="6">
        <v>2</v>
      </c>
      <c r="E161" s="6">
        <v>4</v>
      </c>
      <c r="F161" s="6">
        <v>9</v>
      </c>
      <c r="G161" s="6"/>
      <c r="H161" s="6">
        <v>10</v>
      </c>
      <c r="I161" s="6"/>
      <c r="J161" s="6"/>
      <c r="K161" s="227"/>
      <c r="L161" s="6" t="s">
        <v>14</v>
      </c>
      <c r="M161" s="6">
        <v>5</v>
      </c>
      <c r="N161" s="6">
        <v>6</v>
      </c>
      <c r="O161" s="6">
        <v>4</v>
      </c>
      <c r="P161" s="6">
        <v>8</v>
      </c>
      <c r="Q161" s="6">
        <v>12</v>
      </c>
      <c r="R161" s="6"/>
      <c r="S161" s="6"/>
      <c r="T161" s="51"/>
      <c r="U161" s="59">
        <f>SUM(M161:T161,C161:J161)</f>
        <v>61</v>
      </c>
    </row>
    <row r="162" spans="1:21" ht="15.75" customHeight="1">
      <c r="A162" s="230"/>
      <c r="B162" s="6" t="s">
        <v>15</v>
      </c>
      <c r="C162" s="6">
        <v>9</v>
      </c>
      <c r="D162" s="6">
        <v>13</v>
      </c>
      <c r="E162" s="6">
        <v>16</v>
      </c>
      <c r="F162" s="6">
        <v>23</v>
      </c>
      <c r="G162" s="6"/>
      <c r="H162" s="6">
        <v>24</v>
      </c>
      <c r="I162" s="6"/>
      <c r="J162" s="6"/>
      <c r="K162" s="227"/>
      <c r="L162" s="6" t="s">
        <v>15</v>
      </c>
      <c r="M162" s="6">
        <v>25</v>
      </c>
      <c r="N162" s="6">
        <v>21</v>
      </c>
      <c r="O162" s="6">
        <v>17</v>
      </c>
      <c r="P162" s="6">
        <v>19</v>
      </c>
      <c r="Q162" s="6">
        <v>26</v>
      </c>
      <c r="R162" s="6"/>
      <c r="S162" s="6"/>
      <c r="T162" s="51"/>
      <c r="U162" s="59">
        <f>SUM(M162:T162,C162:J162)</f>
        <v>193</v>
      </c>
    </row>
    <row r="163" spans="1:21" ht="15.75" customHeight="1">
      <c r="A163" s="230"/>
      <c r="B163" s="6" t="s">
        <v>16</v>
      </c>
      <c r="C163" s="6">
        <v>2</v>
      </c>
      <c r="D163" s="6">
        <v>3</v>
      </c>
      <c r="E163" s="6">
        <v>4</v>
      </c>
      <c r="F163" s="6">
        <v>7</v>
      </c>
      <c r="G163" s="6"/>
      <c r="H163" s="6">
        <v>18</v>
      </c>
      <c r="I163" s="6"/>
      <c r="J163" s="6"/>
      <c r="K163" s="227"/>
      <c r="L163" s="6" t="s">
        <v>16</v>
      </c>
      <c r="M163" s="6">
        <v>2</v>
      </c>
      <c r="N163" s="6">
        <v>4</v>
      </c>
      <c r="O163" s="6">
        <v>2</v>
      </c>
      <c r="P163" s="6">
        <v>6</v>
      </c>
      <c r="Q163" s="6">
        <v>10</v>
      </c>
      <c r="R163" s="6"/>
      <c r="S163" s="6"/>
      <c r="T163" s="51"/>
      <c r="U163" s="59">
        <f>SUM(M163:T163,C163:J163)</f>
        <v>58</v>
      </c>
    </row>
    <row r="164" spans="1:21" ht="15.75" customHeight="1">
      <c r="A164" s="230"/>
      <c r="B164" s="6" t="s">
        <v>17</v>
      </c>
      <c r="C164" s="6">
        <v>3</v>
      </c>
      <c r="D164" s="6">
        <v>10</v>
      </c>
      <c r="E164" s="6">
        <v>4</v>
      </c>
      <c r="F164" s="6">
        <v>9</v>
      </c>
      <c r="G164" s="6"/>
      <c r="H164" s="6">
        <v>26</v>
      </c>
      <c r="I164" s="6"/>
      <c r="J164" s="6"/>
      <c r="K164" s="227"/>
      <c r="L164" s="6" t="s">
        <v>17</v>
      </c>
      <c r="M164" s="6">
        <v>4</v>
      </c>
      <c r="N164" s="6">
        <v>5</v>
      </c>
      <c r="O164" s="6">
        <v>6</v>
      </c>
      <c r="P164" s="6">
        <v>7</v>
      </c>
      <c r="Q164" s="6">
        <v>6</v>
      </c>
      <c r="R164" s="6"/>
      <c r="S164" s="6"/>
      <c r="T164" s="51"/>
      <c r="U164" s="59">
        <f>SUM(M164:T164,C164:J164)</f>
        <v>80</v>
      </c>
    </row>
    <row r="165" spans="1:21" ht="15.75" customHeight="1">
      <c r="A165" s="230"/>
      <c r="B165" s="47" t="s">
        <v>18</v>
      </c>
      <c r="C165" s="47">
        <v>11</v>
      </c>
      <c r="D165" s="47">
        <v>3</v>
      </c>
      <c r="E165" s="47">
        <v>10</v>
      </c>
      <c r="F165" s="47">
        <v>14</v>
      </c>
      <c r="G165" s="47"/>
      <c r="H165" s="47">
        <v>13</v>
      </c>
      <c r="I165" s="47"/>
      <c r="J165" s="47"/>
      <c r="K165" s="227"/>
      <c r="L165" s="47" t="s">
        <v>18</v>
      </c>
      <c r="M165" s="47">
        <v>9</v>
      </c>
      <c r="N165" s="47">
        <v>8</v>
      </c>
      <c r="O165" s="47">
        <v>10</v>
      </c>
      <c r="P165" s="47">
        <v>9</v>
      </c>
      <c r="Q165" s="47">
        <v>10</v>
      </c>
      <c r="R165" s="47"/>
      <c r="S165" s="47"/>
      <c r="T165" s="70"/>
      <c r="U165" s="59">
        <f>SUM(M165:T165,C165:J165)</f>
        <v>97</v>
      </c>
    </row>
    <row r="166" spans="1:21" ht="15.75" customHeight="1">
      <c r="A166" s="195" t="s">
        <v>9</v>
      </c>
      <c r="B166" s="56" t="s">
        <v>13</v>
      </c>
      <c r="C166" s="56">
        <v>23</v>
      </c>
      <c r="D166" s="56">
        <v>18</v>
      </c>
      <c r="E166" s="56">
        <v>24</v>
      </c>
      <c r="F166" s="56">
        <v>22</v>
      </c>
      <c r="G166" s="56">
        <v>50</v>
      </c>
      <c r="H166" s="56">
        <v>61</v>
      </c>
      <c r="I166" s="56">
        <v>53</v>
      </c>
      <c r="J166" s="56"/>
      <c r="K166" s="196" t="s">
        <v>9</v>
      </c>
      <c r="L166" s="56" t="s">
        <v>13</v>
      </c>
      <c r="M166" s="56"/>
      <c r="N166" s="56"/>
      <c r="O166" s="56"/>
      <c r="P166" s="56"/>
      <c r="Q166" s="56"/>
      <c r="R166" s="56"/>
      <c r="S166" s="56"/>
      <c r="T166" s="67"/>
      <c r="U166" s="59">
        <f>SUM(M166:T166,C166:J166)</f>
        <v>251</v>
      </c>
    </row>
    <row r="167" spans="1:21" ht="15.75" customHeight="1">
      <c r="A167" s="230"/>
      <c r="B167" s="4" t="s">
        <v>14</v>
      </c>
      <c r="C167" s="4">
        <v>5</v>
      </c>
      <c r="D167" s="4">
        <v>4</v>
      </c>
      <c r="E167" s="4">
        <v>5</v>
      </c>
      <c r="F167" s="4">
        <v>12</v>
      </c>
      <c r="G167" s="4">
        <v>15</v>
      </c>
      <c r="H167" s="4">
        <v>15</v>
      </c>
      <c r="I167" s="4">
        <v>11</v>
      </c>
      <c r="J167" s="4"/>
      <c r="K167" s="227"/>
      <c r="L167" s="4" t="s">
        <v>14</v>
      </c>
      <c r="M167" s="4"/>
      <c r="N167" s="4"/>
      <c r="O167" s="4"/>
      <c r="P167" s="4"/>
      <c r="Q167" s="4"/>
      <c r="R167" s="4"/>
      <c r="S167" s="4"/>
      <c r="T167" s="50"/>
      <c r="U167" s="59">
        <f>SUM(M167:T167,C167:J167)</f>
        <v>67</v>
      </c>
    </row>
    <row r="168" spans="1:21" ht="15.75" customHeight="1">
      <c r="A168" s="230"/>
      <c r="B168" s="4" t="s">
        <v>15</v>
      </c>
      <c r="C168" s="4">
        <v>18</v>
      </c>
      <c r="D168" s="4">
        <v>15</v>
      </c>
      <c r="E168" s="4">
        <v>22</v>
      </c>
      <c r="F168" s="4">
        <v>26</v>
      </c>
      <c r="G168" s="4">
        <v>27</v>
      </c>
      <c r="H168" s="4">
        <v>45</v>
      </c>
      <c r="I168" s="4">
        <v>54</v>
      </c>
      <c r="J168" s="4"/>
      <c r="K168" s="227"/>
      <c r="L168" s="4" t="s">
        <v>15</v>
      </c>
      <c r="M168" s="4"/>
      <c r="N168" s="4"/>
      <c r="O168" s="4"/>
      <c r="P168" s="4"/>
      <c r="Q168" s="4"/>
      <c r="R168" s="4"/>
      <c r="S168" s="4"/>
      <c r="T168" s="50"/>
      <c r="U168" s="59">
        <f>SUM(M168:T168,C168:J168)</f>
        <v>207</v>
      </c>
    </row>
    <row r="169" spans="1:21" ht="15.75" customHeight="1">
      <c r="A169" s="230"/>
      <c r="B169" s="4" t="s">
        <v>16</v>
      </c>
      <c r="C169" s="4">
        <v>7</v>
      </c>
      <c r="D169" s="4">
        <v>6</v>
      </c>
      <c r="E169" s="4">
        <v>3</v>
      </c>
      <c r="F169" s="4">
        <v>10</v>
      </c>
      <c r="G169" s="4">
        <v>10</v>
      </c>
      <c r="H169" s="4">
        <v>16</v>
      </c>
      <c r="I169" s="4">
        <v>25</v>
      </c>
      <c r="J169" s="4"/>
      <c r="K169" s="227"/>
      <c r="L169" s="4" t="s">
        <v>16</v>
      </c>
      <c r="M169" s="4"/>
      <c r="N169" s="4"/>
      <c r="O169" s="4"/>
      <c r="P169" s="4"/>
      <c r="Q169" s="4"/>
      <c r="R169" s="4"/>
      <c r="S169" s="4"/>
      <c r="T169" s="50"/>
      <c r="U169" s="59">
        <f>SUM(M169:T169,C169:J169)</f>
        <v>77</v>
      </c>
    </row>
    <row r="170" spans="1:21" ht="15.75" customHeight="1">
      <c r="A170" s="230"/>
      <c r="B170" s="4" t="s">
        <v>17</v>
      </c>
      <c r="C170" s="4">
        <v>8</v>
      </c>
      <c r="D170" s="4">
        <v>10</v>
      </c>
      <c r="E170" s="4">
        <v>6</v>
      </c>
      <c r="F170" s="4">
        <v>6</v>
      </c>
      <c r="G170" s="4">
        <v>21</v>
      </c>
      <c r="H170" s="4">
        <v>26</v>
      </c>
      <c r="I170" s="4">
        <v>15</v>
      </c>
      <c r="J170" s="4"/>
      <c r="K170" s="227"/>
      <c r="L170" s="4" t="s">
        <v>17</v>
      </c>
      <c r="M170" s="4"/>
      <c r="N170" s="4"/>
      <c r="O170" s="4"/>
      <c r="P170" s="4"/>
      <c r="Q170" s="4"/>
      <c r="R170" s="4"/>
      <c r="S170" s="4"/>
      <c r="T170" s="50"/>
      <c r="U170" s="59">
        <f>SUM(M170:T170,C170:J170)</f>
        <v>92</v>
      </c>
    </row>
    <row r="171" spans="1:21" ht="15.75" customHeight="1">
      <c r="A171" s="230"/>
      <c r="B171" s="46" t="s">
        <v>18</v>
      </c>
      <c r="C171" s="46">
        <v>18</v>
      </c>
      <c r="D171" s="46">
        <v>2</v>
      </c>
      <c r="E171" s="46">
        <v>10</v>
      </c>
      <c r="F171" s="46">
        <v>10</v>
      </c>
      <c r="G171" s="46">
        <v>22</v>
      </c>
      <c r="H171" s="46">
        <v>19</v>
      </c>
      <c r="I171" s="46">
        <v>25</v>
      </c>
      <c r="J171" s="46"/>
      <c r="K171" s="227"/>
      <c r="L171" s="46" t="s">
        <v>18</v>
      </c>
      <c r="M171" s="46"/>
      <c r="N171" s="46"/>
      <c r="O171" s="46"/>
      <c r="P171" s="46"/>
      <c r="Q171" s="46"/>
      <c r="R171" s="46"/>
      <c r="S171" s="46"/>
      <c r="T171" s="69"/>
      <c r="U171" s="59">
        <f>SUM(M171:T171,C171:J171)</f>
        <v>106</v>
      </c>
    </row>
    <row r="172" spans="1:21" ht="15.75" customHeight="1">
      <c r="A172" s="193" t="s">
        <v>10</v>
      </c>
      <c r="B172" s="63" t="s">
        <v>13</v>
      </c>
      <c r="C172" s="71"/>
      <c r="D172" s="71"/>
      <c r="E172" s="71"/>
      <c r="F172" s="71"/>
      <c r="G172" s="71"/>
      <c r="H172" s="71"/>
      <c r="I172" s="71"/>
      <c r="J172" s="71"/>
      <c r="K172" s="194" t="s">
        <v>10</v>
      </c>
      <c r="L172" s="63" t="s">
        <v>13</v>
      </c>
      <c r="M172" s="71"/>
      <c r="N172" s="71"/>
      <c r="O172" s="71"/>
      <c r="P172" s="71"/>
      <c r="Q172" s="71"/>
      <c r="R172" s="71"/>
      <c r="S172" s="71"/>
      <c r="T172" s="72"/>
      <c r="U172" s="59">
        <f>SUM(M172:T172,C172:J172)</f>
        <v>0</v>
      </c>
    </row>
    <row r="173" spans="1:21" ht="15.75" customHeight="1">
      <c r="A173" s="230"/>
      <c r="B173" s="6" t="s">
        <v>14</v>
      </c>
      <c r="C173" s="8"/>
      <c r="D173" s="8"/>
      <c r="E173" s="8"/>
      <c r="F173" s="8"/>
      <c r="G173" s="8"/>
      <c r="H173" s="8"/>
      <c r="I173" s="8"/>
      <c r="J173" s="8"/>
      <c r="K173" s="227"/>
      <c r="L173" s="6" t="s">
        <v>14</v>
      </c>
      <c r="M173" s="8"/>
      <c r="N173" s="8"/>
      <c r="O173" s="8"/>
      <c r="P173" s="8"/>
      <c r="Q173" s="8"/>
      <c r="R173" s="8"/>
      <c r="S173" s="8"/>
      <c r="T173" s="52"/>
      <c r="U173" s="59">
        <f>SUM(M173:T173,C173:J173)</f>
        <v>0</v>
      </c>
    </row>
    <row r="174" spans="1:21" ht="15.75" customHeight="1">
      <c r="A174" s="230"/>
      <c r="B174" s="6" t="s">
        <v>15</v>
      </c>
      <c r="C174" s="8"/>
      <c r="D174" s="8"/>
      <c r="E174" s="8"/>
      <c r="F174" s="8"/>
      <c r="G174" s="8"/>
      <c r="H174" s="8"/>
      <c r="I174" s="8"/>
      <c r="J174" s="8"/>
      <c r="K174" s="227"/>
      <c r="L174" s="6" t="s">
        <v>15</v>
      </c>
      <c r="M174" s="8"/>
      <c r="N174" s="8"/>
      <c r="O174" s="8"/>
      <c r="P174" s="8"/>
      <c r="Q174" s="8"/>
      <c r="R174" s="8"/>
      <c r="S174" s="8"/>
      <c r="T174" s="52"/>
      <c r="U174" s="59">
        <f>SUM(M174:T174,C174:J174)</f>
        <v>0</v>
      </c>
    </row>
    <row r="175" spans="1:21" ht="15.75" customHeight="1">
      <c r="A175" s="230"/>
      <c r="B175" s="6" t="s">
        <v>16</v>
      </c>
      <c r="C175" s="8"/>
      <c r="D175" s="8"/>
      <c r="E175" s="8"/>
      <c r="F175" s="8"/>
      <c r="G175" s="8"/>
      <c r="H175" s="8"/>
      <c r="I175" s="8"/>
      <c r="J175" s="8"/>
      <c r="K175" s="227"/>
      <c r="L175" s="6" t="s">
        <v>16</v>
      </c>
      <c r="M175" s="8"/>
      <c r="N175" s="8"/>
      <c r="O175" s="8"/>
      <c r="P175" s="8"/>
      <c r="Q175" s="8"/>
      <c r="R175" s="8"/>
      <c r="S175" s="8"/>
      <c r="T175" s="52"/>
      <c r="U175" s="59">
        <f>SUM(M175:T175,C175:J175)</f>
        <v>0</v>
      </c>
    </row>
    <row r="176" spans="1:21" ht="15.75" customHeight="1">
      <c r="A176" s="230"/>
      <c r="B176" s="6" t="s">
        <v>17</v>
      </c>
      <c r="C176" s="8"/>
      <c r="D176" s="8"/>
      <c r="E176" s="8"/>
      <c r="F176" s="8"/>
      <c r="G176" s="8"/>
      <c r="H176" s="8"/>
      <c r="I176" s="8"/>
      <c r="J176" s="8"/>
      <c r="K176" s="227"/>
      <c r="L176" s="6" t="s">
        <v>17</v>
      </c>
      <c r="M176" s="8"/>
      <c r="N176" s="8"/>
      <c r="O176" s="8"/>
      <c r="P176" s="8"/>
      <c r="Q176" s="8"/>
      <c r="R176" s="8"/>
      <c r="S176" s="8"/>
      <c r="T176" s="52"/>
      <c r="U176" s="59">
        <f>SUM(M176:T176,C176:J176)</f>
        <v>0</v>
      </c>
    </row>
    <row r="177" spans="1:40" ht="15.75" customHeight="1">
      <c r="A177" s="230"/>
      <c r="B177" s="47" t="s">
        <v>18</v>
      </c>
      <c r="C177" s="77"/>
      <c r="D177" s="77"/>
      <c r="E177" s="77"/>
      <c r="F177" s="77"/>
      <c r="G177" s="77"/>
      <c r="H177" s="77"/>
      <c r="I177" s="77"/>
      <c r="J177" s="77"/>
      <c r="K177" s="227"/>
      <c r="L177" s="47" t="s">
        <v>18</v>
      </c>
      <c r="M177" s="77"/>
      <c r="N177" s="77"/>
      <c r="O177" s="77"/>
      <c r="P177" s="77"/>
      <c r="Q177" s="77"/>
      <c r="R177" s="77"/>
      <c r="S177" s="77"/>
      <c r="T177" s="78"/>
      <c r="U177" s="59">
        <f>SUM(M177:T177,C177:J177)</f>
        <v>0</v>
      </c>
    </row>
    <row r="178" spans="1:40" ht="15.75" customHeight="1">
      <c r="A178" s="195" t="s">
        <v>11</v>
      </c>
      <c r="B178" s="56" t="s">
        <v>13</v>
      </c>
      <c r="C178" s="73"/>
      <c r="D178" s="73"/>
      <c r="E178" s="73"/>
      <c r="F178" s="73"/>
      <c r="G178" s="73"/>
      <c r="H178" s="73"/>
      <c r="I178" s="73"/>
      <c r="J178" s="73"/>
      <c r="K178" s="196" t="s">
        <v>11</v>
      </c>
      <c r="L178" s="56" t="s">
        <v>13</v>
      </c>
      <c r="M178" s="73">
        <v>44</v>
      </c>
      <c r="N178" s="73"/>
      <c r="O178" s="73"/>
      <c r="P178" s="73"/>
      <c r="Q178" s="73">
        <v>36</v>
      </c>
      <c r="R178" s="73">
        <v>28</v>
      </c>
      <c r="S178" s="73">
        <v>8</v>
      </c>
      <c r="T178" s="74">
        <v>14</v>
      </c>
      <c r="U178" s="59">
        <f>SUM(M178:T178,C178:J178)</f>
        <v>130</v>
      </c>
    </row>
    <row r="179" spans="1:40" ht="15.75" customHeight="1">
      <c r="A179" s="230"/>
      <c r="B179" s="4" t="s">
        <v>14</v>
      </c>
      <c r="C179" s="9"/>
      <c r="D179" s="9"/>
      <c r="E179" s="9"/>
      <c r="F179" s="9"/>
      <c r="G179" s="9"/>
      <c r="H179" s="9"/>
      <c r="I179" s="9"/>
      <c r="J179" s="9"/>
      <c r="K179" s="227"/>
      <c r="L179" s="4" t="s">
        <v>14</v>
      </c>
      <c r="M179" s="9">
        <v>10</v>
      </c>
      <c r="N179" s="9"/>
      <c r="O179" s="9"/>
      <c r="P179" s="9"/>
      <c r="Q179" s="9">
        <v>13</v>
      </c>
      <c r="R179" s="9">
        <v>4</v>
      </c>
      <c r="S179" s="9">
        <v>1</v>
      </c>
      <c r="T179" s="53">
        <v>6</v>
      </c>
      <c r="U179" s="59">
        <f>SUM(M179:T179,C179:J179)</f>
        <v>34</v>
      </c>
    </row>
    <row r="180" spans="1:40" ht="15.75" customHeight="1">
      <c r="A180" s="230"/>
      <c r="B180" s="4" t="s">
        <v>15</v>
      </c>
      <c r="C180" s="9"/>
      <c r="D180" s="9"/>
      <c r="E180" s="9"/>
      <c r="F180" s="9"/>
      <c r="G180" s="9"/>
      <c r="H180" s="9"/>
      <c r="I180" s="9"/>
      <c r="J180" s="9"/>
      <c r="K180" s="227"/>
      <c r="L180" s="4" t="s">
        <v>15</v>
      </c>
      <c r="M180" s="9">
        <v>25</v>
      </c>
      <c r="N180" s="9"/>
      <c r="O180" s="9"/>
      <c r="P180" s="9"/>
      <c r="Q180" s="9">
        <v>18</v>
      </c>
      <c r="R180" s="9">
        <v>25</v>
      </c>
      <c r="S180" s="9">
        <v>21</v>
      </c>
      <c r="T180" s="53">
        <v>16</v>
      </c>
      <c r="U180" s="59">
        <f>SUM(M180:T180,C180:J180)</f>
        <v>105</v>
      </c>
    </row>
    <row r="181" spans="1:40" ht="15.75" customHeight="1">
      <c r="A181" s="230"/>
      <c r="B181" s="4" t="s">
        <v>16</v>
      </c>
      <c r="C181" s="9"/>
      <c r="D181" s="9"/>
      <c r="E181" s="9"/>
      <c r="F181" s="9"/>
      <c r="G181" s="9"/>
      <c r="H181" s="9"/>
      <c r="I181" s="9"/>
      <c r="J181" s="9"/>
      <c r="K181" s="227"/>
      <c r="L181" s="4" t="s">
        <v>16</v>
      </c>
      <c r="M181" s="9">
        <v>8</v>
      </c>
      <c r="N181" s="9"/>
      <c r="O181" s="9"/>
      <c r="P181" s="9"/>
      <c r="Q181" s="9">
        <v>10</v>
      </c>
      <c r="R181" s="9">
        <v>7</v>
      </c>
      <c r="S181" s="9">
        <v>0</v>
      </c>
      <c r="T181" s="53">
        <v>4</v>
      </c>
      <c r="U181" s="59">
        <f>SUM(M181:T181,C181:J181)</f>
        <v>29</v>
      </c>
    </row>
    <row r="182" spans="1:40" ht="15.75" customHeight="1">
      <c r="A182" s="230"/>
      <c r="B182" s="4" t="s">
        <v>17</v>
      </c>
      <c r="C182" s="9"/>
      <c r="D182" s="9"/>
      <c r="E182" s="9"/>
      <c r="F182" s="9"/>
      <c r="G182" s="9"/>
      <c r="H182" s="9"/>
      <c r="I182" s="9"/>
      <c r="J182" s="9"/>
      <c r="K182" s="227"/>
      <c r="L182" s="4" t="s">
        <v>17</v>
      </c>
      <c r="M182" s="9">
        <v>12</v>
      </c>
      <c r="N182" s="9"/>
      <c r="O182" s="9"/>
      <c r="P182" s="9"/>
      <c r="Q182" s="9">
        <v>4</v>
      </c>
      <c r="R182" s="9">
        <v>8</v>
      </c>
      <c r="S182" s="9">
        <v>3</v>
      </c>
      <c r="T182" s="53">
        <v>0</v>
      </c>
      <c r="U182" s="59">
        <f>SUM(M182:T182,C182:J182)</f>
        <v>27</v>
      </c>
    </row>
    <row r="183" spans="1:40" ht="15.75" customHeight="1">
      <c r="A183" s="231"/>
      <c r="B183" s="61" t="s">
        <v>18</v>
      </c>
      <c r="C183" s="75"/>
      <c r="D183" s="75"/>
      <c r="E183" s="75"/>
      <c r="F183" s="75"/>
      <c r="G183" s="75"/>
      <c r="H183" s="75"/>
      <c r="I183" s="75"/>
      <c r="J183" s="75"/>
      <c r="K183" s="232"/>
      <c r="L183" s="61" t="s">
        <v>18</v>
      </c>
      <c r="M183" s="75">
        <v>10</v>
      </c>
      <c r="N183" s="75"/>
      <c r="O183" s="75"/>
      <c r="P183" s="75"/>
      <c r="Q183" s="75">
        <v>12</v>
      </c>
      <c r="R183" s="75">
        <v>6</v>
      </c>
      <c r="S183" s="75">
        <v>10</v>
      </c>
      <c r="T183" s="76">
        <v>2</v>
      </c>
      <c r="U183" s="59">
        <f>SUM(M183:T183,C183:J183)</f>
        <v>40</v>
      </c>
    </row>
    <row r="185" spans="1:40" ht="15.75" customHeight="1">
      <c r="A185" s="1"/>
      <c r="B185" s="1"/>
      <c r="C185" s="183" t="s">
        <v>0</v>
      </c>
      <c r="D185" s="225"/>
      <c r="E185" s="225"/>
      <c r="F185" s="225"/>
      <c r="G185" s="226"/>
      <c r="H185" s="2"/>
      <c r="I185" s="1"/>
    </row>
    <row r="186" spans="1:40" ht="15.75" customHeight="1">
      <c r="A186" s="1"/>
      <c r="B186" s="183" t="s">
        <v>1</v>
      </c>
      <c r="C186" s="225"/>
      <c r="D186" s="226"/>
      <c r="E186" s="1"/>
      <c r="F186" s="184" t="s">
        <v>2</v>
      </c>
      <c r="G186" s="225"/>
      <c r="H186" s="226"/>
      <c r="I186" s="1"/>
      <c r="K186" s="1"/>
      <c r="L186" s="183" t="s">
        <v>26</v>
      </c>
      <c r="M186" s="225"/>
      <c r="N186" s="226"/>
      <c r="O186" s="1"/>
      <c r="P186" s="184" t="s">
        <v>2</v>
      </c>
      <c r="Q186" s="225"/>
      <c r="R186" s="226"/>
      <c r="S186" s="1"/>
    </row>
    <row r="187" spans="1:40" ht="15.75" customHeight="1">
      <c r="A187" s="54" t="s">
        <v>35</v>
      </c>
      <c r="B187" s="54" t="s">
        <v>4</v>
      </c>
      <c r="C187" s="54" t="s">
        <v>12</v>
      </c>
      <c r="D187" s="54" t="s">
        <v>19</v>
      </c>
      <c r="E187" s="54" t="s">
        <v>20</v>
      </c>
      <c r="F187" s="54" t="s">
        <v>21</v>
      </c>
      <c r="G187" s="54" t="s">
        <v>22</v>
      </c>
      <c r="H187" s="54" t="s">
        <v>23</v>
      </c>
      <c r="I187" s="54" t="s">
        <v>24</v>
      </c>
      <c r="J187" s="54" t="s">
        <v>25</v>
      </c>
      <c r="K187" s="54" t="s">
        <v>35</v>
      </c>
      <c r="L187" s="54" t="s">
        <v>4</v>
      </c>
      <c r="M187" s="54" t="s">
        <v>27</v>
      </c>
      <c r="N187" s="54" t="s">
        <v>28</v>
      </c>
      <c r="O187" s="54" t="s">
        <v>29</v>
      </c>
      <c r="P187" s="54" t="s">
        <v>30</v>
      </c>
      <c r="Q187" s="54" t="s">
        <v>31</v>
      </c>
      <c r="R187" s="54" t="s">
        <v>32</v>
      </c>
      <c r="S187" s="54" t="s">
        <v>33</v>
      </c>
      <c r="T187" s="54" t="s">
        <v>34</v>
      </c>
      <c r="U187" s="54" t="s">
        <v>55</v>
      </c>
    </row>
    <row r="188" spans="1:40" ht="15.75" customHeight="1">
      <c r="A188" s="195" t="s">
        <v>5</v>
      </c>
      <c r="B188" s="56" t="s">
        <v>13</v>
      </c>
      <c r="C188" s="57"/>
      <c r="D188" s="57"/>
      <c r="K188" s="196" t="s">
        <v>5</v>
      </c>
      <c r="L188" s="56" t="s">
        <v>13</v>
      </c>
      <c r="M188" s="56"/>
      <c r="N188" s="56"/>
      <c r="O188" s="56"/>
      <c r="P188" s="56"/>
      <c r="Q188" s="56"/>
      <c r="R188" s="57"/>
      <c r="S188" s="57"/>
      <c r="T188" s="58"/>
      <c r="U188" s="59">
        <f>SUM(M188:T188,C188:D188)</f>
        <v>0</v>
      </c>
      <c r="W188" s="197" t="s">
        <v>2</v>
      </c>
      <c r="X188" s="198"/>
      <c r="AG188" s="190" t="s">
        <v>58</v>
      </c>
      <c r="AH188" s="191"/>
      <c r="AI188" s="191"/>
      <c r="AJ188" s="191"/>
      <c r="AK188" s="191"/>
      <c r="AL188" s="191"/>
      <c r="AM188" s="191"/>
      <c r="AN188" s="192"/>
    </row>
    <row r="189" spans="1:40" ht="15.75" customHeight="1">
      <c r="A189" s="230"/>
      <c r="B189" s="4" t="s">
        <v>14</v>
      </c>
      <c r="C189" s="5"/>
      <c r="D189" s="5"/>
      <c r="K189" s="227"/>
      <c r="L189" s="4" t="s">
        <v>14</v>
      </c>
      <c r="M189" s="4"/>
      <c r="N189" s="4"/>
      <c r="O189" s="4"/>
      <c r="P189" s="4"/>
      <c r="Q189" s="4"/>
      <c r="R189" s="5"/>
      <c r="S189" s="5"/>
      <c r="T189" s="49"/>
      <c r="U189" s="59">
        <f>SUM(M189:T189,C189:D189)</f>
        <v>0</v>
      </c>
      <c r="W189" s="55" t="s">
        <v>5</v>
      </c>
      <c r="X189" s="48">
        <f>SUM(U188:U193)</f>
        <v>0</v>
      </c>
      <c r="AG189" s="98" t="s">
        <v>4</v>
      </c>
      <c r="AH189" s="98" t="s">
        <v>5</v>
      </c>
      <c r="AI189" s="98" t="s">
        <v>6</v>
      </c>
      <c r="AJ189" s="98" t="s">
        <v>7</v>
      </c>
      <c r="AK189" s="98" t="s">
        <v>8</v>
      </c>
      <c r="AL189" s="98" t="s">
        <v>9</v>
      </c>
      <c r="AM189" s="98" t="s">
        <v>10</v>
      </c>
      <c r="AN189" s="98" t="s">
        <v>11</v>
      </c>
    </row>
    <row r="190" spans="1:40" ht="15.75" customHeight="1">
      <c r="A190" s="230"/>
      <c r="B190" s="4" t="s">
        <v>15</v>
      </c>
      <c r="C190" s="5"/>
      <c r="D190" s="5"/>
      <c r="K190" s="227"/>
      <c r="L190" s="4" t="s">
        <v>15</v>
      </c>
      <c r="M190" s="4"/>
      <c r="N190" s="4"/>
      <c r="O190" s="4"/>
      <c r="P190" s="4"/>
      <c r="Q190" s="4"/>
      <c r="R190" s="5"/>
      <c r="S190" s="5"/>
      <c r="T190" s="49"/>
      <c r="U190" s="59">
        <f>SUM(M190:T190,C190:D190)</f>
        <v>0</v>
      </c>
      <c r="W190" s="55" t="s">
        <v>6</v>
      </c>
      <c r="X190" s="48">
        <f>SUM(U194:U199)</f>
        <v>0</v>
      </c>
      <c r="AG190" s="79" t="s">
        <v>13</v>
      </c>
      <c r="AH190" s="79">
        <f t="shared" ref="AH190:AH195" si="30">U188</f>
        <v>0</v>
      </c>
      <c r="AI190" s="79">
        <f t="shared" ref="AI190:AI195" si="31">U194</f>
        <v>0</v>
      </c>
      <c r="AJ190" s="79">
        <f t="shared" ref="AJ190:AJ195" si="32">U200</f>
        <v>0</v>
      </c>
      <c r="AK190" s="79">
        <f t="shared" ref="AK190:AK195" si="33">U206</f>
        <v>0</v>
      </c>
      <c r="AL190" s="79">
        <f t="shared" ref="AL190:AL195" si="34">U212</f>
        <v>0</v>
      </c>
      <c r="AM190" s="79">
        <f t="shared" ref="AM190:AM195" si="35">U218</f>
        <v>0</v>
      </c>
      <c r="AN190" s="79">
        <f t="shared" ref="AN190:AN195" si="36">U224</f>
        <v>0</v>
      </c>
    </row>
    <row r="191" spans="1:40" ht="15.75" customHeight="1">
      <c r="A191" s="230"/>
      <c r="B191" s="4" t="s">
        <v>16</v>
      </c>
      <c r="C191" s="5"/>
      <c r="D191" s="5"/>
      <c r="K191" s="227"/>
      <c r="L191" s="4" t="s">
        <v>16</v>
      </c>
      <c r="M191" s="4"/>
      <c r="N191" s="4"/>
      <c r="O191" s="4"/>
      <c r="P191" s="4"/>
      <c r="Q191" s="4"/>
      <c r="R191" s="5"/>
      <c r="S191" s="5"/>
      <c r="T191" s="49"/>
      <c r="U191" s="59">
        <f>SUM(M191:T191,C191:D191)</f>
        <v>0</v>
      </c>
      <c r="W191" s="55" t="s">
        <v>7</v>
      </c>
      <c r="X191" s="48">
        <f>SUM(U200:U205)</f>
        <v>0</v>
      </c>
      <c r="AG191" s="97" t="s">
        <v>14</v>
      </c>
      <c r="AH191" s="97">
        <f t="shared" si="30"/>
        <v>0</v>
      </c>
      <c r="AI191" s="97">
        <f t="shared" si="31"/>
        <v>0</v>
      </c>
      <c r="AJ191" s="97">
        <f t="shared" si="32"/>
        <v>0</v>
      </c>
      <c r="AK191" s="97">
        <f t="shared" si="33"/>
        <v>0</v>
      </c>
      <c r="AL191" s="97">
        <f t="shared" si="34"/>
        <v>0</v>
      </c>
      <c r="AM191" s="97">
        <f t="shared" si="35"/>
        <v>0</v>
      </c>
      <c r="AN191" s="97">
        <f t="shared" si="36"/>
        <v>0</v>
      </c>
    </row>
    <row r="192" spans="1:40" ht="15.75" customHeight="1">
      <c r="A192" s="230"/>
      <c r="B192" s="4" t="s">
        <v>17</v>
      </c>
      <c r="C192" s="5"/>
      <c r="D192" s="5"/>
      <c r="K192" s="227"/>
      <c r="L192" s="4" t="s">
        <v>17</v>
      </c>
      <c r="M192" s="4"/>
      <c r="N192" s="4"/>
      <c r="O192" s="4"/>
      <c r="P192" s="4"/>
      <c r="Q192" s="4"/>
      <c r="R192" s="5"/>
      <c r="S192" s="5"/>
      <c r="T192" s="49"/>
      <c r="U192" s="59">
        <f>SUM(M192:T192,C192:D192)</f>
        <v>0</v>
      </c>
      <c r="W192" s="55" t="s">
        <v>61</v>
      </c>
      <c r="X192" s="48">
        <f>SUM(U206:U211)</f>
        <v>0</v>
      </c>
      <c r="AG192" s="79" t="s">
        <v>15</v>
      </c>
      <c r="AH192" s="79">
        <f t="shared" si="30"/>
        <v>0</v>
      </c>
      <c r="AI192" s="79">
        <f t="shared" si="31"/>
        <v>0</v>
      </c>
      <c r="AJ192" s="79">
        <f t="shared" si="32"/>
        <v>0</v>
      </c>
      <c r="AK192" s="79">
        <f t="shared" si="33"/>
        <v>0</v>
      </c>
      <c r="AL192" s="79">
        <f t="shared" si="34"/>
        <v>0</v>
      </c>
      <c r="AM192" s="79">
        <f t="shared" si="35"/>
        <v>0</v>
      </c>
      <c r="AN192" s="79">
        <f t="shared" si="36"/>
        <v>0</v>
      </c>
    </row>
    <row r="193" spans="1:40" ht="15.75" customHeight="1">
      <c r="A193" s="230"/>
      <c r="B193" s="46" t="s">
        <v>18</v>
      </c>
      <c r="C193" s="64"/>
      <c r="D193" s="64"/>
      <c r="K193" s="227"/>
      <c r="L193" s="46" t="s">
        <v>18</v>
      </c>
      <c r="M193" s="46"/>
      <c r="N193" s="46"/>
      <c r="O193" s="46"/>
      <c r="P193" s="46"/>
      <c r="Q193" s="46"/>
      <c r="R193" s="64"/>
      <c r="S193" s="64"/>
      <c r="T193" s="65"/>
      <c r="U193" s="59">
        <f>SUM(M193:T193,C193:D193)</f>
        <v>0</v>
      </c>
      <c r="W193" s="55" t="s">
        <v>9</v>
      </c>
      <c r="X193" s="48">
        <f>SUM(U212:U217)</f>
        <v>0</v>
      </c>
      <c r="AG193" s="97" t="s">
        <v>16</v>
      </c>
      <c r="AH193" s="97">
        <f t="shared" si="30"/>
        <v>0</v>
      </c>
      <c r="AI193" s="97">
        <f t="shared" si="31"/>
        <v>0</v>
      </c>
      <c r="AJ193" s="97">
        <f t="shared" si="32"/>
        <v>0</v>
      </c>
      <c r="AK193" s="97">
        <f t="shared" si="33"/>
        <v>0</v>
      </c>
      <c r="AL193" s="97">
        <f t="shared" si="34"/>
        <v>0</v>
      </c>
      <c r="AM193" s="97">
        <f t="shared" si="35"/>
        <v>0</v>
      </c>
      <c r="AN193" s="97">
        <f t="shared" si="36"/>
        <v>0</v>
      </c>
    </row>
    <row r="194" spans="1:40" ht="15.75" customHeight="1">
      <c r="A194" s="193" t="s">
        <v>6</v>
      </c>
      <c r="B194" s="63" t="s">
        <v>13</v>
      </c>
      <c r="C194" s="57"/>
      <c r="D194" s="57"/>
      <c r="E194" s="57"/>
      <c r="F194" s="63"/>
      <c r="G194" s="63"/>
      <c r="H194" s="63"/>
      <c r="I194" s="63"/>
      <c r="J194" s="63"/>
      <c r="K194" s="194" t="s">
        <v>6</v>
      </c>
      <c r="L194" s="63" t="s">
        <v>13</v>
      </c>
      <c r="M194" s="63"/>
      <c r="N194" s="63"/>
      <c r="O194" s="63"/>
      <c r="P194" s="63"/>
      <c r="Q194" s="57"/>
      <c r="R194" s="57"/>
      <c r="S194" s="57"/>
      <c r="T194" s="58"/>
      <c r="U194" s="59">
        <f>SUM(M194:T194,C194:J194)</f>
        <v>0</v>
      </c>
      <c r="W194" s="55" t="s">
        <v>10</v>
      </c>
      <c r="X194" s="48">
        <f>SUM(U218:U223)</f>
        <v>0</v>
      </c>
      <c r="AG194" s="79" t="s">
        <v>17</v>
      </c>
      <c r="AH194" s="79">
        <f t="shared" si="30"/>
        <v>0</v>
      </c>
      <c r="AI194" s="79">
        <f t="shared" si="31"/>
        <v>0</v>
      </c>
      <c r="AJ194" s="79">
        <f t="shared" si="32"/>
        <v>0</v>
      </c>
      <c r="AK194" s="79">
        <f t="shared" si="33"/>
        <v>0</v>
      </c>
      <c r="AL194" s="79">
        <f t="shared" si="34"/>
        <v>0</v>
      </c>
      <c r="AM194" s="79">
        <f t="shared" si="35"/>
        <v>0</v>
      </c>
      <c r="AN194" s="79">
        <f t="shared" si="36"/>
        <v>0</v>
      </c>
    </row>
    <row r="195" spans="1:40" ht="15.75" customHeight="1">
      <c r="A195" s="230"/>
      <c r="B195" s="6" t="s">
        <v>14</v>
      </c>
      <c r="C195" s="5"/>
      <c r="D195" s="5"/>
      <c r="E195" s="5"/>
      <c r="F195" s="6"/>
      <c r="G195" s="6"/>
      <c r="H195" s="6"/>
      <c r="I195" s="6"/>
      <c r="J195" s="6"/>
      <c r="K195" s="227"/>
      <c r="L195" s="6" t="s">
        <v>14</v>
      </c>
      <c r="M195" s="6"/>
      <c r="N195" s="6"/>
      <c r="O195" s="6"/>
      <c r="P195" s="6"/>
      <c r="Q195" s="5"/>
      <c r="R195" s="5"/>
      <c r="S195" s="5"/>
      <c r="T195" s="49"/>
      <c r="U195" s="59">
        <f>SUM(M195:T195,C195:J195)</f>
        <v>0</v>
      </c>
      <c r="W195" s="81" t="s">
        <v>11</v>
      </c>
      <c r="X195" s="80">
        <f>SUM(U224:U229)</f>
        <v>0</v>
      </c>
      <c r="AG195" s="97" t="s">
        <v>18</v>
      </c>
      <c r="AH195" s="97">
        <f t="shared" si="30"/>
        <v>0</v>
      </c>
      <c r="AI195" s="97">
        <f t="shared" si="31"/>
        <v>0</v>
      </c>
      <c r="AJ195" s="97">
        <f t="shared" si="32"/>
        <v>0</v>
      </c>
      <c r="AK195" s="97">
        <f t="shared" si="33"/>
        <v>0</v>
      </c>
      <c r="AL195" s="97">
        <f t="shared" si="34"/>
        <v>0</v>
      </c>
      <c r="AM195" s="97">
        <f t="shared" si="35"/>
        <v>0</v>
      </c>
      <c r="AN195" s="97">
        <f t="shared" si="36"/>
        <v>0</v>
      </c>
    </row>
    <row r="196" spans="1:40" ht="15.75" customHeight="1">
      <c r="A196" s="230"/>
      <c r="B196" s="6" t="s">
        <v>15</v>
      </c>
      <c r="C196" s="5"/>
      <c r="D196" s="5"/>
      <c r="E196" s="5"/>
      <c r="F196" s="6"/>
      <c r="G196" s="6"/>
      <c r="H196" s="6"/>
      <c r="I196" s="6"/>
      <c r="J196" s="6"/>
      <c r="K196" s="227"/>
      <c r="L196" s="6" t="s">
        <v>15</v>
      </c>
      <c r="M196" s="6"/>
      <c r="N196" s="6"/>
      <c r="O196" s="6"/>
      <c r="P196" s="6"/>
      <c r="Q196" s="5"/>
      <c r="R196" s="5"/>
      <c r="S196" s="5"/>
      <c r="T196" s="49"/>
      <c r="U196" s="59">
        <f>SUM(M196:T196,C196:J196)</f>
        <v>0</v>
      </c>
      <c r="W196" s="79" t="s">
        <v>63</v>
      </c>
      <c r="X196" s="82">
        <f>SUM(X189:X195)</f>
        <v>0</v>
      </c>
    </row>
    <row r="197" spans="1:40" ht="15.75" customHeight="1">
      <c r="A197" s="230"/>
      <c r="B197" s="6" t="s">
        <v>16</v>
      </c>
      <c r="C197" s="5"/>
      <c r="D197" s="5"/>
      <c r="E197" s="5"/>
      <c r="F197" s="6"/>
      <c r="G197" s="6"/>
      <c r="H197" s="6"/>
      <c r="I197" s="6"/>
      <c r="J197" s="6"/>
      <c r="K197" s="227"/>
      <c r="L197" s="6" t="s">
        <v>16</v>
      </c>
      <c r="M197" s="6"/>
      <c r="N197" s="6"/>
      <c r="O197" s="6"/>
      <c r="P197" s="6"/>
      <c r="Q197" s="5"/>
      <c r="R197" s="5"/>
      <c r="S197" s="5"/>
      <c r="T197" s="49"/>
      <c r="U197" s="59">
        <f>SUM(M197:T197,C197:J197)</f>
        <v>0</v>
      </c>
    </row>
    <row r="198" spans="1:40" ht="15.75" customHeight="1">
      <c r="A198" s="230"/>
      <c r="B198" s="6" t="s">
        <v>17</v>
      </c>
      <c r="C198" s="5"/>
      <c r="D198" s="5"/>
      <c r="E198" s="5"/>
      <c r="F198" s="6"/>
      <c r="G198" s="6"/>
      <c r="H198" s="6"/>
      <c r="I198" s="6"/>
      <c r="J198" s="6"/>
      <c r="K198" s="227"/>
      <c r="L198" s="6" t="s">
        <v>17</v>
      </c>
      <c r="M198" s="6"/>
      <c r="N198" s="6"/>
      <c r="O198" s="6"/>
      <c r="P198" s="6"/>
      <c r="Q198" s="5"/>
      <c r="R198" s="5"/>
      <c r="S198" s="5"/>
      <c r="T198" s="49"/>
      <c r="U198" s="59">
        <f>SUM(M198:T198,C198:J198)</f>
        <v>0</v>
      </c>
    </row>
    <row r="199" spans="1:40" ht="15.75" customHeight="1">
      <c r="A199" s="230"/>
      <c r="B199" s="47" t="s">
        <v>18</v>
      </c>
      <c r="C199" s="64"/>
      <c r="D199" s="64"/>
      <c r="E199" s="64"/>
      <c r="F199" s="47"/>
      <c r="G199" s="47"/>
      <c r="H199" s="47"/>
      <c r="I199" s="47"/>
      <c r="J199" s="47"/>
      <c r="K199" s="227"/>
      <c r="L199" s="47" t="s">
        <v>18</v>
      </c>
      <c r="M199" s="47"/>
      <c r="N199" s="47"/>
      <c r="O199" s="47"/>
      <c r="P199" s="47"/>
      <c r="Q199" s="64"/>
      <c r="R199" s="64"/>
      <c r="S199" s="64"/>
      <c r="T199" s="65"/>
      <c r="U199" s="59">
        <f>SUM(M199:T199,C199:J199)</f>
        <v>0</v>
      </c>
    </row>
    <row r="200" spans="1:40" ht="15.75" customHeight="1">
      <c r="A200" s="195" t="s">
        <v>7</v>
      </c>
      <c r="B200" s="56" t="s">
        <v>13</v>
      </c>
      <c r="C200" s="56"/>
      <c r="D200" s="56"/>
      <c r="E200" s="56"/>
      <c r="F200" s="56"/>
      <c r="G200" s="56"/>
      <c r="H200" s="56"/>
      <c r="I200" s="56"/>
      <c r="J200" s="56"/>
      <c r="K200" s="196" t="s">
        <v>7</v>
      </c>
      <c r="L200" s="56" t="s">
        <v>13</v>
      </c>
      <c r="M200" s="56"/>
      <c r="N200" s="56"/>
      <c r="O200" s="56"/>
      <c r="P200" s="56"/>
      <c r="Q200" s="56"/>
      <c r="R200" s="56"/>
      <c r="S200" s="56"/>
      <c r="T200" s="67"/>
      <c r="U200" s="59">
        <f>SUM(M200:T200,C200:J200)</f>
        <v>0</v>
      </c>
    </row>
    <row r="201" spans="1:40" ht="15.75" customHeight="1">
      <c r="A201" s="230"/>
      <c r="B201" s="4" t="s">
        <v>14</v>
      </c>
      <c r="C201" s="4"/>
      <c r="D201" s="4"/>
      <c r="E201" s="4"/>
      <c r="F201" s="4"/>
      <c r="G201" s="4"/>
      <c r="H201" s="4"/>
      <c r="I201" s="4"/>
      <c r="J201" s="4"/>
      <c r="K201" s="227"/>
      <c r="L201" s="4" t="s">
        <v>14</v>
      </c>
      <c r="M201" s="4"/>
      <c r="N201" s="4"/>
      <c r="O201" s="4"/>
      <c r="P201" s="4"/>
      <c r="Q201" s="4"/>
      <c r="R201" s="4"/>
      <c r="S201" s="4"/>
      <c r="T201" s="50"/>
      <c r="U201" s="59">
        <f>SUM(M201:T201,C201:J201)</f>
        <v>0</v>
      </c>
    </row>
    <row r="202" spans="1:40" ht="15.75" customHeight="1">
      <c r="A202" s="230"/>
      <c r="B202" s="4" t="s">
        <v>15</v>
      </c>
      <c r="C202" s="4"/>
      <c r="D202" s="4"/>
      <c r="E202" s="4"/>
      <c r="F202" s="4"/>
      <c r="G202" s="4"/>
      <c r="H202" s="4"/>
      <c r="I202" s="4"/>
      <c r="J202" s="4"/>
      <c r="K202" s="227"/>
      <c r="L202" s="4" t="s">
        <v>15</v>
      </c>
      <c r="M202" s="4"/>
      <c r="N202" s="4"/>
      <c r="O202" s="4"/>
      <c r="P202" s="4"/>
      <c r="Q202" s="4"/>
      <c r="R202" s="4"/>
      <c r="S202" s="4"/>
      <c r="T202" s="50"/>
      <c r="U202" s="59">
        <f>SUM(M202:T202,C202:J202)</f>
        <v>0</v>
      </c>
    </row>
    <row r="203" spans="1:40" ht="15.75" customHeight="1">
      <c r="A203" s="230"/>
      <c r="B203" s="4" t="s">
        <v>16</v>
      </c>
      <c r="C203" s="4"/>
      <c r="D203" s="4"/>
      <c r="E203" s="4"/>
      <c r="F203" s="4"/>
      <c r="G203" s="4"/>
      <c r="H203" s="4"/>
      <c r="I203" s="4"/>
      <c r="J203" s="4"/>
      <c r="K203" s="227"/>
      <c r="L203" s="4" t="s">
        <v>16</v>
      </c>
      <c r="M203" s="4"/>
      <c r="N203" s="4"/>
      <c r="O203" s="4"/>
      <c r="P203" s="4"/>
      <c r="Q203" s="4"/>
      <c r="R203" s="4"/>
      <c r="S203" s="4"/>
      <c r="T203" s="50"/>
      <c r="U203" s="59">
        <f>SUM(M203:T203,C203:J203)</f>
        <v>0</v>
      </c>
    </row>
    <row r="204" spans="1:40" ht="15.75" customHeight="1">
      <c r="A204" s="230"/>
      <c r="B204" s="4" t="s">
        <v>17</v>
      </c>
      <c r="C204" s="4"/>
      <c r="D204" s="4"/>
      <c r="E204" s="4"/>
      <c r="F204" s="4"/>
      <c r="G204" s="4"/>
      <c r="H204" s="4"/>
      <c r="I204" s="4"/>
      <c r="J204" s="4"/>
      <c r="K204" s="227"/>
      <c r="L204" s="4" t="s">
        <v>17</v>
      </c>
      <c r="M204" s="4"/>
      <c r="N204" s="4"/>
      <c r="O204" s="4"/>
      <c r="P204" s="4"/>
      <c r="Q204" s="4"/>
      <c r="R204" s="4"/>
      <c r="S204" s="4"/>
      <c r="T204" s="50"/>
      <c r="U204" s="59">
        <f>SUM(M204:T204,C204:J204)</f>
        <v>0</v>
      </c>
    </row>
    <row r="205" spans="1:40" ht="15.75" customHeight="1">
      <c r="A205" s="230"/>
      <c r="B205" s="46" t="s">
        <v>18</v>
      </c>
      <c r="C205" s="46"/>
      <c r="D205" s="46"/>
      <c r="E205" s="46"/>
      <c r="F205" s="46"/>
      <c r="G205" s="46"/>
      <c r="H205" s="46"/>
      <c r="I205" s="46"/>
      <c r="J205" s="46"/>
      <c r="K205" s="227"/>
      <c r="L205" s="46" t="s">
        <v>18</v>
      </c>
      <c r="M205" s="46"/>
      <c r="N205" s="46"/>
      <c r="O205" s="46"/>
      <c r="P205" s="46"/>
      <c r="Q205" s="46"/>
      <c r="R205" s="46"/>
      <c r="S205" s="46"/>
      <c r="T205" s="69"/>
      <c r="U205" s="59">
        <f>SUM(M205:T205,C205:J205)</f>
        <v>0</v>
      </c>
    </row>
    <row r="206" spans="1:40" ht="15.75" customHeight="1">
      <c r="A206" s="193" t="s">
        <v>8</v>
      </c>
      <c r="B206" s="63" t="s">
        <v>13</v>
      </c>
      <c r="C206" s="63"/>
      <c r="D206" s="63"/>
      <c r="E206" s="63"/>
      <c r="F206" s="63"/>
      <c r="G206" s="63"/>
      <c r="H206" s="63"/>
      <c r="I206" s="63"/>
      <c r="J206" s="63"/>
      <c r="K206" s="194" t="s">
        <v>8</v>
      </c>
      <c r="L206" s="63" t="s">
        <v>13</v>
      </c>
      <c r="M206" s="63"/>
      <c r="N206" s="63"/>
      <c r="O206" s="63"/>
      <c r="P206" s="63"/>
      <c r="Q206" s="63"/>
      <c r="R206" s="63"/>
      <c r="S206" s="63"/>
      <c r="T206" s="68"/>
      <c r="U206" s="59">
        <f>SUM(M206:T206,C206:J206)</f>
        <v>0</v>
      </c>
    </row>
    <row r="207" spans="1:40" ht="15.75" customHeight="1">
      <c r="A207" s="230"/>
      <c r="B207" s="6" t="s">
        <v>14</v>
      </c>
      <c r="C207" s="6"/>
      <c r="D207" s="6"/>
      <c r="E207" s="6"/>
      <c r="F207" s="6"/>
      <c r="G207" s="6"/>
      <c r="H207" s="6"/>
      <c r="I207" s="6"/>
      <c r="J207" s="6"/>
      <c r="K207" s="227"/>
      <c r="L207" s="6" t="s">
        <v>14</v>
      </c>
      <c r="M207" s="6"/>
      <c r="N207" s="6"/>
      <c r="O207" s="6"/>
      <c r="P207" s="6"/>
      <c r="Q207" s="6"/>
      <c r="R207" s="6"/>
      <c r="S207" s="6"/>
      <c r="T207" s="51"/>
      <c r="U207" s="59">
        <f>SUM(M207:T207,C207:J207)</f>
        <v>0</v>
      </c>
    </row>
    <row r="208" spans="1:40" ht="15.75" customHeight="1">
      <c r="A208" s="230"/>
      <c r="B208" s="6" t="s">
        <v>15</v>
      </c>
      <c r="C208" s="6"/>
      <c r="D208" s="6"/>
      <c r="E208" s="6"/>
      <c r="F208" s="6"/>
      <c r="G208" s="6"/>
      <c r="H208" s="6"/>
      <c r="I208" s="6"/>
      <c r="J208" s="6"/>
      <c r="K208" s="227"/>
      <c r="L208" s="6" t="s">
        <v>15</v>
      </c>
      <c r="M208" s="6"/>
      <c r="N208" s="6"/>
      <c r="O208" s="6"/>
      <c r="P208" s="6"/>
      <c r="Q208" s="6"/>
      <c r="R208" s="6"/>
      <c r="S208" s="6"/>
      <c r="T208" s="51"/>
      <c r="U208" s="59">
        <f>SUM(M208:T208,C208:J208)</f>
        <v>0</v>
      </c>
    </row>
    <row r="209" spans="1:21" ht="15.75" customHeight="1">
      <c r="A209" s="230"/>
      <c r="B209" s="6" t="s">
        <v>16</v>
      </c>
      <c r="C209" s="6"/>
      <c r="D209" s="6"/>
      <c r="E209" s="6"/>
      <c r="F209" s="6"/>
      <c r="G209" s="6"/>
      <c r="H209" s="6"/>
      <c r="I209" s="6"/>
      <c r="J209" s="6"/>
      <c r="K209" s="227"/>
      <c r="L209" s="6" t="s">
        <v>16</v>
      </c>
      <c r="M209" s="6"/>
      <c r="N209" s="6"/>
      <c r="O209" s="6"/>
      <c r="P209" s="6"/>
      <c r="Q209" s="6"/>
      <c r="R209" s="6"/>
      <c r="S209" s="6"/>
      <c r="T209" s="51"/>
      <c r="U209" s="59">
        <f>SUM(M209:T209,C209:J209)</f>
        <v>0</v>
      </c>
    </row>
    <row r="210" spans="1:21" ht="15.75" customHeight="1">
      <c r="A210" s="230"/>
      <c r="B210" s="6" t="s">
        <v>17</v>
      </c>
      <c r="C210" s="6"/>
      <c r="D210" s="6"/>
      <c r="E210" s="6"/>
      <c r="F210" s="6"/>
      <c r="G210" s="6"/>
      <c r="H210" s="6"/>
      <c r="I210" s="6"/>
      <c r="J210" s="6"/>
      <c r="K210" s="227"/>
      <c r="L210" s="6" t="s">
        <v>17</v>
      </c>
      <c r="M210" s="6"/>
      <c r="N210" s="6"/>
      <c r="O210" s="6"/>
      <c r="P210" s="6"/>
      <c r="Q210" s="6"/>
      <c r="R210" s="6"/>
      <c r="S210" s="6"/>
      <c r="T210" s="51"/>
      <c r="U210" s="59">
        <f>SUM(M210:T210,C210:J210)</f>
        <v>0</v>
      </c>
    </row>
    <row r="211" spans="1:21" ht="15.75" customHeight="1">
      <c r="A211" s="230"/>
      <c r="B211" s="47" t="s">
        <v>18</v>
      </c>
      <c r="C211" s="47"/>
      <c r="D211" s="47"/>
      <c r="E211" s="47"/>
      <c r="F211" s="47"/>
      <c r="G211" s="47"/>
      <c r="H211" s="47"/>
      <c r="I211" s="47"/>
      <c r="J211" s="47"/>
      <c r="K211" s="227"/>
      <c r="L211" s="47" t="s">
        <v>18</v>
      </c>
      <c r="M211" s="47"/>
      <c r="N211" s="47"/>
      <c r="O211" s="47"/>
      <c r="P211" s="47"/>
      <c r="Q211" s="47"/>
      <c r="R211" s="47"/>
      <c r="S211" s="47"/>
      <c r="T211" s="70"/>
      <c r="U211" s="59">
        <f>SUM(M211:T211,C211:J211)</f>
        <v>0</v>
      </c>
    </row>
    <row r="212" spans="1:21" ht="15.75" customHeight="1">
      <c r="A212" s="195" t="s">
        <v>9</v>
      </c>
      <c r="B212" s="56" t="s">
        <v>13</v>
      </c>
      <c r="C212" s="56"/>
      <c r="D212" s="56"/>
      <c r="E212" s="56"/>
      <c r="F212" s="56"/>
      <c r="G212" s="56"/>
      <c r="H212" s="56"/>
      <c r="I212" s="56"/>
      <c r="J212" s="56"/>
      <c r="K212" s="196" t="s">
        <v>9</v>
      </c>
      <c r="L212" s="56" t="s">
        <v>13</v>
      </c>
      <c r="M212" s="56"/>
      <c r="N212" s="56"/>
      <c r="O212" s="56"/>
      <c r="P212" s="56"/>
      <c r="Q212" s="56"/>
      <c r="R212" s="56"/>
      <c r="S212" s="56"/>
      <c r="T212" s="67"/>
      <c r="U212" s="59">
        <f>SUM(M212:T212,C212:J212)</f>
        <v>0</v>
      </c>
    </row>
    <row r="213" spans="1:21" ht="15.75" customHeight="1">
      <c r="A213" s="230"/>
      <c r="B213" s="4" t="s">
        <v>14</v>
      </c>
      <c r="C213" s="4"/>
      <c r="D213" s="4"/>
      <c r="E213" s="4"/>
      <c r="F213" s="4"/>
      <c r="G213" s="4"/>
      <c r="H213" s="4"/>
      <c r="I213" s="4"/>
      <c r="J213" s="4"/>
      <c r="K213" s="227"/>
      <c r="L213" s="4" t="s">
        <v>14</v>
      </c>
      <c r="M213" s="4"/>
      <c r="N213" s="4"/>
      <c r="O213" s="4"/>
      <c r="P213" s="4"/>
      <c r="Q213" s="4"/>
      <c r="R213" s="4"/>
      <c r="S213" s="4"/>
      <c r="T213" s="50"/>
      <c r="U213" s="59">
        <f>SUM(M213:T213,C213:J213)</f>
        <v>0</v>
      </c>
    </row>
    <row r="214" spans="1:21" ht="15.75" customHeight="1">
      <c r="A214" s="230"/>
      <c r="B214" s="4" t="s">
        <v>15</v>
      </c>
      <c r="C214" s="4"/>
      <c r="D214" s="4"/>
      <c r="E214" s="4"/>
      <c r="F214" s="4"/>
      <c r="G214" s="4"/>
      <c r="H214" s="4"/>
      <c r="I214" s="4"/>
      <c r="J214" s="4"/>
      <c r="K214" s="227"/>
      <c r="L214" s="4" t="s">
        <v>15</v>
      </c>
      <c r="M214" s="4"/>
      <c r="N214" s="4"/>
      <c r="O214" s="4"/>
      <c r="P214" s="4"/>
      <c r="Q214" s="4"/>
      <c r="R214" s="4"/>
      <c r="S214" s="4"/>
      <c r="T214" s="50"/>
      <c r="U214" s="59">
        <f>SUM(M214:T214,C214:J214)</f>
        <v>0</v>
      </c>
    </row>
    <row r="215" spans="1:21" ht="15.75" customHeight="1">
      <c r="A215" s="230"/>
      <c r="B215" s="4" t="s">
        <v>16</v>
      </c>
      <c r="C215" s="4"/>
      <c r="D215" s="4"/>
      <c r="E215" s="4"/>
      <c r="F215" s="4"/>
      <c r="G215" s="4"/>
      <c r="H215" s="4"/>
      <c r="I215" s="4"/>
      <c r="J215" s="4"/>
      <c r="K215" s="227"/>
      <c r="L215" s="4" t="s">
        <v>16</v>
      </c>
      <c r="M215" s="4"/>
      <c r="N215" s="4"/>
      <c r="O215" s="4"/>
      <c r="P215" s="4"/>
      <c r="Q215" s="4"/>
      <c r="R215" s="4"/>
      <c r="S215" s="4"/>
      <c r="T215" s="50"/>
      <c r="U215" s="59">
        <f>SUM(M215:T215,C215:J215)</f>
        <v>0</v>
      </c>
    </row>
    <row r="216" spans="1:21" ht="15.75" customHeight="1">
      <c r="A216" s="230"/>
      <c r="B216" s="4" t="s">
        <v>17</v>
      </c>
      <c r="C216" s="4"/>
      <c r="D216" s="4"/>
      <c r="E216" s="4"/>
      <c r="F216" s="4"/>
      <c r="G216" s="4"/>
      <c r="H216" s="4"/>
      <c r="I216" s="4"/>
      <c r="J216" s="4"/>
      <c r="K216" s="227"/>
      <c r="L216" s="4" t="s">
        <v>17</v>
      </c>
      <c r="M216" s="4"/>
      <c r="N216" s="4"/>
      <c r="O216" s="4"/>
      <c r="P216" s="4"/>
      <c r="Q216" s="4"/>
      <c r="R216" s="4"/>
      <c r="S216" s="4"/>
      <c r="T216" s="50"/>
      <c r="U216" s="59">
        <f>SUM(M216:T216,C216:J216)</f>
        <v>0</v>
      </c>
    </row>
    <row r="217" spans="1:21" ht="15.75" customHeight="1">
      <c r="A217" s="230"/>
      <c r="B217" s="46" t="s">
        <v>18</v>
      </c>
      <c r="C217" s="46"/>
      <c r="D217" s="46"/>
      <c r="E217" s="46"/>
      <c r="F217" s="46"/>
      <c r="G217" s="46"/>
      <c r="H217" s="46"/>
      <c r="I217" s="46"/>
      <c r="J217" s="46"/>
      <c r="K217" s="227"/>
      <c r="L217" s="46" t="s">
        <v>18</v>
      </c>
      <c r="M217" s="46"/>
      <c r="N217" s="46"/>
      <c r="O217" s="46"/>
      <c r="P217" s="46"/>
      <c r="Q217" s="46"/>
      <c r="R217" s="46"/>
      <c r="S217" s="46"/>
      <c r="T217" s="69"/>
      <c r="U217" s="59">
        <f>SUM(M217:T217,C217:J217)</f>
        <v>0</v>
      </c>
    </row>
    <row r="218" spans="1:21" ht="15.75" customHeight="1">
      <c r="A218" s="193" t="s">
        <v>10</v>
      </c>
      <c r="B218" s="63" t="s">
        <v>13</v>
      </c>
      <c r="C218" s="71"/>
      <c r="D218" s="71"/>
      <c r="E218" s="71"/>
      <c r="F218" s="71"/>
      <c r="G218" s="71"/>
      <c r="H218" s="71"/>
      <c r="I218" s="71"/>
      <c r="J218" s="71"/>
      <c r="K218" s="194" t="s">
        <v>10</v>
      </c>
      <c r="L218" s="63" t="s">
        <v>13</v>
      </c>
      <c r="M218" s="71"/>
      <c r="N218" s="71"/>
      <c r="O218" s="71"/>
      <c r="P218" s="71"/>
      <c r="Q218" s="71"/>
      <c r="R218" s="71"/>
      <c r="S218" s="71"/>
      <c r="T218" s="72"/>
      <c r="U218" s="59">
        <f>SUM(M218:T218,C218:J218)</f>
        <v>0</v>
      </c>
    </row>
    <row r="219" spans="1:21" ht="15.75" customHeight="1">
      <c r="A219" s="230"/>
      <c r="B219" s="6" t="s">
        <v>14</v>
      </c>
      <c r="C219" s="8"/>
      <c r="D219" s="8"/>
      <c r="E219" s="8"/>
      <c r="F219" s="8"/>
      <c r="G219" s="8"/>
      <c r="H219" s="8"/>
      <c r="I219" s="8"/>
      <c r="J219" s="8"/>
      <c r="K219" s="227"/>
      <c r="L219" s="6" t="s">
        <v>14</v>
      </c>
      <c r="M219" s="8"/>
      <c r="N219" s="8"/>
      <c r="O219" s="8"/>
      <c r="P219" s="8"/>
      <c r="Q219" s="8"/>
      <c r="R219" s="8"/>
      <c r="S219" s="8"/>
      <c r="T219" s="52"/>
      <c r="U219" s="59">
        <f>SUM(M219:T219,C219:J219)</f>
        <v>0</v>
      </c>
    </row>
    <row r="220" spans="1:21" ht="15.75" customHeight="1">
      <c r="A220" s="230"/>
      <c r="B220" s="6" t="s">
        <v>15</v>
      </c>
      <c r="C220" s="8"/>
      <c r="D220" s="8"/>
      <c r="E220" s="8"/>
      <c r="F220" s="8"/>
      <c r="G220" s="8"/>
      <c r="H220" s="8"/>
      <c r="I220" s="8"/>
      <c r="J220" s="8"/>
      <c r="K220" s="227"/>
      <c r="L220" s="6" t="s">
        <v>15</v>
      </c>
      <c r="M220" s="8"/>
      <c r="N220" s="8"/>
      <c r="O220" s="8"/>
      <c r="P220" s="8"/>
      <c r="Q220" s="8"/>
      <c r="R220" s="8"/>
      <c r="S220" s="8"/>
      <c r="T220" s="52"/>
      <c r="U220" s="59">
        <f>SUM(M220:T220,C220:J220)</f>
        <v>0</v>
      </c>
    </row>
    <row r="221" spans="1:21" ht="15.75" customHeight="1">
      <c r="A221" s="230"/>
      <c r="B221" s="6" t="s">
        <v>16</v>
      </c>
      <c r="C221" s="8"/>
      <c r="D221" s="8"/>
      <c r="E221" s="8"/>
      <c r="F221" s="8"/>
      <c r="G221" s="8"/>
      <c r="H221" s="8"/>
      <c r="I221" s="8"/>
      <c r="J221" s="8"/>
      <c r="K221" s="227"/>
      <c r="L221" s="6" t="s">
        <v>16</v>
      </c>
      <c r="M221" s="8"/>
      <c r="N221" s="8"/>
      <c r="O221" s="8"/>
      <c r="P221" s="8"/>
      <c r="Q221" s="8"/>
      <c r="R221" s="8"/>
      <c r="S221" s="8"/>
      <c r="T221" s="52"/>
      <c r="U221" s="59">
        <f>SUM(M221:T221,C221:J221)</f>
        <v>0</v>
      </c>
    </row>
    <row r="222" spans="1:21" ht="15.75" customHeight="1">
      <c r="A222" s="230"/>
      <c r="B222" s="6" t="s">
        <v>17</v>
      </c>
      <c r="C222" s="8"/>
      <c r="D222" s="8"/>
      <c r="E222" s="8"/>
      <c r="F222" s="8"/>
      <c r="G222" s="8"/>
      <c r="H222" s="8"/>
      <c r="I222" s="8"/>
      <c r="J222" s="8"/>
      <c r="K222" s="227"/>
      <c r="L222" s="6" t="s">
        <v>17</v>
      </c>
      <c r="M222" s="8"/>
      <c r="N222" s="8"/>
      <c r="O222" s="8"/>
      <c r="P222" s="8"/>
      <c r="Q222" s="8"/>
      <c r="R222" s="8"/>
      <c r="S222" s="8"/>
      <c r="T222" s="52"/>
      <c r="U222" s="59">
        <f>SUM(M222:T222,C222:J222)</f>
        <v>0</v>
      </c>
    </row>
    <row r="223" spans="1:21" ht="15.75" customHeight="1">
      <c r="A223" s="230"/>
      <c r="B223" s="47" t="s">
        <v>18</v>
      </c>
      <c r="C223" s="77"/>
      <c r="D223" s="77"/>
      <c r="E223" s="77"/>
      <c r="F223" s="77"/>
      <c r="G223" s="77"/>
      <c r="H223" s="77"/>
      <c r="I223" s="77"/>
      <c r="J223" s="77"/>
      <c r="K223" s="227"/>
      <c r="L223" s="47" t="s">
        <v>18</v>
      </c>
      <c r="M223" s="77"/>
      <c r="N223" s="77"/>
      <c r="O223" s="77"/>
      <c r="P223" s="77"/>
      <c r="Q223" s="77"/>
      <c r="R223" s="77"/>
      <c r="S223" s="77"/>
      <c r="T223" s="78"/>
      <c r="U223" s="59">
        <f>SUM(M223:T223,C223:J223)</f>
        <v>0</v>
      </c>
    </row>
    <row r="224" spans="1:21" ht="15.75" customHeight="1">
      <c r="A224" s="195" t="s">
        <v>11</v>
      </c>
      <c r="B224" s="56" t="s">
        <v>13</v>
      </c>
      <c r="C224" s="73"/>
      <c r="D224" s="73"/>
      <c r="E224" s="73"/>
      <c r="F224" s="73"/>
      <c r="G224" s="73"/>
      <c r="H224" s="73"/>
      <c r="I224" s="73"/>
      <c r="J224" s="73"/>
      <c r="K224" s="196" t="s">
        <v>11</v>
      </c>
      <c r="L224" s="56" t="s">
        <v>13</v>
      </c>
      <c r="M224" s="73"/>
      <c r="N224" s="73"/>
      <c r="O224" s="73"/>
      <c r="P224" s="73"/>
      <c r="Q224" s="73"/>
      <c r="R224" s="73"/>
      <c r="S224" s="73"/>
      <c r="T224" s="74"/>
      <c r="U224" s="59">
        <f>SUM(M224:T224,C224:J224)</f>
        <v>0</v>
      </c>
    </row>
    <row r="225" spans="1:21" ht="15.75" customHeight="1">
      <c r="A225" s="230"/>
      <c r="B225" s="4" t="s">
        <v>14</v>
      </c>
      <c r="C225" s="9"/>
      <c r="D225" s="9"/>
      <c r="E225" s="9"/>
      <c r="F225" s="9"/>
      <c r="G225" s="9"/>
      <c r="H225" s="9"/>
      <c r="I225" s="9"/>
      <c r="J225" s="9"/>
      <c r="K225" s="227"/>
      <c r="L225" s="4" t="s">
        <v>14</v>
      </c>
      <c r="M225" s="9"/>
      <c r="N225" s="9"/>
      <c r="O225" s="9"/>
      <c r="P225" s="9"/>
      <c r="Q225" s="9"/>
      <c r="R225" s="9"/>
      <c r="S225" s="9"/>
      <c r="T225" s="53"/>
      <c r="U225" s="59">
        <f>SUM(M225:T225,C225:J225)</f>
        <v>0</v>
      </c>
    </row>
    <row r="226" spans="1:21" ht="15.75" customHeight="1">
      <c r="A226" s="230"/>
      <c r="B226" s="4" t="s">
        <v>15</v>
      </c>
      <c r="C226" s="9"/>
      <c r="D226" s="9"/>
      <c r="E226" s="9"/>
      <c r="F226" s="9"/>
      <c r="G226" s="9"/>
      <c r="H226" s="9"/>
      <c r="I226" s="9"/>
      <c r="J226" s="9"/>
      <c r="K226" s="227"/>
      <c r="L226" s="4" t="s">
        <v>15</v>
      </c>
      <c r="M226" s="9"/>
      <c r="N226" s="9"/>
      <c r="O226" s="9"/>
      <c r="P226" s="9"/>
      <c r="Q226" s="9"/>
      <c r="R226" s="9"/>
      <c r="S226" s="9"/>
      <c r="T226" s="53"/>
      <c r="U226" s="59">
        <f>SUM(M226:T226,C226:J226)</f>
        <v>0</v>
      </c>
    </row>
    <row r="227" spans="1:21" ht="15.75" customHeight="1">
      <c r="A227" s="230"/>
      <c r="B227" s="4" t="s">
        <v>16</v>
      </c>
      <c r="C227" s="9"/>
      <c r="D227" s="9"/>
      <c r="E227" s="9"/>
      <c r="F227" s="9"/>
      <c r="G227" s="9"/>
      <c r="H227" s="9"/>
      <c r="I227" s="9"/>
      <c r="J227" s="9"/>
      <c r="K227" s="227"/>
      <c r="L227" s="4" t="s">
        <v>16</v>
      </c>
      <c r="M227" s="9"/>
      <c r="N227" s="9"/>
      <c r="O227" s="9"/>
      <c r="P227" s="9"/>
      <c r="Q227" s="9"/>
      <c r="R227" s="9"/>
      <c r="S227" s="9"/>
      <c r="T227" s="53"/>
      <c r="U227" s="59">
        <f>SUM(M227:T227,C227:J227)</f>
        <v>0</v>
      </c>
    </row>
    <row r="228" spans="1:21" ht="15.75" customHeight="1">
      <c r="A228" s="230"/>
      <c r="B228" s="4" t="s">
        <v>17</v>
      </c>
      <c r="C228" s="9"/>
      <c r="D228" s="9"/>
      <c r="E228" s="9"/>
      <c r="F228" s="9"/>
      <c r="G228" s="9"/>
      <c r="H228" s="9"/>
      <c r="I228" s="9"/>
      <c r="J228" s="9"/>
      <c r="K228" s="227"/>
      <c r="L228" s="4" t="s">
        <v>17</v>
      </c>
      <c r="M228" s="9"/>
      <c r="N228" s="9"/>
      <c r="O228" s="9"/>
      <c r="P228" s="9"/>
      <c r="Q228" s="9"/>
      <c r="R228" s="9"/>
      <c r="S228" s="9"/>
      <c r="T228" s="53"/>
      <c r="U228" s="59">
        <f>SUM(M228:T228,C228:J228)</f>
        <v>0</v>
      </c>
    </row>
    <row r="229" spans="1:21" ht="15.75" customHeight="1">
      <c r="A229" s="231"/>
      <c r="B229" s="61" t="s">
        <v>18</v>
      </c>
      <c r="C229" s="75"/>
      <c r="D229" s="75"/>
      <c r="E229" s="75"/>
      <c r="F229" s="75"/>
      <c r="G229" s="75"/>
      <c r="H229" s="75"/>
      <c r="I229" s="75"/>
      <c r="J229" s="75"/>
      <c r="K229" s="232"/>
      <c r="L229" s="61" t="s">
        <v>18</v>
      </c>
      <c r="M229" s="75"/>
      <c r="N229" s="75"/>
      <c r="O229" s="75"/>
      <c r="P229" s="75"/>
      <c r="Q229" s="75"/>
      <c r="R229" s="75"/>
      <c r="S229" s="75"/>
      <c r="T229" s="76"/>
      <c r="U229" s="59">
        <f>SUM(M229:T229,C229:J229)</f>
        <v>0</v>
      </c>
    </row>
  </sheetData>
  <mergeCells count="111">
    <mergeCell ref="A218:A223"/>
    <mergeCell ref="K218:K223"/>
    <mergeCell ref="A224:A229"/>
    <mergeCell ref="K224:K229"/>
    <mergeCell ref="A200:A205"/>
    <mergeCell ref="K200:K205"/>
    <mergeCell ref="A206:A211"/>
    <mergeCell ref="K206:K211"/>
    <mergeCell ref="A212:A217"/>
    <mergeCell ref="K212:K217"/>
    <mergeCell ref="P186:R186"/>
    <mergeCell ref="A188:A193"/>
    <mergeCell ref="K188:K193"/>
    <mergeCell ref="W188:X188"/>
    <mergeCell ref="AG188:AN188"/>
    <mergeCell ref="A194:A199"/>
    <mergeCell ref="K194:K199"/>
    <mergeCell ref="A178:A183"/>
    <mergeCell ref="K178:K183"/>
    <mergeCell ref="C185:G185"/>
    <mergeCell ref="B186:D186"/>
    <mergeCell ref="F186:H186"/>
    <mergeCell ref="L186:N186"/>
    <mergeCell ref="A160:A165"/>
    <mergeCell ref="K160:K165"/>
    <mergeCell ref="A166:A171"/>
    <mergeCell ref="K166:K171"/>
    <mergeCell ref="A172:A177"/>
    <mergeCell ref="K172:K177"/>
    <mergeCell ref="W142:X142"/>
    <mergeCell ref="AG142:AN142"/>
    <mergeCell ref="A148:A153"/>
    <mergeCell ref="K148:K153"/>
    <mergeCell ref="A154:A159"/>
    <mergeCell ref="K154:K159"/>
    <mergeCell ref="C139:G139"/>
    <mergeCell ref="B140:D140"/>
    <mergeCell ref="F140:H140"/>
    <mergeCell ref="L140:N140"/>
    <mergeCell ref="P140:R140"/>
    <mergeCell ref="A142:A147"/>
    <mergeCell ref="K142:K147"/>
    <mergeCell ref="A120:A125"/>
    <mergeCell ref="K120:K125"/>
    <mergeCell ref="A126:A131"/>
    <mergeCell ref="K126:K131"/>
    <mergeCell ref="A132:A137"/>
    <mergeCell ref="K132:K137"/>
    <mergeCell ref="A102:A107"/>
    <mergeCell ref="K102:K107"/>
    <mergeCell ref="A108:A113"/>
    <mergeCell ref="K108:K113"/>
    <mergeCell ref="A114:A119"/>
    <mergeCell ref="K114:K119"/>
    <mergeCell ref="L94:N94"/>
    <mergeCell ref="P94:R94"/>
    <mergeCell ref="A96:A101"/>
    <mergeCell ref="K96:K101"/>
    <mergeCell ref="W96:X96"/>
    <mergeCell ref="AG96:AN96"/>
    <mergeCell ref="A80:A85"/>
    <mergeCell ref="K80:K85"/>
    <mergeCell ref="A86:A91"/>
    <mergeCell ref="K86:K91"/>
    <mergeCell ref="C93:G93"/>
    <mergeCell ref="B94:D94"/>
    <mergeCell ref="F94:H94"/>
    <mergeCell ref="A62:A67"/>
    <mergeCell ref="K62:K67"/>
    <mergeCell ref="A68:A73"/>
    <mergeCell ref="K68:K73"/>
    <mergeCell ref="A74:A79"/>
    <mergeCell ref="K74:K79"/>
    <mergeCell ref="P48:R48"/>
    <mergeCell ref="A50:A55"/>
    <mergeCell ref="K50:K55"/>
    <mergeCell ref="W50:X50"/>
    <mergeCell ref="AG50:AN50"/>
    <mergeCell ref="A56:A61"/>
    <mergeCell ref="K56:K61"/>
    <mergeCell ref="A40:A45"/>
    <mergeCell ref="K40:K45"/>
    <mergeCell ref="C47:G47"/>
    <mergeCell ref="B48:D48"/>
    <mergeCell ref="F48:H48"/>
    <mergeCell ref="L48:N48"/>
    <mergeCell ref="A22:A27"/>
    <mergeCell ref="K22:K27"/>
    <mergeCell ref="A28:A33"/>
    <mergeCell ref="K28:K33"/>
    <mergeCell ref="A34:A39"/>
    <mergeCell ref="K34:K39"/>
    <mergeCell ref="Z8:AA8"/>
    <mergeCell ref="A10:A15"/>
    <mergeCell ref="K10:K15"/>
    <mergeCell ref="Z10:AA10"/>
    <mergeCell ref="A16:A21"/>
    <mergeCell ref="K16:K21"/>
    <mergeCell ref="A4:A9"/>
    <mergeCell ref="W4:X4"/>
    <mergeCell ref="Z4:AA4"/>
    <mergeCell ref="AD4:AE4"/>
    <mergeCell ref="AG4:AN4"/>
    <mergeCell ref="AP4:AW4"/>
    <mergeCell ref="Z6:AA6"/>
    <mergeCell ref="C1:G1"/>
    <mergeCell ref="B2:D2"/>
    <mergeCell ref="F2:H2"/>
    <mergeCell ref="L2:N2"/>
    <mergeCell ref="P2:R2"/>
    <mergeCell ref="K4:K9"/>
  </mergeCells>
  <printOptions horizontalCentered="1" verticalCentered="1"/>
  <pageMargins left="0.25" right="0.25" top="0.25" bottom="0.25" header="0" footer="0"/>
  <pageSetup pageOrder="overThenDown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B1515-2B2D-492C-8574-D1097605C61D}">
  <dimension ref="A1:AW229"/>
  <sheetViews>
    <sheetView workbookViewId="0">
      <pane ySplit="3" topLeftCell="A33" activePane="bottomLeft" state="frozen"/>
      <selection pane="bottomLeft" activeCell="G45" sqref="G45"/>
    </sheetView>
  </sheetViews>
  <sheetFormatPr defaultRowHeight="12.75"/>
  <cols>
    <col min="1" max="1" width="13.42578125" bestFit="1" customWidth="1"/>
    <col min="2" max="2" width="16.42578125" bestFit="1" customWidth="1"/>
    <col min="3" max="6" width="8" bestFit="1" customWidth="1"/>
    <col min="7" max="7" width="9.28515625" bestFit="1" customWidth="1"/>
    <col min="8" max="8" width="10.5703125" bestFit="1" customWidth="1"/>
    <col min="9" max="9" width="10.7109375" bestFit="1" customWidth="1"/>
    <col min="10" max="10" width="9.42578125" bestFit="1" customWidth="1"/>
    <col min="11" max="11" width="13.42578125" bestFit="1" customWidth="1"/>
    <col min="12" max="12" width="16.42578125" bestFit="1" customWidth="1"/>
    <col min="13" max="20" width="8.140625" bestFit="1" customWidth="1"/>
    <col min="21" max="21" width="6.85546875" bestFit="1" customWidth="1"/>
    <col min="23" max="23" width="14.140625" bestFit="1" customWidth="1"/>
    <col min="24" max="24" width="4.28515625" bestFit="1" customWidth="1"/>
    <col min="28" max="28" width="4.28515625" bestFit="1" customWidth="1"/>
    <col min="30" max="31" width="12.140625" bestFit="1" customWidth="1"/>
    <col min="33" max="33" width="14.28515625" bestFit="1" customWidth="1"/>
    <col min="35" max="35" width="7.85546875" bestFit="1" customWidth="1"/>
    <col min="36" max="36" width="8.140625" bestFit="1" customWidth="1"/>
    <col min="37" max="37" width="8.7109375" bestFit="1" customWidth="1"/>
    <col min="38" max="38" width="11.42578125" bestFit="1" customWidth="1"/>
    <col min="39" max="39" width="9.5703125" bestFit="1" customWidth="1"/>
    <col min="40" max="40" width="6.7109375" bestFit="1" customWidth="1"/>
    <col min="42" max="42" width="14.28515625" bestFit="1" customWidth="1"/>
    <col min="44" max="44" width="7.85546875" bestFit="1" customWidth="1"/>
    <col min="45" max="45" width="8.140625" bestFit="1" customWidth="1"/>
    <col min="46" max="46" width="8.7109375" bestFit="1" customWidth="1"/>
    <col min="47" max="47" width="11.42578125" bestFit="1" customWidth="1"/>
    <col min="48" max="48" width="9.5703125" bestFit="1" customWidth="1"/>
    <col min="49" max="49" width="6.7109375" bestFit="1" customWidth="1"/>
  </cols>
  <sheetData>
    <row r="1" spans="1:49" ht="15.75">
      <c r="A1" s="1"/>
      <c r="B1" s="1"/>
      <c r="C1" s="183" t="s">
        <v>0</v>
      </c>
      <c r="D1" s="225"/>
      <c r="E1" s="225"/>
      <c r="F1" s="225"/>
      <c r="G1" s="226"/>
      <c r="H1" s="2"/>
      <c r="I1" s="1"/>
    </row>
    <row r="2" spans="1:49" ht="15.75">
      <c r="A2" s="1"/>
      <c r="B2" s="183" t="s">
        <v>1</v>
      </c>
      <c r="C2" s="225"/>
      <c r="D2" s="226"/>
      <c r="E2" s="1"/>
      <c r="F2" s="184" t="s">
        <v>135</v>
      </c>
      <c r="G2" s="225"/>
      <c r="H2" s="226"/>
      <c r="I2" s="1"/>
      <c r="K2" s="1"/>
      <c r="L2" s="183" t="s">
        <v>26</v>
      </c>
      <c r="M2" s="225"/>
      <c r="N2" s="226"/>
      <c r="O2" s="1"/>
      <c r="P2" s="184" t="s">
        <v>135</v>
      </c>
      <c r="Q2" s="225"/>
      <c r="R2" s="226"/>
      <c r="S2" s="1"/>
    </row>
    <row r="3" spans="1:49" ht="15.75">
      <c r="A3" s="54" t="s">
        <v>35</v>
      </c>
      <c r="B3" s="54" t="s">
        <v>4</v>
      </c>
      <c r="C3" s="54" t="s">
        <v>12</v>
      </c>
      <c r="D3" s="54" t="s">
        <v>19</v>
      </c>
      <c r="E3" s="54" t="s">
        <v>20</v>
      </c>
      <c r="F3" s="54" t="s">
        <v>21</v>
      </c>
      <c r="G3" s="54" t="s">
        <v>22</v>
      </c>
      <c r="H3" s="54" t="s">
        <v>23</v>
      </c>
      <c r="I3" s="54" t="s">
        <v>24</v>
      </c>
      <c r="J3" s="54" t="s">
        <v>25</v>
      </c>
      <c r="K3" s="54" t="s">
        <v>35</v>
      </c>
      <c r="L3" s="54" t="s">
        <v>4</v>
      </c>
      <c r="M3" s="54" t="s">
        <v>27</v>
      </c>
      <c r="N3" s="54" t="s">
        <v>28</v>
      </c>
      <c r="O3" s="54" t="s">
        <v>29</v>
      </c>
      <c r="P3" s="54" t="s">
        <v>30</v>
      </c>
      <c r="Q3" s="54" t="s">
        <v>31</v>
      </c>
      <c r="R3" s="54" t="s">
        <v>32</v>
      </c>
      <c r="S3" s="54" t="s">
        <v>33</v>
      </c>
      <c r="T3" s="54" t="s">
        <v>34</v>
      </c>
      <c r="U3" s="54" t="s">
        <v>55</v>
      </c>
    </row>
    <row r="4" spans="1:49" ht="15.75">
      <c r="A4" s="195" t="s">
        <v>5</v>
      </c>
      <c r="B4" s="56" t="s">
        <v>13</v>
      </c>
      <c r="C4" s="57"/>
      <c r="D4" s="57"/>
      <c r="E4" s="56">
        <v>29</v>
      </c>
      <c r="F4" s="56">
        <v>38</v>
      </c>
      <c r="G4" s="56">
        <v>31</v>
      </c>
      <c r="H4" s="56">
        <v>30</v>
      </c>
      <c r="I4" s="56">
        <v>39</v>
      </c>
      <c r="J4" s="56">
        <v>33</v>
      </c>
      <c r="K4" s="196" t="s">
        <v>5</v>
      </c>
      <c r="L4" s="56" t="s">
        <v>13</v>
      </c>
      <c r="M4" s="56">
        <v>33</v>
      </c>
      <c r="N4" s="56">
        <v>35</v>
      </c>
      <c r="O4" s="56">
        <v>35</v>
      </c>
      <c r="P4" s="56">
        <v>41</v>
      </c>
      <c r="Q4" s="56">
        <v>27</v>
      </c>
      <c r="R4" s="57"/>
      <c r="S4" s="57"/>
      <c r="T4" s="58"/>
      <c r="U4" s="59">
        <f>SUM(M4:T4,C4:J4)</f>
        <v>371</v>
      </c>
      <c r="W4" s="197" t="s">
        <v>2</v>
      </c>
      <c r="X4" s="198"/>
      <c r="Z4" s="197" t="s">
        <v>56</v>
      </c>
      <c r="AA4" s="203"/>
      <c r="AB4" s="83">
        <f>SUM(X12,X58,X104,X150,X196)</f>
        <v>8516</v>
      </c>
      <c r="AD4" s="197" t="s">
        <v>57</v>
      </c>
      <c r="AE4" s="198"/>
      <c r="AG4" s="190" t="s">
        <v>58</v>
      </c>
      <c r="AH4" s="191"/>
      <c r="AI4" s="191"/>
      <c r="AJ4" s="191"/>
      <c r="AK4" s="191"/>
      <c r="AL4" s="191"/>
      <c r="AM4" s="191"/>
      <c r="AN4" s="192"/>
      <c r="AP4" s="190" t="s">
        <v>59</v>
      </c>
      <c r="AQ4" s="191"/>
      <c r="AR4" s="191"/>
      <c r="AS4" s="191"/>
      <c r="AT4" s="191"/>
      <c r="AU4" s="191"/>
      <c r="AV4" s="191"/>
      <c r="AW4" s="192"/>
    </row>
    <row r="5" spans="1:49" ht="15">
      <c r="A5" s="230"/>
      <c r="B5" s="4" t="s">
        <v>14</v>
      </c>
      <c r="C5" s="5"/>
      <c r="D5" s="5"/>
      <c r="E5" s="4">
        <v>3</v>
      </c>
      <c r="F5" s="4">
        <v>8</v>
      </c>
      <c r="G5" s="4">
        <v>9</v>
      </c>
      <c r="H5" s="4">
        <v>12</v>
      </c>
      <c r="I5" s="4">
        <v>9</v>
      </c>
      <c r="J5" s="4">
        <v>5</v>
      </c>
      <c r="K5" s="227"/>
      <c r="L5" s="4" t="s">
        <v>14</v>
      </c>
      <c r="M5" s="4">
        <v>6</v>
      </c>
      <c r="N5" s="4">
        <v>8</v>
      </c>
      <c r="O5" s="4">
        <v>8</v>
      </c>
      <c r="P5" s="4">
        <v>5</v>
      </c>
      <c r="Q5" s="4">
        <v>3</v>
      </c>
      <c r="R5" s="5"/>
      <c r="S5" s="5"/>
      <c r="T5" s="49"/>
      <c r="U5" s="60">
        <f>SUM(C5:J5,M5:T5)</f>
        <v>76</v>
      </c>
      <c r="W5" s="55" t="s">
        <v>5</v>
      </c>
      <c r="X5" s="48">
        <f>SUM(U4:U9)</f>
        <v>1039</v>
      </c>
      <c r="AD5" s="55" t="s">
        <v>5</v>
      </c>
      <c r="AE5" s="48">
        <f t="shared" ref="AE5:AE11" si="0">AVERAGE(X5,X51,X97,X143,X189)</f>
        <v>207.8</v>
      </c>
      <c r="AG5" s="98" t="s">
        <v>4</v>
      </c>
      <c r="AH5" s="98" t="s">
        <v>5</v>
      </c>
      <c r="AI5" s="98" t="s">
        <v>6</v>
      </c>
      <c r="AJ5" s="98" t="s">
        <v>7</v>
      </c>
      <c r="AK5" s="98" t="s">
        <v>8</v>
      </c>
      <c r="AL5" s="98" t="s">
        <v>9</v>
      </c>
      <c r="AM5" s="98" t="s">
        <v>10</v>
      </c>
      <c r="AN5" s="98" t="s">
        <v>11</v>
      </c>
      <c r="AP5" s="98" t="s">
        <v>4</v>
      </c>
      <c r="AQ5" s="98" t="s">
        <v>5</v>
      </c>
      <c r="AR5" s="98" t="s">
        <v>6</v>
      </c>
      <c r="AS5" s="98" t="s">
        <v>7</v>
      </c>
      <c r="AT5" s="98" t="s">
        <v>8</v>
      </c>
      <c r="AU5" s="98" t="s">
        <v>9</v>
      </c>
      <c r="AV5" s="98" t="s">
        <v>10</v>
      </c>
      <c r="AW5" s="98" t="s">
        <v>11</v>
      </c>
    </row>
    <row r="6" spans="1:49" ht="15.75">
      <c r="A6" s="230"/>
      <c r="B6" s="4" t="s">
        <v>15</v>
      </c>
      <c r="C6" s="5"/>
      <c r="D6" s="5"/>
      <c r="E6" s="4">
        <v>7</v>
      </c>
      <c r="F6" s="4">
        <v>17</v>
      </c>
      <c r="G6" s="4">
        <v>22</v>
      </c>
      <c r="H6" s="4">
        <v>34</v>
      </c>
      <c r="I6" s="4">
        <v>37</v>
      </c>
      <c r="J6" s="4">
        <v>33</v>
      </c>
      <c r="K6" s="227"/>
      <c r="L6" s="4" t="s">
        <v>15</v>
      </c>
      <c r="M6" s="4">
        <v>34</v>
      </c>
      <c r="N6" s="4">
        <v>27</v>
      </c>
      <c r="O6" s="4">
        <v>28</v>
      </c>
      <c r="P6" s="4">
        <v>24</v>
      </c>
      <c r="Q6" s="4">
        <v>25</v>
      </c>
      <c r="R6" s="5"/>
      <c r="S6" s="5"/>
      <c r="T6" s="49"/>
      <c r="U6" s="60">
        <f>SUM(C6:J6,M6:T6)</f>
        <v>288</v>
      </c>
      <c r="W6" s="55" t="s">
        <v>6</v>
      </c>
      <c r="X6" s="48">
        <f>SUM(U10:U15)</f>
        <v>837</v>
      </c>
      <c r="Z6" s="197" t="s">
        <v>60</v>
      </c>
      <c r="AA6" s="203"/>
      <c r="AB6" s="83"/>
      <c r="AD6" s="55" t="s">
        <v>6</v>
      </c>
      <c r="AE6" s="48">
        <f t="shared" si="0"/>
        <v>167.4</v>
      </c>
      <c r="AG6" s="79" t="s">
        <v>13</v>
      </c>
      <c r="AH6" s="79">
        <f t="shared" ref="AH6:AH11" si="1">U4</f>
        <v>371</v>
      </c>
      <c r="AI6" s="79">
        <f t="shared" ref="AI6:AI11" si="2">U10</f>
        <v>302</v>
      </c>
      <c r="AJ6" s="79">
        <f t="shared" ref="AJ6:AJ11" si="3">U16</f>
        <v>561</v>
      </c>
      <c r="AK6" s="79">
        <f t="shared" ref="AK6:AK11" si="4">U22</f>
        <v>481</v>
      </c>
      <c r="AL6" s="79">
        <f t="shared" ref="AL6:AL11" si="5">U28</f>
        <v>438</v>
      </c>
      <c r="AM6" s="79">
        <f t="shared" ref="AM6:AM11" si="6">U34</f>
        <v>435</v>
      </c>
      <c r="AN6" s="79">
        <f t="shared" ref="AN6:AN11" si="7">U40</f>
        <v>116</v>
      </c>
      <c r="AP6" s="79" t="s">
        <v>13</v>
      </c>
      <c r="AQ6" s="79">
        <f t="shared" ref="AQ6:AW11" si="8">SUM(AH6,AH52,AH98,AH144,AH190)</f>
        <v>371</v>
      </c>
      <c r="AR6" s="79">
        <f t="shared" si="8"/>
        <v>302</v>
      </c>
      <c r="AS6" s="79">
        <f t="shared" si="8"/>
        <v>561</v>
      </c>
      <c r="AT6" s="79">
        <f t="shared" si="8"/>
        <v>481</v>
      </c>
      <c r="AU6" s="79">
        <f t="shared" si="8"/>
        <v>438</v>
      </c>
      <c r="AV6" s="79">
        <f t="shared" si="8"/>
        <v>435</v>
      </c>
      <c r="AW6" s="79">
        <f t="shared" si="8"/>
        <v>116</v>
      </c>
    </row>
    <row r="7" spans="1:49" ht="15">
      <c r="A7" s="230"/>
      <c r="B7" s="4" t="s">
        <v>16</v>
      </c>
      <c r="C7" s="5"/>
      <c r="D7" s="5"/>
      <c r="E7" s="4">
        <v>10</v>
      </c>
      <c r="F7" s="4">
        <v>10</v>
      </c>
      <c r="G7" s="4">
        <v>14</v>
      </c>
      <c r="H7" s="4">
        <v>8</v>
      </c>
      <c r="I7" s="4">
        <v>11</v>
      </c>
      <c r="J7" s="4">
        <v>20</v>
      </c>
      <c r="K7" s="227"/>
      <c r="L7" s="4" t="s">
        <v>16</v>
      </c>
      <c r="M7" s="4">
        <v>9</v>
      </c>
      <c r="N7" s="4">
        <v>13</v>
      </c>
      <c r="O7" s="4">
        <v>7</v>
      </c>
      <c r="P7" s="4">
        <v>8</v>
      </c>
      <c r="Q7" s="4">
        <v>7</v>
      </c>
      <c r="R7" s="5"/>
      <c r="S7" s="5"/>
      <c r="T7" s="49"/>
      <c r="U7" s="60">
        <f>SUM(C7:J7,M7:T7)</f>
        <v>117</v>
      </c>
      <c r="W7" s="55" t="s">
        <v>7</v>
      </c>
      <c r="X7" s="48">
        <f>SUM(U16:U21)</f>
        <v>1865</v>
      </c>
      <c r="AD7" s="55" t="s">
        <v>7</v>
      </c>
      <c r="AE7" s="48">
        <f t="shared" si="0"/>
        <v>373</v>
      </c>
      <c r="AG7" s="97" t="s">
        <v>14</v>
      </c>
      <c r="AH7" s="97">
        <f t="shared" si="1"/>
        <v>76</v>
      </c>
      <c r="AI7" s="97">
        <f t="shared" si="2"/>
        <v>70</v>
      </c>
      <c r="AJ7" s="97">
        <f t="shared" si="3"/>
        <v>206</v>
      </c>
      <c r="AK7" s="97">
        <f t="shared" si="4"/>
        <v>155</v>
      </c>
      <c r="AL7" s="97">
        <f t="shared" si="5"/>
        <v>176</v>
      </c>
      <c r="AM7" s="97">
        <f t="shared" si="6"/>
        <v>138</v>
      </c>
      <c r="AN7" s="97">
        <f t="shared" si="7"/>
        <v>34</v>
      </c>
      <c r="AP7" s="97" t="s">
        <v>14</v>
      </c>
      <c r="AQ7" s="97">
        <f t="shared" si="8"/>
        <v>76</v>
      </c>
      <c r="AR7" s="97">
        <f t="shared" si="8"/>
        <v>70</v>
      </c>
      <c r="AS7" s="97">
        <f t="shared" si="8"/>
        <v>206</v>
      </c>
      <c r="AT7" s="97">
        <f t="shared" si="8"/>
        <v>155</v>
      </c>
      <c r="AU7" s="97">
        <f t="shared" si="8"/>
        <v>176</v>
      </c>
      <c r="AV7" s="97">
        <f t="shared" si="8"/>
        <v>138</v>
      </c>
      <c r="AW7" s="97">
        <f t="shared" si="8"/>
        <v>34</v>
      </c>
    </row>
    <row r="8" spans="1:49" ht="15.75">
      <c r="A8" s="230"/>
      <c r="B8" s="4" t="s">
        <v>17</v>
      </c>
      <c r="C8" s="5"/>
      <c r="D8" s="5"/>
      <c r="E8" s="4">
        <v>6</v>
      </c>
      <c r="F8" s="4">
        <v>6</v>
      </c>
      <c r="G8" s="4">
        <v>15</v>
      </c>
      <c r="H8" s="4">
        <v>6</v>
      </c>
      <c r="I8" s="4">
        <v>5</v>
      </c>
      <c r="J8" s="4">
        <v>13</v>
      </c>
      <c r="K8" s="227"/>
      <c r="L8" s="4" t="s">
        <v>17</v>
      </c>
      <c r="M8" s="4">
        <v>13</v>
      </c>
      <c r="N8" s="4">
        <v>14</v>
      </c>
      <c r="O8" s="4">
        <v>7</v>
      </c>
      <c r="P8" s="4">
        <v>7</v>
      </c>
      <c r="Q8" s="4">
        <v>5</v>
      </c>
      <c r="R8" s="5"/>
      <c r="S8" s="5"/>
      <c r="T8" s="49"/>
      <c r="U8" s="60">
        <f>SUM(C8:J8,M8:T8)</f>
        <v>97</v>
      </c>
      <c r="W8" s="55" t="s">
        <v>61</v>
      </c>
      <c r="X8" s="48">
        <f>SUM(U22:U27)</f>
        <v>1528</v>
      </c>
      <c r="Z8" s="197" t="s">
        <v>62</v>
      </c>
      <c r="AA8" s="203"/>
      <c r="AB8" s="83"/>
      <c r="AD8" s="55" t="s">
        <v>61</v>
      </c>
      <c r="AE8" s="48">
        <f t="shared" si="0"/>
        <v>305.60000000000002</v>
      </c>
      <c r="AG8" s="79" t="s">
        <v>15</v>
      </c>
      <c r="AH8" s="79">
        <f t="shared" si="1"/>
        <v>288</v>
      </c>
      <c r="AI8" s="79">
        <f t="shared" si="2"/>
        <v>212</v>
      </c>
      <c r="AJ8" s="79">
        <f t="shared" si="3"/>
        <v>530</v>
      </c>
      <c r="AK8" s="79">
        <f t="shared" si="4"/>
        <v>406</v>
      </c>
      <c r="AL8" s="79">
        <f t="shared" si="5"/>
        <v>412</v>
      </c>
      <c r="AM8" s="79">
        <f t="shared" si="6"/>
        <v>392</v>
      </c>
      <c r="AN8" s="79">
        <f t="shared" si="7"/>
        <v>75</v>
      </c>
      <c r="AP8" s="79" t="s">
        <v>15</v>
      </c>
      <c r="AQ8" s="79">
        <f t="shared" si="8"/>
        <v>288</v>
      </c>
      <c r="AR8" s="79">
        <f t="shared" si="8"/>
        <v>212</v>
      </c>
      <c r="AS8" s="79">
        <f t="shared" si="8"/>
        <v>530</v>
      </c>
      <c r="AT8" s="79">
        <f t="shared" si="8"/>
        <v>406</v>
      </c>
      <c r="AU8" s="79">
        <f t="shared" si="8"/>
        <v>412</v>
      </c>
      <c r="AV8" s="79">
        <f t="shared" si="8"/>
        <v>392</v>
      </c>
      <c r="AW8" s="79">
        <f t="shared" si="8"/>
        <v>75</v>
      </c>
    </row>
    <row r="9" spans="1:49" ht="15">
      <c r="A9" s="230"/>
      <c r="B9" s="46" t="s">
        <v>18</v>
      </c>
      <c r="C9" s="64"/>
      <c r="D9" s="64"/>
      <c r="E9" s="46">
        <v>2</v>
      </c>
      <c r="F9" s="46">
        <v>5</v>
      </c>
      <c r="G9" s="46">
        <v>8</v>
      </c>
      <c r="H9" s="46">
        <v>12</v>
      </c>
      <c r="I9" s="46">
        <v>12</v>
      </c>
      <c r="J9" s="46">
        <v>11</v>
      </c>
      <c r="K9" s="227"/>
      <c r="L9" s="46" t="s">
        <v>18</v>
      </c>
      <c r="M9" s="46">
        <v>10</v>
      </c>
      <c r="N9" s="46">
        <v>14</v>
      </c>
      <c r="O9" s="46">
        <v>4</v>
      </c>
      <c r="P9" s="46">
        <v>7</v>
      </c>
      <c r="Q9" s="46">
        <v>5</v>
      </c>
      <c r="R9" s="64"/>
      <c r="S9" s="64"/>
      <c r="T9" s="65"/>
      <c r="U9" s="60">
        <f>SUM(C9:J9,M9:T9)</f>
        <v>90</v>
      </c>
      <c r="W9" s="55" t="s">
        <v>9</v>
      </c>
      <c r="X9" s="48">
        <f>SUM(U28:U33)</f>
        <v>1526</v>
      </c>
      <c r="AD9" s="55" t="s">
        <v>9</v>
      </c>
      <c r="AE9" s="48">
        <f t="shared" si="0"/>
        <v>305.2</v>
      </c>
      <c r="AG9" s="97" t="s">
        <v>16</v>
      </c>
      <c r="AH9" s="97">
        <f t="shared" si="1"/>
        <v>117</v>
      </c>
      <c r="AI9" s="97">
        <f t="shared" si="2"/>
        <v>111</v>
      </c>
      <c r="AJ9" s="97">
        <f t="shared" si="3"/>
        <v>181</v>
      </c>
      <c r="AK9" s="97">
        <f t="shared" si="4"/>
        <v>190</v>
      </c>
      <c r="AL9" s="97">
        <f t="shared" si="5"/>
        <v>195</v>
      </c>
      <c r="AM9" s="97">
        <f t="shared" si="6"/>
        <v>129</v>
      </c>
      <c r="AN9" s="97">
        <f t="shared" si="7"/>
        <v>25</v>
      </c>
      <c r="AP9" s="97" t="s">
        <v>16</v>
      </c>
      <c r="AQ9" s="97">
        <f t="shared" si="8"/>
        <v>117</v>
      </c>
      <c r="AR9" s="97">
        <f t="shared" si="8"/>
        <v>111</v>
      </c>
      <c r="AS9" s="97">
        <f t="shared" si="8"/>
        <v>181</v>
      </c>
      <c r="AT9" s="97">
        <f t="shared" si="8"/>
        <v>190</v>
      </c>
      <c r="AU9" s="97">
        <f t="shared" si="8"/>
        <v>195</v>
      </c>
      <c r="AV9" s="97">
        <f t="shared" si="8"/>
        <v>129</v>
      </c>
      <c r="AW9" s="97">
        <f t="shared" si="8"/>
        <v>25</v>
      </c>
    </row>
    <row r="10" spans="1:49" ht="15.75">
      <c r="A10" s="193" t="s">
        <v>6</v>
      </c>
      <c r="B10" s="63" t="s">
        <v>13</v>
      </c>
      <c r="C10" s="57"/>
      <c r="D10" s="57"/>
      <c r="E10" s="57"/>
      <c r="F10" s="63">
        <v>27</v>
      </c>
      <c r="G10" s="63">
        <v>39</v>
      </c>
      <c r="H10" s="63">
        <v>42</v>
      </c>
      <c r="I10" s="63">
        <v>38</v>
      </c>
      <c r="J10" s="63">
        <v>49</v>
      </c>
      <c r="K10" s="194" t="s">
        <v>6</v>
      </c>
      <c r="L10" s="63" t="s">
        <v>13</v>
      </c>
      <c r="M10" s="63">
        <v>42</v>
      </c>
      <c r="N10" s="63">
        <v>32</v>
      </c>
      <c r="O10" s="63">
        <v>33</v>
      </c>
      <c r="P10" s="63"/>
      <c r="Q10" s="57"/>
      <c r="R10" s="57"/>
      <c r="S10" s="57"/>
      <c r="T10" s="58"/>
      <c r="U10" s="60">
        <f t="shared" ref="U10:U45" si="9">SUM(C10:J10,M10:T10)</f>
        <v>302</v>
      </c>
      <c r="W10" s="55" t="s">
        <v>10</v>
      </c>
      <c r="X10" s="48">
        <f>SUM(U34:U39)</f>
        <v>1420</v>
      </c>
      <c r="Z10" s="197" t="s">
        <v>74</v>
      </c>
      <c r="AA10" s="203"/>
      <c r="AB10" s="83"/>
      <c r="AD10" s="55" t="s">
        <v>10</v>
      </c>
      <c r="AE10" s="48">
        <f t="shared" si="0"/>
        <v>284</v>
      </c>
      <c r="AG10" s="79" t="s">
        <v>17</v>
      </c>
      <c r="AH10" s="79">
        <f t="shared" si="1"/>
        <v>97</v>
      </c>
      <c r="AI10" s="79">
        <f t="shared" si="2"/>
        <v>76</v>
      </c>
      <c r="AJ10" s="79">
        <f t="shared" si="3"/>
        <v>168</v>
      </c>
      <c r="AK10" s="79">
        <f t="shared" si="4"/>
        <v>143</v>
      </c>
      <c r="AL10" s="79">
        <f t="shared" si="5"/>
        <v>155</v>
      </c>
      <c r="AM10" s="79">
        <f t="shared" si="6"/>
        <v>161</v>
      </c>
      <c r="AN10" s="79">
        <f t="shared" si="7"/>
        <v>25</v>
      </c>
      <c r="AP10" s="79" t="s">
        <v>17</v>
      </c>
      <c r="AQ10" s="79">
        <f t="shared" si="8"/>
        <v>97</v>
      </c>
      <c r="AR10" s="79">
        <f t="shared" si="8"/>
        <v>76</v>
      </c>
      <c r="AS10" s="79">
        <f t="shared" si="8"/>
        <v>168</v>
      </c>
      <c r="AT10" s="79">
        <f t="shared" si="8"/>
        <v>143</v>
      </c>
      <c r="AU10" s="79">
        <f t="shared" si="8"/>
        <v>155</v>
      </c>
      <c r="AV10" s="79">
        <f t="shared" si="8"/>
        <v>161</v>
      </c>
      <c r="AW10" s="79">
        <f t="shared" si="8"/>
        <v>25</v>
      </c>
    </row>
    <row r="11" spans="1:49" ht="15">
      <c r="A11" s="230"/>
      <c r="B11" s="6" t="s">
        <v>14</v>
      </c>
      <c r="C11" s="5"/>
      <c r="D11" s="5"/>
      <c r="E11" s="5"/>
      <c r="F11" s="6">
        <v>5</v>
      </c>
      <c r="G11" s="6">
        <v>10</v>
      </c>
      <c r="H11" s="6">
        <v>7</v>
      </c>
      <c r="I11" s="6">
        <v>5</v>
      </c>
      <c r="J11" s="6">
        <v>9</v>
      </c>
      <c r="K11" s="227"/>
      <c r="L11" s="6" t="s">
        <v>14</v>
      </c>
      <c r="M11" s="6">
        <v>13</v>
      </c>
      <c r="N11" s="6">
        <v>11</v>
      </c>
      <c r="O11" s="6">
        <v>10</v>
      </c>
      <c r="P11" s="6"/>
      <c r="Q11" s="5"/>
      <c r="R11" s="5"/>
      <c r="S11" s="5"/>
      <c r="T11" s="49"/>
      <c r="U11" s="60">
        <f t="shared" si="9"/>
        <v>70</v>
      </c>
      <c r="W11" s="81" t="s">
        <v>11</v>
      </c>
      <c r="X11" s="80">
        <f>SUM(U40:U45)</f>
        <v>301</v>
      </c>
      <c r="AD11" s="81" t="s">
        <v>11</v>
      </c>
      <c r="AE11" s="48">
        <f t="shared" si="0"/>
        <v>60.2</v>
      </c>
      <c r="AG11" s="97" t="s">
        <v>18</v>
      </c>
      <c r="AH11" s="97">
        <f t="shared" si="1"/>
        <v>90</v>
      </c>
      <c r="AI11" s="97">
        <f t="shared" si="2"/>
        <v>66</v>
      </c>
      <c r="AJ11" s="97">
        <f t="shared" si="3"/>
        <v>219</v>
      </c>
      <c r="AK11" s="97">
        <f t="shared" si="4"/>
        <v>153</v>
      </c>
      <c r="AL11" s="97">
        <f t="shared" si="5"/>
        <v>150</v>
      </c>
      <c r="AM11" s="97">
        <f t="shared" si="6"/>
        <v>165</v>
      </c>
      <c r="AN11" s="97">
        <f t="shared" si="7"/>
        <v>26</v>
      </c>
      <c r="AP11" s="97" t="s">
        <v>18</v>
      </c>
      <c r="AQ11" s="97">
        <f t="shared" si="8"/>
        <v>90</v>
      </c>
      <c r="AR11" s="97">
        <f t="shared" si="8"/>
        <v>66</v>
      </c>
      <c r="AS11" s="97">
        <f t="shared" si="8"/>
        <v>219</v>
      </c>
      <c r="AT11" s="97">
        <f t="shared" si="8"/>
        <v>153</v>
      </c>
      <c r="AU11" s="97">
        <f t="shared" si="8"/>
        <v>150</v>
      </c>
      <c r="AV11" s="97">
        <f t="shared" si="8"/>
        <v>165</v>
      </c>
      <c r="AW11" s="97">
        <f t="shared" si="8"/>
        <v>26</v>
      </c>
    </row>
    <row r="12" spans="1:49" ht="15">
      <c r="A12" s="230"/>
      <c r="B12" s="6" t="s">
        <v>15</v>
      </c>
      <c r="C12" s="5"/>
      <c r="D12" s="5"/>
      <c r="E12" s="5"/>
      <c r="F12" s="6">
        <v>17</v>
      </c>
      <c r="G12" s="6">
        <v>24</v>
      </c>
      <c r="H12" s="6">
        <v>20</v>
      </c>
      <c r="I12" s="6">
        <v>42</v>
      </c>
      <c r="J12" s="6">
        <v>29</v>
      </c>
      <c r="K12" s="227"/>
      <c r="L12" s="6" t="s">
        <v>15</v>
      </c>
      <c r="M12" s="6">
        <v>33</v>
      </c>
      <c r="N12" s="6">
        <v>25</v>
      </c>
      <c r="O12" s="6">
        <v>22</v>
      </c>
      <c r="P12" s="6"/>
      <c r="Q12" s="5"/>
      <c r="R12" s="5"/>
      <c r="S12" s="5"/>
      <c r="T12" s="49"/>
      <c r="U12" s="60">
        <f t="shared" si="9"/>
        <v>212</v>
      </c>
      <c r="W12" s="79" t="s">
        <v>63</v>
      </c>
      <c r="X12" s="82">
        <f>SUM(X5:X11)</f>
        <v>8516</v>
      </c>
      <c r="AD12" s="79" t="s">
        <v>40</v>
      </c>
      <c r="AE12" s="82">
        <f>AVERAGE(AE5:AE11)</f>
        <v>243.31428571428575</v>
      </c>
    </row>
    <row r="13" spans="1:49" ht="15">
      <c r="A13" s="230"/>
      <c r="B13" s="6" t="s">
        <v>16</v>
      </c>
      <c r="C13" s="5"/>
      <c r="D13" s="5"/>
      <c r="E13" s="5"/>
      <c r="F13" s="6">
        <v>10</v>
      </c>
      <c r="G13" s="6">
        <v>9</v>
      </c>
      <c r="H13" s="6">
        <v>13</v>
      </c>
      <c r="I13" s="6">
        <v>17</v>
      </c>
      <c r="J13" s="6">
        <v>15</v>
      </c>
      <c r="K13" s="227"/>
      <c r="L13" s="6" t="s">
        <v>16</v>
      </c>
      <c r="M13" s="6">
        <v>19</v>
      </c>
      <c r="N13" s="6">
        <v>20</v>
      </c>
      <c r="O13" s="6">
        <v>8</v>
      </c>
      <c r="P13" s="6"/>
      <c r="Q13" s="5"/>
      <c r="R13" s="5"/>
      <c r="S13" s="5"/>
      <c r="T13" s="49"/>
      <c r="U13" s="60">
        <f t="shared" si="9"/>
        <v>111</v>
      </c>
    </row>
    <row r="14" spans="1:49" ht="15">
      <c r="A14" s="230"/>
      <c r="B14" s="6" t="s">
        <v>17</v>
      </c>
      <c r="C14" s="5"/>
      <c r="D14" s="5"/>
      <c r="E14" s="5"/>
      <c r="F14" s="6">
        <v>5</v>
      </c>
      <c r="G14" s="6">
        <v>8</v>
      </c>
      <c r="H14" s="6">
        <v>5</v>
      </c>
      <c r="I14" s="6">
        <v>14</v>
      </c>
      <c r="J14" s="6">
        <v>14</v>
      </c>
      <c r="K14" s="227"/>
      <c r="L14" s="6" t="s">
        <v>17</v>
      </c>
      <c r="M14" s="6">
        <v>15</v>
      </c>
      <c r="N14" s="6">
        <v>7</v>
      </c>
      <c r="O14" s="6">
        <v>8</v>
      </c>
      <c r="P14" s="6"/>
      <c r="Q14" s="5"/>
      <c r="R14" s="5"/>
      <c r="S14" s="5"/>
      <c r="T14" s="49"/>
      <c r="U14" s="60">
        <f t="shared" si="9"/>
        <v>76</v>
      </c>
    </row>
    <row r="15" spans="1:49" ht="15">
      <c r="A15" s="230"/>
      <c r="B15" s="47" t="s">
        <v>18</v>
      </c>
      <c r="C15" s="64"/>
      <c r="D15" s="64"/>
      <c r="E15" s="64"/>
      <c r="F15" s="47">
        <v>4</v>
      </c>
      <c r="G15" s="47">
        <v>10</v>
      </c>
      <c r="H15" s="47">
        <v>7</v>
      </c>
      <c r="I15" s="47">
        <v>5</v>
      </c>
      <c r="J15" s="47">
        <v>9</v>
      </c>
      <c r="K15" s="227"/>
      <c r="L15" s="47" t="s">
        <v>18</v>
      </c>
      <c r="M15" s="47">
        <v>8</v>
      </c>
      <c r="N15" s="47">
        <v>11</v>
      </c>
      <c r="O15" s="47">
        <v>12</v>
      </c>
      <c r="P15" s="47"/>
      <c r="Q15" s="64"/>
      <c r="R15" s="64"/>
      <c r="S15" s="64"/>
      <c r="T15" s="65"/>
      <c r="U15" s="60">
        <f t="shared" si="9"/>
        <v>66</v>
      </c>
    </row>
    <row r="16" spans="1:49" ht="15">
      <c r="A16" s="195" t="s">
        <v>7</v>
      </c>
      <c r="B16" s="56" t="s">
        <v>13</v>
      </c>
      <c r="C16" s="56">
        <v>23</v>
      </c>
      <c r="D16" s="56">
        <v>23</v>
      </c>
      <c r="E16" s="56">
        <v>21</v>
      </c>
      <c r="F16" s="56">
        <v>34</v>
      </c>
      <c r="G16" s="56">
        <v>47</v>
      </c>
      <c r="H16" s="56">
        <v>36</v>
      </c>
      <c r="I16" s="56">
        <v>40</v>
      </c>
      <c r="J16" s="56">
        <v>31</v>
      </c>
      <c r="K16" s="196" t="s">
        <v>7</v>
      </c>
      <c r="L16" s="56" t="s">
        <v>13</v>
      </c>
      <c r="M16" s="56">
        <v>31</v>
      </c>
      <c r="N16" s="56">
        <v>29</v>
      </c>
      <c r="O16" s="56">
        <v>35</v>
      </c>
      <c r="P16" s="56">
        <v>46</v>
      </c>
      <c r="Q16" s="56">
        <v>45</v>
      </c>
      <c r="R16" s="56">
        <v>54</v>
      </c>
      <c r="S16" s="56">
        <v>40</v>
      </c>
      <c r="T16" s="67">
        <v>26</v>
      </c>
      <c r="U16" s="60">
        <f t="shared" si="9"/>
        <v>561</v>
      </c>
    </row>
    <row r="17" spans="1:33" ht="15">
      <c r="A17" s="230"/>
      <c r="B17" s="4" t="s">
        <v>14</v>
      </c>
      <c r="C17" s="4">
        <v>7</v>
      </c>
      <c r="D17" s="4">
        <v>8</v>
      </c>
      <c r="E17" s="4">
        <v>7</v>
      </c>
      <c r="F17" s="4">
        <v>13</v>
      </c>
      <c r="G17" s="4">
        <v>14</v>
      </c>
      <c r="H17" s="4">
        <v>18</v>
      </c>
      <c r="I17" s="4">
        <v>13</v>
      </c>
      <c r="J17" s="4">
        <v>14</v>
      </c>
      <c r="K17" s="227"/>
      <c r="L17" s="4" t="s">
        <v>14</v>
      </c>
      <c r="M17" s="4">
        <v>14</v>
      </c>
      <c r="N17" s="4">
        <v>14</v>
      </c>
      <c r="O17" s="4">
        <v>16</v>
      </c>
      <c r="P17" s="4">
        <v>18</v>
      </c>
      <c r="Q17" s="4">
        <v>14</v>
      </c>
      <c r="R17" s="4">
        <v>16</v>
      </c>
      <c r="S17" s="4">
        <v>13</v>
      </c>
      <c r="T17" s="50">
        <v>7</v>
      </c>
      <c r="U17" s="60">
        <f t="shared" si="9"/>
        <v>206</v>
      </c>
    </row>
    <row r="18" spans="1:33" ht="15">
      <c r="A18" s="230"/>
      <c r="B18" s="4" t="s">
        <v>15</v>
      </c>
      <c r="C18" s="4">
        <v>22</v>
      </c>
      <c r="D18" s="4">
        <v>20</v>
      </c>
      <c r="E18" s="4">
        <v>22</v>
      </c>
      <c r="F18" s="4">
        <v>23</v>
      </c>
      <c r="G18" s="4">
        <v>20</v>
      </c>
      <c r="H18" s="4">
        <v>28</v>
      </c>
      <c r="I18" s="4">
        <v>23</v>
      </c>
      <c r="J18" s="4">
        <v>36</v>
      </c>
      <c r="K18" s="227"/>
      <c r="L18" s="4" t="s">
        <v>15</v>
      </c>
      <c r="M18" s="4">
        <v>35</v>
      </c>
      <c r="N18" s="4">
        <v>31</v>
      </c>
      <c r="O18" s="4">
        <v>35</v>
      </c>
      <c r="P18" s="4">
        <v>47</v>
      </c>
      <c r="Q18" s="4">
        <v>46</v>
      </c>
      <c r="R18" s="4">
        <v>58</v>
      </c>
      <c r="S18" s="4">
        <v>51</v>
      </c>
      <c r="T18" s="50">
        <v>33</v>
      </c>
      <c r="U18" s="60">
        <f t="shared" si="9"/>
        <v>530</v>
      </c>
    </row>
    <row r="19" spans="1:33" ht="15">
      <c r="A19" s="230"/>
      <c r="B19" s="4" t="s">
        <v>16</v>
      </c>
      <c r="C19" s="4">
        <v>2</v>
      </c>
      <c r="D19" s="4">
        <v>8</v>
      </c>
      <c r="E19" s="4">
        <v>4</v>
      </c>
      <c r="F19" s="4">
        <v>13</v>
      </c>
      <c r="G19" s="4">
        <v>11</v>
      </c>
      <c r="H19" s="4">
        <v>21</v>
      </c>
      <c r="I19" s="4">
        <v>12</v>
      </c>
      <c r="J19" s="4">
        <v>7</v>
      </c>
      <c r="K19" s="227"/>
      <c r="L19" s="4" t="s">
        <v>16</v>
      </c>
      <c r="M19" s="4">
        <v>14</v>
      </c>
      <c r="N19" s="4">
        <v>12</v>
      </c>
      <c r="O19" s="4">
        <v>15</v>
      </c>
      <c r="P19" s="4">
        <v>8</v>
      </c>
      <c r="Q19" s="4">
        <v>15</v>
      </c>
      <c r="R19" s="4">
        <v>14</v>
      </c>
      <c r="S19" s="4">
        <v>15</v>
      </c>
      <c r="T19" s="50">
        <v>10</v>
      </c>
      <c r="U19" s="60">
        <f t="shared" si="9"/>
        <v>181</v>
      </c>
    </row>
    <row r="20" spans="1:33" ht="15">
      <c r="A20" s="230"/>
      <c r="B20" s="4" t="s">
        <v>17</v>
      </c>
      <c r="C20" s="4">
        <v>4</v>
      </c>
      <c r="D20" s="4">
        <v>8</v>
      </c>
      <c r="E20" s="4">
        <v>5</v>
      </c>
      <c r="F20" s="4">
        <v>4</v>
      </c>
      <c r="G20" s="4">
        <v>12</v>
      </c>
      <c r="H20" s="4">
        <v>14</v>
      </c>
      <c r="I20" s="4">
        <v>11</v>
      </c>
      <c r="J20" s="4">
        <v>8</v>
      </c>
      <c r="K20" s="227"/>
      <c r="L20" s="4" t="s">
        <v>17</v>
      </c>
      <c r="M20" s="4">
        <v>15</v>
      </c>
      <c r="N20" s="4">
        <v>21</v>
      </c>
      <c r="O20" s="4">
        <v>12</v>
      </c>
      <c r="P20" s="4">
        <v>14</v>
      </c>
      <c r="Q20" s="4">
        <v>10</v>
      </c>
      <c r="R20" s="4">
        <v>13</v>
      </c>
      <c r="S20" s="4">
        <v>10</v>
      </c>
      <c r="T20" s="50">
        <v>7</v>
      </c>
      <c r="U20" s="60">
        <f t="shared" si="9"/>
        <v>168</v>
      </c>
    </row>
    <row r="21" spans="1:33" ht="15">
      <c r="A21" s="230"/>
      <c r="B21" s="46" t="s">
        <v>18</v>
      </c>
      <c r="C21" s="46">
        <v>20</v>
      </c>
      <c r="D21" s="46">
        <v>10</v>
      </c>
      <c r="E21" s="46">
        <v>16</v>
      </c>
      <c r="F21" s="46">
        <v>6</v>
      </c>
      <c r="G21" s="46">
        <v>20</v>
      </c>
      <c r="H21" s="46">
        <v>24</v>
      </c>
      <c r="I21" s="46">
        <v>11</v>
      </c>
      <c r="J21" s="46">
        <v>7</v>
      </c>
      <c r="K21" s="227"/>
      <c r="L21" s="46" t="s">
        <v>18</v>
      </c>
      <c r="M21" s="46">
        <v>12</v>
      </c>
      <c r="N21" s="46">
        <v>10</v>
      </c>
      <c r="O21" s="46">
        <v>10</v>
      </c>
      <c r="P21" s="46">
        <v>21</v>
      </c>
      <c r="Q21" s="46">
        <v>16</v>
      </c>
      <c r="R21" s="46">
        <v>10</v>
      </c>
      <c r="S21" s="46">
        <v>21</v>
      </c>
      <c r="T21" s="69">
        <v>5</v>
      </c>
      <c r="U21" s="60">
        <f t="shared" si="9"/>
        <v>219</v>
      </c>
    </row>
    <row r="22" spans="1:33" ht="15">
      <c r="A22" s="193" t="s">
        <v>8</v>
      </c>
      <c r="B22" s="63" t="s">
        <v>13</v>
      </c>
      <c r="C22" s="63">
        <v>24</v>
      </c>
      <c r="D22" s="63">
        <v>21</v>
      </c>
      <c r="E22" s="63">
        <v>22</v>
      </c>
      <c r="F22" s="63">
        <v>24</v>
      </c>
      <c r="G22" s="63">
        <v>42</v>
      </c>
      <c r="H22" s="63">
        <v>36</v>
      </c>
      <c r="I22" s="63">
        <v>32</v>
      </c>
      <c r="J22" s="63">
        <v>31</v>
      </c>
      <c r="K22" s="194" t="s">
        <v>8</v>
      </c>
      <c r="L22" s="63" t="s">
        <v>13</v>
      </c>
      <c r="M22" s="63">
        <v>27</v>
      </c>
      <c r="N22" s="63">
        <v>22</v>
      </c>
      <c r="O22" s="63">
        <v>37</v>
      </c>
      <c r="P22" s="63">
        <v>31</v>
      </c>
      <c r="Q22" s="63">
        <v>43</v>
      </c>
      <c r="R22" s="63">
        <v>49</v>
      </c>
      <c r="S22" s="63">
        <v>26</v>
      </c>
      <c r="T22" s="68">
        <v>14</v>
      </c>
      <c r="U22" s="60">
        <f t="shared" si="9"/>
        <v>481</v>
      </c>
    </row>
    <row r="23" spans="1:33" ht="15">
      <c r="A23" s="230"/>
      <c r="B23" s="6" t="s">
        <v>14</v>
      </c>
      <c r="C23" s="6">
        <v>6</v>
      </c>
      <c r="D23" s="6">
        <v>7</v>
      </c>
      <c r="E23" s="6">
        <v>9</v>
      </c>
      <c r="F23" s="6">
        <v>10</v>
      </c>
      <c r="G23" s="6">
        <v>16</v>
      </c>
      <c r="H23" s="6">
        <v>20</v>
      </c>
      <c r="I23" s="6">
        <v>10</v>
      </c>
      <c r="J23" s="6">
        <v>9</v>
      </c>
      <c r="K23" s="227"/>
      <c r="L23" s="6" t="s">
        <v>14</v>
      </c>
      <c r="M23" s="6">
        <v>13</v>
      </c>
      <c r="N23" s="6">
        <v>8</v>
      </c>
      <c r="O23" s="6">
        <v>13</v>
      </c>
      <c r="P23" s="6">
        <v>9</v>
      </c>
      <c r="Q23" s="6">
        <v>11</v>
      </c>
      <c r="R23" s="6">
        <v>8</v>
      </c>
      <c r="S23" s="6">
        <v>4</v>
      </c>
      <c r="T23" s="51">
        <v>2</v>
      </c>
      <c r="U23" s="60">
        <f t="shared" si="9"/>
        <v>155</v>
      </c>
    </row>
    <row r="24" spans="1:33" ht="15">
      <c r="A24" s="230"/>
      <c r="B24" s="6" t="s">
        <v>15</v>
      </c>
      <c r="C24" s="6">
        <v>26</v>
      </c>
      <c r="D24" s="6">
        <v>19</v>
      </c>
      <c r="E24" s="6">
        <v>21</v>
      </c>
      <c r="F24" s="6">
        <v>16</v>
      </c>
      <c r="G24" s="6">
        <v>14</v>
      </c>
      <c r="H24" s="6">
        <v>35</v>
      </c>
      <c r="I24" s="6">
        <v>32</v>
      </c>
      <c r="J24" s="6">
        <v>30</v>
      </c>
      <c r="K24" s="227"/>
      <c r="L24" s="6" t="s">
        <v>15</v>
      </c>
      <c r="M24" s="6">
        <v>17</v>
      </c>
      <c r="N24" s="6">
        <v>14</v>
      </c>
      <c r="O24" s="6">
        <v>31</v>
      </c>
      <c r="P24" s="6">
        <v>36</v>
      </c>
      <c r="Q24" s="6">
        <v>45</v>
      </c>
      <c r="R24" s="6">
        <v>41</v>
      </c>
      <c r="S24" s="6">
        <v>19</v>
      </c>
      <c r="T24" s="51">
        <v>10</v>
      </c>
      <c r="U24" s="60">
        <f t="shared" si="9"/>
        <v>406</v>
      </c>
    </row>
    <row r="25" spans="1:33" ht="15">
      <c r="A25" s="230"/>
      <c r="B25" s="6" t="s">
        <v>16</v>
      </c>
      <c r="C25" s="6">
        <v>4</v>
      </c>
      <c r="D25" s="6">
        <v>7</v>
      </c>
      <c r="E25" s="6">
        <v>6</v>
      </c>
      <c r="F25" s="6">
        <v>9</v>
      </c>
      <c r="G25" s="6">
        <v>13</v>
      </c>
      <c r="H25" s="6">
        <v>24</v>
      </c>
      <c r="I25" s="6">
        <v>17</v>
      </c>
      <c r="J25" s="6">
        <v>7</v>
      </c>
      <c r="K25" s="227"/>
      <c r="L25" s="6" t="s">
        <v>16</v>
      </c>
      <c r="M25" s="6">
        <v>17</v>
      </c>
      <c r="N25" s="6">
        <v>16</v>
      </c>
      <c r="O25" s="6">
        <v>12</v>
      </c>
      <c r="P25" s="6">
        <v>11</v>
      </c>
      <c r="Q25" s="6">
        <v>10</v>
      </c>
      <c r="R25" s="6">
        <v>26</v>
      </c>
      <c r="S25" s="6">
        <v>9</v>
      </c>
      <c r="T25" s="51">
        <v>2</v>
      </c>
      <c r="U25" s="60">
        <f t="shared" si="9"/>
        <v>190</v>
      </c>
    </row>
    <row r="26" spans="1:33" ht="15">
      <c r="A26" s="230"/>
      <c r="B26" s="6" t="s">
        <v>17</v>
      </c>
      <c r="C26" s="6">
        <v>9</v>
      </c>
      <c r="D26" s="6">
        <v>8</v>
      </c>
      <c r="E26" s="6">
        <v>7</v>
      </c>
      <c r="F26" s="6">
        <v>8</v>
      </c>
      <c r="G26" s="6">
        <v>10</v>
      </c>
      <c r="H26" s="6">
        <v>7</v>
      </c>
      <c r="I26" s="6">
        <v>9</v>
      </c>
      <c r="J26" s="6">
        <v>7</v>
      </c>
      <c r="K26" s="227"/>
      <c r="L26" s="6" t="s">
        <v>17</v>
      </c>
      <c r="M26" s="6">
        <v>6</v>
      </c>
      <c r="N26" s="6">
        <v>12</v>
      </c>
      <c r="O26" s="6">
        <v>14</v>
      </c>
      <c r="P26" s="6">
        <v>14</v>
      </c>
      <c r="Q26" s="6">
        <v>15</v>
      </c>
      <c r="R26" s="6">
        <v>13</v>
      </c>
      <c r="S26" s="6">
        <v>2</v>
      </c>
      <c r="T26" s="51">
        <v>2</v>
      </c>
      <c r="U26" s="60">
        <f t="shared" si="9"/>
        <v>143</v>
      </c>
      <c r="AG26" s="95"/>
    </row>
    <row r="27" spans="1:33" ht="15">
      <c r="A27" s="230"/>
      <c r="B27" s="47" t="s">
        <v>18</v>
      </c>
      <c r="C27" s="47">
        <v>11</v>
      </c>
      <c r="D27" s="47">
        <v>5</v>
      </c>
      <c r="E27" s="47">
        <v>8</v>
      </c>
      <c r="F27" s="47">
        <v>7</v>
      </c>
      <c r="G27" s="47">
        <v>12</v>
      </c>
      <c r="H27" s="47">
        <v>14</v>
      </c>
      <c r="I27" s="47">
        <v>12</v>
      </c>
      <c r="J27" s="47">
        <v>10</v>
      </c>
      <c r="K27" s="227"/>
      <c r="L27" s="47" t="s">
        <v>18</v>
      </c>
      <c r="M27" s="47">
        <v>4</v>
      </c>
      <c r="N27" s="47">
        <v>7</v>
      </c>
      <c r="O27" s="47">
        <v>13</v>
      </c>
      <c r="P27" s="47">
        <v>11</v>
      </c>
      <c r="Q27" s="47">
        <v>21</v>
      </c>
      <c r="R27" s="47">
        <v>11</v>
      </c>
      <c r="S27" s="47">
        <v>4</v>
      </c>
      <c r="T27" s="70">
        <v>3</v>
      </c>
      <c r="U27" s="60">
        <f t="shared" si="9"/>
        <v>153</v>
      </c>
      <c r="AG27" s="96"/>
    </row>
    <row r="28" spans="1:33" ht="15">
      <c r="A28" s="195" t="s">
        <v>9</v>
      </c>
      <c r="B28" s="56" t="s">
        <v>13</v>
      </c>
      <c r="C28" s="56">
        <v>27</v>
      </c>
      <c r="D28" s="56">
        <v>24</v>
      </c>
      <c r="E28" s="56">
        <v>17</v>
      </c>
      <c r="F28" s="56">
        <v>30</v>
      </c>
      <c r="G28" s="56">
        <v>39</v>
      </c>
      <c r="H28" s="56">
        <v>26</v>
      </c>
      <c r="I28" s="56">
        <v>25</v>
      </c>
      <c r="J28" s="56">
        <v>26</v>
      </c>
      <c r="K28" s="196" t="s">
        <v>9</v>
      </c>
      <c r="L28" s="56" t="s">
        <v>13</v>
      </c>
      <c r="M28" s="56">
        <v>19</v>
      </c>
      <c r="N28" s="56">
        <v>14</v>
      </c>
      <c r="O28" s="56">
        <v>21</v>
      </c>
      <c r="P28" s="56">
        <v>38</v>
      </c>
      <c r="Q28" s="56">
        <v>44</v>
      </c>
      <c r="R28" s="56">
        <v>38</v>
      </c>
      <c r="S28" s="56">
        <v>36</v>
      </c>
      <c r="T28" s="67">
        <v>14</v>
      </c>
      <c r="U28" s="60">
        <f t="shared" si="9"/>
        <v>438</v>
      </c>
      <c r="AG28" s="96"/>
    </row>
    <row r="29" spans="1:33" ht="15">
      <c r="A29" s="230"/>
      <c r="B29" s="4" t="s">
        <v>14</v>
      </c>
      <c r="C29" s="4">
        <v>8</v>
      </c>
      <c r="D29" s="4">
        <v>6</v>
      </c>
      <c r="E29" s="4">
        <v>13</v>
      </c>
      <c r="F29" s="4">
        <v>17</v>
      </c>
      <c r="G29" s="4">
        <v>19</v>
      </c>
      <c r="H29" s="4">
        <v>18</v>
      </c>
      <c r="I29" s="4">
        <v>15</v>
      </c>
      <c r="J29" s="4">
        <v>17</v>
      </c>
      <c r="K29" s="227"/>
      <c r="L29" s="4" t="s">
        <v>14</v>
      </c>
      <c r="M29" s="4">
        <v>12</v>
      </c>
      <c r="N29" s="4">
        <v>11</v>
      </c>
      <c r="O29" s="4">
        <v>12</v>
      </c>
      <c r="P29" s="4">
        <v>10</v>
      </c>
      <c r="Q29" s="4">
        <v>6</v>
      </c>
      <c r="R29" s="4">
        <v>5</v>
      </c>
      <c r="S29" s="4">
        <v>3</v>
      </c>
      <c r="T29" s="50">
        <v>4</v>
      </c>
      <c r="U29" s="60">
        <f t="shared" si="9"/>
        <v>176</v>
      </c>
      <c r="AG29" s="96"/>
    </row>
    <row r="30" spans="1:33" ht="15">
      <c r="A30" s="230"/>
      <c r="B30" s="4" t="s">
        <v>15</v>
      </c>
      <c r="C30" s="4">
        <v>18</v>
      </c>
      <c r="D30" s="4">
        <v>28</v>
      </c>
      <c r="E30" s="4">
        <v>26</v>
      </c>
      <c r="F30" s="4">
        <v>26</v>
      </c>
      <c r="G30" s="4">
        <v>25</v>
      </c>
      <c r="H30" s="4">
        <v>23</v>
      </c>
      <c r="I30" s="4">
        <v>25</v>
      </c>
      <c r="J30" s="4">
        <v>28</v>
      </c>
      <c r="K30" s="227"/>
      <c r="L30" s="4" t="s">
        <v>15</v>
      </c>
      <c r="M30" s="4">
        <v>21</v>
      </c>
      <c r="N30" s="4">
        <v>16</v>
      </c>
      <c r="O30" s="4">
        <v>26</v>
      </c>
      <c r="P30" s="4">
        <v>34</v>
      </c>
      <c r="Q30" s="4">
        <v>24</v>
      </c>
      <c r="R30" s="4">
        <v>35</v>
      </c>
      <c r="S30" s="4">
        <v>39</v>
      </c>
      <c r="T30" s="50">
        <v>18</v>
      </c>
      <c r="U30" s="60">
        <f t="shared" si="9"/>
        <v>412</v>
      </c>
      <c r="AG30" s="96"/>
    </row>
    <row r="31" spans="1:33" ht="15">
      <c r="A31" s="230"/>
      <c r="B31" s="4" t="s">
        <v>16</v>
      </c>
      <c r="C31" s="4">
        <v>3</v>
      </c>
      <c r="D31" s="4">
        <v>5</v>
      </c>
      <c r="E31" s="4">
        <v>14</v>
      </c>
      <c r="F31" s="4">
        <v>13</v>
      </c>
      <c r="G31" s="4">
        <v>26</v>
      </c>
      <c r="H31" s="4">
        <v>15</v>
      </c>
      <c r="I31" s="4">
        <v>13</v>
      </c>
      <c r="J31" s="4">
        <v>12</v>
      </c>
      <c r="K31" s="227"/>
      <c r="L31" s="4" t="s">
        <v>16</v>
      </c>
      <c r="M31" s="4">
        <v>13</v>
      </c>
      <c r="N31" s="4">
        <v>9</v>
      </c>
      <c r="O31" s="4">
        <v>11</v>
      </c>
      <c r="P31" s="4">
        <v>18</v>
      </c>
      <c r="Q31" s="4">
        <v>12</v>
      </c>
      <c r="R31" s="4">
        <v>15</v>
      </c>
      <c r="S31" s="4">
        <v>9</v>
      </c>
      <c r="T31" s="50">
        <v>7</v>
      </c>
      <c r="U31" s="60">
        <f t="shared" si="9"/>
        <v>195</v>
      </c>
      <c r="AG31" s="96"/>
    </row>
    <row r="32" spans="1:33" ht="15">
      <c r="A32" s="230"/>
      <c r="B32" s="4" t="s">
        <v>17</v>
      </c>
      <c r="C32" s="4">
        <v>7</v>
      </c>
      <c r="D32" s="4">
        <v>12</v>
      </c>
      <c r="E32" s="4">
        <v>10</v>
      </c>
      <c r="F32" s="4">
        <v>8</v>
      </c>
      <c r="G32" s="4">
        <v>17</v>
      </c>
      <c r="H32" s="4">
        <v>14</v>
      </c>
      <c r="I32" s="4">
        <v>10</v>
      </c>
      <c r="J32" s="4">
        <v>7</v>
      </c>
      <c r="K32" s="227"/>
      <c r="L32" s="4" t="s">
        <v>17</v>
      </c>
      <c r="M32" s="4">
        <v>3</v>
      </c>
      <c r="N32" s="4">
        <v>10</v>
      </c>
      <c r="O32" s="4">
        <v>7</v>
      </c>
      <c r="P32" s="4">
        <v>13</v>
      </c>
      <c r="Q32" s="4">
        <v>13</v>
      </c>
      <c r="R32" s="4">
        <v>9</v>
      </c>
      <c r="S32" s="4">
        <v>12</v>
      </c>
      <c r="T32" s="50">
        <v>3</v>
      </c>
      <c r="U32" s="60">
        <f t="shared" si="9"/>
        <v>155</v>
      </c>
      <c r="AG32" s="96"/>
    </row>
    <row r="33" spans="1:33" ht="15">
      <c r="A33" s="230"/>
      <c r="B33" s="46" t="s">
        <v>18</v>
      </c>
      <c r="C33" s="46">
        <v>14</v>
      </c>
      <c r="D33" s="46">
        <v>8</v>
      </c>
      <c r="E33" s="46">
        <v>6</v>
      </c>
      <c r="F33" s="46">
        <v>6</v>
      </c>
      <c r="G33" s="46">
        <v>14</v>
      </c>
      <c r="H33" s="46">
        <v>14</v>
      </c>
      <c r="I33" s="46">
        <v>9</v>
      </c>
      <c r="J33" s="46">
        <v>9</v>
      </c>
      <c r="K33" s="227"/>
      <c r="L33" s="46" t="s">
        <v>18</v>
      </c>
      <c r="M33" s="46">
        <v>10</v>
      </c>
      <c r="N33" s="46">
        <v>5</v>
      </c>
      <c r="O33" s="46">
        <v>6</v>
      </c>
      <c r="P33" s="46">
        <v>7</v>
      </c>
      <c r="Q33" s="46">
        <v>12</v>
      </c>
      <c r="R33" s="46">
        <v>18</v>
      </c>
      <c r="S33" s="46">
        <v>7</v>
      </c>
      <c r="T33" s="69">
        <v>5</v>
      </c>
      <c r="U33" s="60">
        <f t="shared" si="9"/>
        <v>150</v>
      </c>
      <c r="AG33" s="95"/>
    </row>
    <row r="34" spans="1:33" ht="15">
      <c r="A34" s="193" t="s">
        <v>10</v>
      </c>
      <c r="B34" s="63" t="s">
        <v>13</v>
      </c>
      <c r="C34" s="99">
        <v>25</v>
      </c>
      <c r="D34" s="99">
        <v>20</v>
      </c>
      <c r="E34" s="99">
        <v>21</v>
      </c>
      <c r="F34" s="99">
        <v>30</v>
      </c>
      <c r="G34" s="99">
        <v>46</v>
      </c>
      <c r="H34" s="99">
        <v>40</v>
      </c>
      <c r="I34" s="99">
        <v>38</v>
      </c>
      <c r="J34" s="99">
        <v>27</v>
      </c>
      <c r="K34" s="194" t="s">
        <v>10</v>
      </c>
      <c r="L34" s="63" t="s">
        <v>13</v>
      </c>
      <c r="M34" s="99">
        <v>12</v>
      </c>
      <c r="N34" s="99">
        <v>20</v>
      </c>
      <c r="O34" s="99">
        <v>21</v>
      </c>
      <c r="P34" s="99">
        <v>40</v>
      </c>
      <c r="Q34" s="99">
        <v>41</v>
      </c>
      <c r="R34" s="99">
        <v>27</v>
      </c>
      <c r="S34" s="99">
        <v>20</v>
      </c>
      <c r="T34" s="102">
        <v>7</v>
      </c>
      <c r="U34" s="60">
        <f t="shared" si="9"/>
        <v>435</v>
      </c>
      <c r="AG34" s="96"/>
    </row>
    <row r="35" spans="1:33" ht="15">
      <c r="A35" s="230"/>
      <c r="B35" s="6" t="s">
        <v>14</v>
      </c>
      <c r="C35" s="100">
        <v>6</v>
      </c>
      <c r="D35" s="100">
        <v>5</v>
      </c>
      <c r="E35" s="100">
        <v>7</v>
      </c>
      <c r="F35" s="100">
        <v>10</v>
      </c>
      <c r="G35" s="100">
        <v>14</v>
      </c>
      <c r="H35" s="100">
        <v>16</v>
      </c>
      <c r="I35" s="100">
        <v>15</v>
      </c>
      <c r="J35" s="100">
        <v>12</v>
      </c>
      <c r="K35" s="227"/>
      <c r="L35" s="6" t="s">
        <v>14</v>
      </c>
      <c r="M35" s="100">
        <v>5</v>
      </c>
      <c r="N35" s="100">
        <v>7</v>
      </c>
      <c r="O35" s="100">
        <v>8</v>
      </c>
      <c r="P35" s="100">
        <v>10</v>
      </c>
      <c r="Q35" s="100">
        <v>6</v>
      </c>
      <c r="R35" s="100">
        <v>8</v>
      </c>
      <c r="S35" s="100">
        <v>7</v>
      </c>
      <c r="T35" s="103">
        <v>2</v>
      </c>
      <c r="U35" s="60">
        <f t="shared" si="9"/>
        <v>138</v>
      </c>
      <c r="AG35" s="96"/>
    </row>
    <row r="36" spans="1:33" ht="15">
      <c r="A36" s="230"/>
      <c r="B36" s="6" t="s">
        <v>15</v>
      </c>
      <c r="C36" s="100">
        <v>18</v>
      </c>
      <c r="D36" s="100">
        <v>19</v>
      </c>
      <c r="E36" s="100">
        <v>22</v>
      </c>
      <c r="F36" s="100">
        <v>21</v>
      </c>
      <c r="G36" s="100">
        <v>27</v>
      </c>
      <c r="H36" s="100">
        <v>25</v>
      </c>
      <c r="I36" s="100">
        <v>34</v>
      </c>
      <c r="J36" s="100">
        <v>25</v>
      </c>
      <c r="K36" s="227"/>
      <c r="L36" s="6" t="s">
        <v>15</v>
      </c>
      <c r="M36" s="100">
        <v>18</v>
      </c>
      <c r="N36" s="100">
        <v>24</v>
      </c>
      <c r="O36" s="100">
        <v>30</v>
      </c>
      <c r="P36" s="100">
        <v>37</v>
      </c>
      <c r="Q36" s="100">
        <v>28</v>
      </c>
      <c r="R36" s="100">
        <v>25</v>
      </c>
      <c r="S36" s="100">
        <v>22</v>
      </c>
      <c r="T36" s="103">
        <v>17</v>
      </c>
      <c r="U36" s="60">
        <f t="shared" si="9"/>
        <v>392</v>
      </c>
      <c r="AG36" s="96"/>
    </row>
    <row r="37" spans="1:33" ht="15">
      <c r="A37" s="230"/>
      <c r="B37" s="6" t="s">
        <v>16</v>
      </c>
      <c r="C37" s="100">
        <v>7</v>
      </c>
      <c r="D37" s="100">
        <v>5</v>
      </c>
      <c r="E37" s="100">
        <v>8</v>
      </c>
      <c r="F37" s="100">
        <v>9</v>
      </c>
      <c r="G37" s="100">
        <v>17</v>
      </c>
      <c r="H37" s="100">
        <v>14</v>
      </c>
      <c r="I37" s="100">
        <v>10</v>
      </c>
      <c r="J37" s="100">
        <v>7</v>
      </c>
      <c r="K37" s="227"/>
      <c r="L37" s="6" t="s">
        <v>16</v>
      </c>
      <c r="M37" s="100">
        <v>6</v>
      </c>
      <c r="N37" s="100">
        <v>5</v>
      </c>
      <c r="O37" s="100">
        <v>4</v>
      </c>
      <c r="P37" s="100">
        <v>13</v>
      </c>
      <c r="Q37" s="100">
        <v>9</v>
      </c>
      <c r="R37" s="100">
        <v>7</v>
      </c>
      <c r="S37" s="100">
        <v>6</v>
      </c>
      <c r="T37" s="103">
        <v>2</v>
      </c>
      <c r="U37" s="60">
        <f t="shared" si="9"/>
        <v>129</v>
      </c>
      <c r="AG37" s="96"/>
    </row>
    <row r="38" spans="1:33" ht="15">
      <c r="A38" s="230"/>
      <c r="B38" s="6" t="s">
        <v>17</v>
      </c>
      <c r="C38" s="100">
        <v>4</v>
      </c>
      <c r="D38" s="100">
        <v>6</v>
      </c>
      <c r="E38" s="100">
        <v>5</v>
      </c>
      <c r="F38" s="100">
        <v>7</v>
      </c>
      <c r="G38" s="100">
        <v>31</v>
      </c>
      <c r="H38" s="100">
        <v>21</v>
      </c>
      <c r="I38" s="100">
        <v>11</v>
      </c>
      <c r="J38" s="100">
        <v>11</v>
      </c>
      <c r="K38" s="227"/>
      <c r="L38" s="6" t="s">
        <v>17</v>
      </c>
      <c r="M38" s="100">
        <v>4</v>
      </c>
      <c r="N38" s="100">
        <v>3</v>
      </c>
      <c r="O38" s="100">
        <v>9</v>
      </c>
      <c r="P38" s="100">
        <v>5</v>
      </c>
      <c r="Q38" s="100">
        <v>17</v>
      </c>
      <c r="R38" s="100">
        <v>15</v>
      </c>
      <c r="S38" s="100">
        <v>8</v>
      </c>
      <c r="T38" s="103">
        <v>4</v>
      </c>
      <c r="U38" s="60">
        <f t="shared" si="9"/>
        <v>161</v>
      </c>
      <c r="AG38" s="96"/>
    </row>
    <row r="39" spans="1:33" ht="15">
      <c r="A39" s="230"/>
      <c r="B39" s="47" t="s">
        <v>18</v>
      </c>
      <c r="C39" s="101">
        <v>15</v>
      </c>
      <c r="D39" s="101">
        <v>4</v>
      </c>
      <c r="E39" s="101">
        <v>8</v>
      </c>
      <c r="F39" s="101">
        <v>9</v>
      </c>
      <c r="G39" s="101">
        <v>15</v>
      </c>
      <c r="H39" s="101">
        <v>10</v>
      </c>
      <c r="I39" s="101">
        <v>19</v>
      </c>
      <c r="J39" s="101">
        <v>10</v>
      </c>
      <c r="K39" s="227"/>
      <c r="L39" s="47" t="s">
        <v>18</v>
      </c>
      <c r="M39" s="101">
        <v>8</v>
      </c>
      <c r="N39" s="101">
        <v>7</v>
      </c>
      <c r="O39" s="101">
        <v>8</v>
      </c>
      <c r="P39" s="101">
        <v>7</v>
      </c>
      <c r="Q39" s="101">
        <v>14</v>
      </c>
      <c r="R39" s="101">
        <v>18</v>
      </c>
      <c r="S39" s="101">
        <v>9</v>
      </c>
      <c r="T39" s="104">
        <v>4</v>
      </c>
      <c r="U39" s="60">
        <f t="shared" si="9"/>
        <v>165</v>
      </c>
      <c r="AG39" s="96"/>
    </row>
    <row r="40" spans="1:33" ht="15">
      <c r="A40" s="195" t="s">
        <v>11</v>
      </c>
      <c r="B40" s="56" t="s">
        <v>13</v>
      </c>
      <c r="C40" s="162">
        <v>10</v>
      </c>
      <c r="D40" s="162">
        <v>22</v>
      </c>
      <c r="E40" s="162">
        <v>34</v>
      </c>
      <c r="F40" s="162"/>
      <c r="G40" s="162">
        <v>50</v>
      </c>
      <c r="H40" s="162"/>
      <c r="I40" s="162"/>
      <c r="J40" s="162"/>
      <c r="K40" s="196" t="s">
        <v>11</v>
      </c>
      <c r="L40" s="56" t="s">
        <v>13</v>
      </c>
      <c r="M40" s="162"/>
      <c r="N40" s="162"/>
      <c r="O40" s="162"/>
      <c r="P40" s="162"/>
      <c r="Q40" s="162"/>
      <c r="R40" s="162"/>
      <c r="S40" s="162"/>
      <c r="T40" s="165"/>
      <c r="U40" s="60">
        <f t="shared" si="9"/>
        <v>116</v>
      </c>
      <c r="AG40" s="95"/>
    </row>
    <row r="41" spans="1:33" ht="15">
      <c r="A41" s="230"/>
      <c r="B41" s="4" t="s">
        <v>14</v>
      </c>
      <c r="C41" s="163">
        <v>5</v>
      </c>
      <c r="D41" s="163">
        <v>3</v>
      </c>
      <c r="E41" s="163">
        <v>12</v>
      </c>
      <c r="F41" s="163"/>
      <c r="G41" s="163">
        <v>14</v>
      </c>
      <c r="H41" s="163"/>
      <c r="I41" s="163"/>
      <c r="J41" s="163"/>
      <c r="K41" s="227"/>
      <c r="L41" s="4" t="s">
        <v>14</v>
      </c>
      <c r="M41" s="163"/>
      <c r="N41" s="163"/>
      <c r="O41" s="163"/>
      <c r="P41" s="163"/>
      <c r="Q41" s="163"/>
      <c r="R41" s="163"/>
      <c r="S41" s="163"/>
      <c r="T41" s="166"/>
      <c r="U41" s="60">
        <f t="shared" si="9"/>
        <v>34</v>
      </c>
      <c r="AG41" s="96"/>
    </row>
    <row r="42" spans="1:33" ht="15">
      <c r="A42" s="230"/>
      <c r="B42" s="4" t="s">
        <v>15</v>
      </c>
      <c r="C42" s="163">
        <v>11</v>
      </c>
      <c r="D42" s="163">
        <v>15</v>
      </c>
      <c r="E42" s="163">
        <v>18</v>
      </c>
      <c r="F42" s="163"/>
      <c r="G42" s="163">
        <v>31</v>
      </c>
      <c r="H42" s="163"/>
      <c r="I42" s="163"/>
      <c r="J42" s="163"/>
      <c r="K42" s="227"/>
      <c r="L42" s="4" t="s">
        <v>15</v>
      </c>
      <c r="M42" s="163"/>
      <c r="N42" s="163"/>
      <c r="O42" s="163"/>
      <c r="P42" s="163"/>
      <c r="Q42" s="163"/>
      <c r="R42" s="163"/>
      <c r="S42" s="163"/>
      <c r="T42" s="166"/>
      <c r="U42" s="60">
        <f t="shared" si="9"/>
        <v>75</v>
      </c>
      <c r="AG42" s="96"/>
    </row>
    <row r="43" spans="1:33" ht="15">
      <c r="A43" s="230"/>
      <c r="B43" s="4" t="s">
        <v>16</v>
      </c>
      <c r="C43" s="163">
        <v>1</v>
      </c>
      <c r="D43" s="163">
        <v>6</v>
      </c>
      <c r="E43" s="163">
        <v>8</v>
      </c>
      <c r="F43" s="163"/>
      <c r="G43" s="163">
        <v>10</v>
      </c>
      <c r="H43" s="163"/>
      <c r="I43" s="163"/>
      <c r="J43" s="163"/>
      <c r="K43" s="227"/>
      <c r="L43" s="4" t="s">
        <v>16</v>
      </c>
      <c r="M43" s="163"/>
      <c r="N43" s="163"/>
      <c r="O43" s="163"/>
      <c r="P43" s="163"/>
      <c r="Q43" s="163"/>
      <c r="R43" s="163"/>
      <c r="S43" s="163"/>
      <c r="T43" s="166"/>
      <c r="U43" s="60">
        <f t="shared" si="9"/>
        <v>25</v>
      </c>
      <c r="AG43" s="96"/>
    </row>
    <row r="44" spans="1:33" ht="15">
      <c r="A44" s="230"/>
      <c r="B44" s="4" t="s">
        <v>17</v>
      </c>
      <c r="C44" s="163">
        <v>1</v>
      </c>
      <c r="D44" s="163">
        <v>8</v>
      </c>
      <c r="E44" s="163">
        <v>6</v>
      </c>
      <c r="F44" s="163"/>
      <c r="G44" s="163">
        <v>10</v>
      </c>
      <c r="H44" s="163"/>
      <c r="I44" s="163"/>
      <c r="J44" s="163"/>
      <c r="K44" s="227"/>
      <c r="L44" s="4" t="s">
        <v>17</v>
      </c>
      <c r="M44" s="163"/>
      <c r="N44" s="163"/>
      <c r="O44" s="163"/>
      <c r="P44" s="163"/>
      <c r="Q44" s="163"/>
      <c r="R44" s="163"/>
      <c r="S44" s="163"/>
      <c r="T44" s="166"/>
      <c r="U44" s="60">
        <f t="shared" si="9"/>
        <v>25</v>
      </c>
      <c r="AG44" s="96"/>
    </row>
    <row r="45" spans="1:33" ht="15">
      <c r="A45" s="231"/>
      <c r="B45" s="61" t="s">
        <v>18</v>
      </c>
      <c r="C45" s="164">
        <v>3</v>
      </c>
      <c r="D45" s="164">
        <v>7</v>
      </c>
      <c r="E45" s="164">
        <v>4</v>
      </c>
      <c r="F45" s="164"/>
      <c r="G45" s="164">
        <v>12</v>
      </c>
      <c r="H45" s="164"/>
      <c r="I45" s="164"/>
      <c r="J45" s="164"/>
      <c r="K45" s="232"/>
      <c r="L45" s="61" t="s">
        <v>18</v>
      </c>
      <c r="M45" s="164"/>
      <c r="N45" s="164"/>
      <c r="O45" s="164"/>
      <c r="P45" s="164"/>
      <c r="Q45" s="164"/>
      <c r="R45" s="164"/>
      <c r="S45" s="164"/>
      <c r="T45" s="167"/>
      <c r="U45" s="60">
        <f t="shared" si="9"/>
        <v>26</v>
      </c>
      <c r="AG45" s="96"/>
    </row>
    <row r="46" spans="1:33">
      <c r="AG46" s="96"/>
    </row>
    <row r="47" spans="1:33" ht="15.75">
      <c r="A47" s="1"/>
      <c r="B47" s="1"/>
      <c r="C47" s="183" t="s">
        <v>0</v>
      </c>
      <c r="D47" s="225"/>
      <c r="E47" s="225"/>
      <c r="F47" s="225"/>
      <c r="G47" s="226"/>
      <c r="H47" s="2"/>
      <c r="I47" s="1"/>
    </row>
    <row r="48" spans="1:33" ht="15.75">
      <c r="A48" s="1"/>
      <c r="B48" s="183" t="s">
        <v>1</v>
      </c>
      <c r="C48" s="225"/>
      <c r="D48" s="226"/>
      <c r="E48" s="1"/>
      <c r="F48" s="184" t="s">
        <v>2</v>
      </c>
      <c r="G48" s="225"/>
      <c r="H48" s="226"/>
      <c r="I48" s="1"/>
      <c r="K48" s="1"/>
      <c r="L48" s="183" t="s">
        <v>26</v>
      </c>
      <c r="M48" s="225"/>
      <c r="N48" s="226"/>
      <c r="O48" s="1"/>
      <c r="P48" s="184" t="s">
        <v>2</v>
      </c>
      <c r="Q48" s="225"/>
      <c r="R48" s="226"/>
      <c r="S48" s="1"/>
    </row>
    <row r="49" spans="1:40" ht="15.75">
      <c r="A49" s="54" t="s">
        <v>35</v>
      </c>
      <c r="B49" s="54" t="s">
        <v>4</v>
      </c>
      <c r="C49" s="54" t="s">
        <v>12</v>
      </c>
      <c r="D49" s="54" t="s">
        <v>19</v>
      </c>
      <c r="E49" s="54" t="s">
        <v>20</v>
      </c>
      <c r="F49" s="54" t="s">
        <v>21</v>
      </c>
      <c r="G49" s="54" t="s">
        <v>22</v>
      </c>
      <c r="H49" s="54" t="s">
        <v>23</v>
      </c>
      <c r="I49" s="54" t="s">
        <v>24</v>
      </c>
      <c r="J49" s="54" t="s">
        <v>25</v>
      </c>
      <c r="K49" s="54" t="s">
        <v>35</v>
      </c>
      <c r="L49" s="54" t="s">
        <v>4</v>
      </c>
      <c r="M49" s="54" t="s">
        <v>27</v>
      </c>
      <c r="N49" s="54" t="s">
        <v>28</v>
      </c>
      <c r="O49" s="54" t="s">
        <v>29</v>
      </c>
      <c r="P49" s="54" t="s">
        <v>30</v>
      </c>
      <c r="Q49" s="54" t="s">
        <v>31</v>
      </c>
      <c r="R49" s="54" t="s">
        <v>32</v>
      </c>
      <c r="S49" s="54" t="s">
        <v>33</v>
      </c>
      <c r="T49" s="54" t="s">
        <v>34</v>
      </c>
      <c r="U49" s="54" t="s">
        <v>55</v>
      </c>
    </row>
    <row r="50" spans="1:40" ht="15.75">
      <c r="A50" s="195" t="s">
        <v>5</v>
      </c>
      <c r="B50" s="56" t="s">
        <v>13</v>
      </c>
      <c r="C50" s="57"/>
      <c r="D50" s="57"/>
      <c r="E50" s="56"/>
      <c r="F50" s="56"/>
      <c r="G50" s="56"/>
      <c r="H50" s="56"/>
      <c r="I50" s="56"/>
      <c r="J50" s="56"/>
      <c r="K50" s="196" t="s">
        <v>5</v>
      </c>
      <c r="L50" s="56" t="s">
        <v>13</v>
      </c>
      <c r="M50" s="56"/>
      <c r="N50" s="56"/>
      <c r="O50" s="56"/>
      <c r="P50" s="56"/>
      <c r="Q50" s="56"/>
      <c r="R50" s="57"/>
      <c r="S50" s="57"/>
      <c r="T50" s="58"/>
      <c r="U50" s="59">
        <f>SUM(M50:T50,C50:J50)</f>
        <v>0</v>
      </c>
      <c r="W50" s="197" t="s">
        <v>2</v>
      </c>
      <c r="X50" s="198"/>
      <c r="AG50" s="190" t="s">
        <v>58</v>
      </c>
      <c r="AH50" s="191"/>
      <c r="AI50" s="191"/>
      <c r="AJ50" s="191"/>
      <c r="AK50" s="191"/>
      <c r="AL50" s="191"/>
      <c r="AM50" s="191"/>
      <c r="AN50" s="192"/>
    </row>
    <row r="51" spans="1:40" ht="15">
      <c r="A51" s="230"/>
      <c r="B51" s="4" t="s">
        <v>14</v>
      </c>
      <c r="C51" s="5"/>
      <c r="D51" s="5"/>
      <c r="E51" s="4"/>
      <c r="F51" s="4"/>
      <c r="G51" s="4"/>
      <c r="H51" s="4"/>
      <c r="I51" s="4"/>
      <c r="J51" s="4"/>
      <c r="K51" s="227"/>
      <c r="L51" s="4" t="s">
        <v>14</v>
      </c>
      <c r="M51" s="4"/>
      <c r="N51" s="4"/>
      <c r="O51" s="4"/>
      <c r="P51" s="4"/>
      <c r="Q51" s="4"/>
      <c r="R51" s="5"/>
      <c r="S51" s="5"/>
      <c r="T51" s="49"/>
      <c r="U51" s="59">
        <f t="shared" ref="U51:U91" si="10">SUM(M51:T51,C51:J51)</f>
        <v>0</v>
      </c>
      <c r="W51" s="55" t="s">
        <v>5</v>
      </c>
      <c r="X51" s="48">
        <f>SUM(U50:U55)</f>
        <v>0</v>
      </c>
      <c r="AG51" s="98" t="s">
        <v>4</v>
      </c>
      <c r="AH51" s="98" t="s">
        <v>5</v>
      </c>
      <c r="AI51" s="98" t="s">
        <v>6</v>
      </c>
      <c r="AJ51" s="98" t="s">
        <v>7</v>
      </c>
      <c r="AK51" s="98" t="s">
        <v>8</v>
      </c>
      <c r="AL51" s="98" t="s">
        <v>9</v>
      </c>
      <c r="AM51" s="98" t="s">
        <v>10</v>
      </c>
      <c r="AN51" s="98" t="s">
        <v>11</v>
      </c>
    </row>
    <row r="52" spans="1:40" ht="15">
      <c r="A52" s="230"/>
      <c r="B52" s="4" t="s">
        <v>15</v>
      </c>
      <c r="C52" s="5"/>
      <c r="D52" s="5"/>
      <c r="E52" s="4"/>
      <c r="F52" s="4"/>
      <c r="G52" s="4"/>
      <c r="H52" s="4"/>
      <c r="I52" s="4"/>
      <c r="J52" s="4"/>
      <c r="K52" s="227"/>
      <c r="L52" s="4" t="s">
        <v>15</v>
      </c>
      <c r="M52" s="4"/>
      <c r="N52" s="4"/>
      <c r="O52" s="4"/>
      <c r="P52" s="4"/>
      <c r="Q52" s="4"/>
      <c r="R52" s="5"/>
      <c r="S52" s="5"/>
      <c r="T52" s="49"/>
      <c r="U52" s="59">
        <f t="shared" si="10"/>
        <v>0</v>
      </c>
      <c r="W52" s="55" t="s">
        <v>6</v>
      </c>
      <c r="X52" s="48">
        <f>SUM(U56:U61)</f>
        <v>0</v>
      </c>
      <c r="AG52" s="79" t="s">
        <v>13</v>
      </c>
      <c r="AH52" s="79">
        <f t="shared" ref="AH52:AH57" si="11">U50</f>
        <v>0</v>
      </c>
      <c r="AI52" s="79">
        <f t="shared" ref="AI52:AI57" si="12">U56</f>
        <v>0</v>
      </c>
      <c r="AJ52" s="79">
        <f t="shared" ref="AJ52:AJ57" si="13">U62</f>
        <v>0</v>
      </c>
      <c r="AK52" s="79">
        <f t="shared" ref="AK52:AK57" si="14">U68</f>
        <v>0</v>
      </c>
      <c r="AL52" s="79">
        <f t="shared" ref="AL52:AL57" si="15">U74</f>
        <v>0</v>
      </c>
      <c r="AM52" s="79">
        <f t="shared" ref="AM52:AM57" si="16">U80</f>
        <v>0</v>
      </c>
      <c r="AN52" s="79">
        <f t="shared" ref="AN52:AN57" si="17">U86</f>
        <v>0</v>
      </c>
    </row>
    <row r="53" spans="1:40" ht="15">
      <c r="A53" s="230"/>
      <c r="B53" s="4" t="s">
        <v>16</v>
      </c>
      <c r="C53" s="5"/>
      <c r="D53" s="5"/>
      <c r="E53" s="4"/>
      <c r="F53" s="4"/>
      <c r="G53" s="4"/>
      <c r="H53" s="4"/>
      <c r="I53" s="4"/>
      <c r="J53" s="4"/>
      <c r="K53" s="227"/>
      <c r="L53" s="4" t="s">
        <v>16</v>
      </c>
      <c r="M53" s="4"/>
      <c r="N53" s="4"/>
      <c r="O53" s="4"/>
      <c r="P53" s="4"/>
      <c r="Q53" s="4"/>
      <c r="R53" s="5"/>
      <c r="S53" s="5"/>
      <c r="T53" s="49"/>
      <c r="U53" s="59">
        <f t="shared" si="10"/>
        <v>0</v>
      </c>
      <c r="W53" s="55" t="s">
        <v>7</v>
      </c>
      <c r="X53" s="48">
        <f>SUM(U62:U67)</f>
        <v>0</v>
      </c>
      <c r="AG53" s="97" t="s">
        <v>14</v>
      </c>
      <c r="AH53" s="97">
        <f t="shared" si="11"/>
        <v>0</v>
      </c>
      <c r="AI53" s="97">
        <f t="shared" si="12"/>
        <v>0</v>
      </c>
      <c r="AJ53" s="97">
        <f t="shared" si="13"/>
        <v>0</v>
      </c>
      <c r="AK53" s="97">
        <f t="shared" si="14"/>
        <v>0</v>
      </c>
      <c r="AL53" s="97">
        <f t="shared" si="15"/>
        <v>0</v>
      </c>
      <c r="AM53" s="97">
        <f t="shared" si="16"/>
        <v>0</v>
      </c>
      <c r="AN53" s="97">
        <f t="shared" si="17"/>
        <v>0</v>
      </c>
    </row>
    <row r="54" spans="1:40" ht="15">
      <c r="A54" s="230"/>
      <c r="B54" s="4" t="s">
        <v>17</v>
      </c>
      <c r="C54" s="5"/>
      <c r="D54" s="5"/>
      <c r="E54" s="4"/>
      <c r="F54" s="4"/>
      <c r="G54" s="4"/>
      <c r="H54" s="4"/>
      <c r="I54" s="4"/>
      <c r="J54" s="4"/>
      <c r="K54" s="227"/>
      <c r="L54" s="4" t="s">
        <v>17</v>
      </c>
      <c r="M54" s="4"/>
      <c r="N54" s="4"/>
      <c r="O54" s="4"/>
      <c r="P54" s="4"/>
      <c r="Q54" s="4"/>
      <c r="R54" s="5"/>
      <c r="S54" s="5"/>
      <c r="T54" s="49"/>
      <c r="U54" s="59">
        <f t="shared" si="10"/>
        <v>0</v>
      </c>
      <c r="W54" s="55" t="s">
        <v>61</v>
      </c>
      <c r="X54" s="48">
        <f>SUM(U68:U73)</f>
        <v>0</v>
      </c>
      <c r="AG54" s="79" t="s">
        <v>15</v>
      </c>
      <c r="AH54" s="79">
        <f t="shared" si="11"/>
        <v>0</v>
      </c>
      <c r="AI54" s="79">
        <f t="shared" si="12"/>
        <v>0</v>
      </c>
      <c r="AJ54" s="79">
        <f t="shared" si="13"/>
        <v>0</v>
      </c>
      <c r="AK54" s="79">
        <f t="shared" si="14"/>
        <v>0</v>
      </c>
      <c r="AL54" s="79">
        <f t="shared" si="15"/>
        <v>0</v>
      </c>
      <c r="AM54" s="79">
        <f t="shared" si="16"/>
        <v>0</v>
      </c>
      <c r="AN54" s="79">
        <f t="shared" si="17"/>
        <v>0</v>
      </c>
    </row>
    <row r="55" spans="1:40" ht="15">
      <c r="A55" s="230"/>
      <c r="B55" s="46" t="s">
        <v>18</v>
      </c>
      <c r="C55" s="64"/>
      <c r="D55" s="64"/>
      <c r="E55" s="46"/>
      <c r="F55" s="46"/>
      <c r="G55" s="46"/>
      <c r="H55" s="46"/>
      <c r="I55" s="46"/>
      <c r="J55" s="46"/>
      <c r="K55" s="227"/>
      <c r="L55" s="46" t="s">
        <v>18</v>
      </c>
      <c r="M55" s="46"/>
      <c r="N55" s="46"/>
      <c r="O55" s="46"/>
      <c r="P55" s="46"/>
      <c r="Q55" s="46"/>
      <c r="R55" s="64"/>
      <c r="S55" s="64"/>
      <c r="T55" s="65"/>
      <c r="U55" s="59">
        <f t="shared" si="10"/>
        <v>0</v>
      </c>
      <c r="W55" s="55" t="s">
        <v>9</v>
      </c>
      <c r="X55" s="48">
        <f>SUM(U74:U79)</f>
        <v>0</v>
      </c>
      <c r="AG55" s="97" t="s">
        <v>16</v>
      </c>
      <c r="AH55" s="97">
        <f t="shared" si="11"/>
        <v>0</v>
      </c>
      <c r="AI55" s="97">
        <f t="shared" si="12"/>
        <v>0</v>
      </c>
      <c r="AJ55" s="97">
        <f t="shared" si="13"/>
        <v>0</v>
      </c>
      <c r="AK55" s="97">
        <f t="shared" si="14"/>
        <v>0</v>
      </c>
      <c r="AL55" s="97">
        <f t="shared" si="15"/>
        <v>0</v>
      </c>
      <c r="AM55" s="97">
        <f t="shared" si="16"/>
        <v>0</v>
      </c>
      <c r="AN55" s="97">
        <f t="shared" si="17"/>
        <v>0</v>
      </c>
    </row>
    <row r="56" spans="1:40" ht="15">
      <c r="A56" s="193" t="s">
        <v>6</v>
      </c>
      <c r="B56" s="63" t="s">
        <v>13</v>
      </c>
      <c r="C56" s="57"/>
      <c r="D56" s="57"/>
      <c r="E56" s="57"/>
      <c r="F56" s="63"/>
      <c r="G56" s="63"/>
      <c r="H56" s="63"/>
      <c r="I56" s="63"/>
      <c r="J56" s="63"/>
      <c r="K56" s="194" t="s">
        <v>6</v>
      </c>
      <c r="L56" s="63" t="s">
        <v>13</v>
      </c>
      <c r="M56" s="63"/>
      <c r="N56" s="63"/>
      <c r="O56" s="63"/>
      <c r="P56" s="63"/>
      <c r="Q56" s="57"/>
      <c r="R56" s="57"/>
      <c r="S56" s="57"/>
      <c r="T56" s="58"/>
      <c r="U56" s="59">
        <f t="shared" si="10"/>
        <v>0</v>
      </c>
      <c r="W56" s="55" t="s">
        <v>10</v>
      </c>
      <c r="X56" s="48">
        <f>SUM(U80:U85)</f>
        <v>0</v>
      </c>
      <c r="AG56" s="79" t="s">
        <v>17</v>
      </c>
      <c r="AH56" s="79">
        <f t="shared" si="11"/>
        <v>0</v>
      </c>
      <c r="AI56" s="79">
        <f t="shared" si="12"/>
        <v>0</v>
      </c>
      <c r="AJ56" s="79">
        <f t="shared" si="13"/>
        <v>0</v>
      </c>
      <c r="AK56" s="79">
        <f t="shared" si="14"/>
        <v>0</v>
      </c>
      <c r="AL56" s="79">
        <f t="shared" si="15"/>
        <v>0</v>
      </c>
      <c r="AM56" s="79">
        <f t="shared" si="16"/>
        <v>0</v>
      </c>
      <c r="AN56" s="79">
        <f t="shared" si="17"/>
        <v>0</v>
      </c>
    </row>
    <row r="57" spans="1:40" ht="15">
      <c r="A57" s="230"/>
      <c r="B57" s="6" t="s">
        <v>14</v>
      </c>
      <c r="C57" s="5"/>
      <c r="D57" s="5"/>
      <c r="E57" s="5"/>
      <c r="F57" s="6"/>
      <c r="G57" s="6"/>
      <c r="H57" s="6"/>
      <c r="I57" s="6"/>
      <c r="J57" s="6"/>
      <c r="K57" s="227"/>
      <c r="L57" s="6" t="s">
        <v>14</v>
      </c>
      <c r="M57" s="6"/>
      <c r="N57" s="6"/>
      <c r="O57" s="6"/>
      <c r="P57" s="6"/>
      <c r="Q57" s="5"/>
      <c r="R57" s="5"/>
      <c r="S57" s="5"/>
      <c r="T57" s="49"/>
      <c r="U57" s="59">
        <f t="shared" si="10"/>
        <v>0</v>
      </c>
      <c r="W57" s="81" t="s">
        <v>11</v>
      </c>
      <c r="X57" s="80">
        <f>SUM(U86:U91)</f>
        <v>0</v>
      </c>
      <c r="AG57" s="97" t="s">
        <v>18</v>
      </c>
      <c r="AH57" s="97">
        <f t="shared" si="11"/>
        <v>0</v>
      </c>
      <c r="AI57" s="97">
        <f t="shared" si="12"/>
        <v>0</v>
      </c>
      <c r="AJ57" s="97">
        <f t="shared" si="13"/>
        <v>0</v>
      </c>
      <c r="AK57" s="97">
        <f t="shared" si="14"/>
        <v>0</v>
      </c>
      <c r="AL57" s="97">
        <f t="shared" si="15"/>
        <v>0</v>
      </c>
      <c r="AM57" s="97">
        <f t="shared" si="16"/>
        <v>0</v>
      </c>
      <c r="AN57" s="97">
        <f t="shared" si="17"/>
        <v>0</v>
      </c>
    </row>
    <row r="58" spans="1:40" ht="15">
      <c r="A58" s="230"/>
      <c r="B58" s="6" t="s">
        <v>15</v>
      </c>
      <c r="C58" s="5"/>
      <c r="D58" s="5"/>
      <c r="E58" s="5"/>
      <c r="F58" s="6"/>
      <c r="G58" s="6"/>
      <c r="H58" s="6"/>
      <c r="I58" s="6"/>
      <c r="J58" s="6"/>
      <c r="K58" s="227"/>
      <c r="L58" s="6" t="s">
        <v>15</v>
      </c>
      <c r="M58" s="6"/>
      <c r="N58" s="6"/>
      <c r="O58" s="6"/>
      <c r="P58" s="6"/>
      <c r="Q58" s="5"/>
      <c r="R58" s="5"/>
      <c r="S58" s="5"/>
      <c r="T58" s="49"/>
      <c r="U58" s="59">
        <f t="shared" si="10"/>
        <v>0</v>
      </c>
      <c r="W58" s="79" t="s">
        <v>63</v>
      </c>
      <c r="X58" s="82">
        <f>SUM(X51:X57)</f>
        <v>0</v>
      </c>
    </row>
    <row r="59" spans="1:40" ht="15">
      <c r="A59" s="230"/>
      <c r="B59" s="6" t="s">
        <v>16</v>
      </c>
      <c r="C59" s="5"/>
      <c r="D59" s="5"/>
      <c r="E59" s="5"/>
      <c r="F59" s="6"/>
      <c r="G59" s="6"/>
      <c r="H59" s="6"/>
      <c r="I59" s="6"/>
      <c r="J59" s="6"/>
      <c r="K59" s="227"/>
      <c r="L59" s="6" t="s">
        <v>16</v>
      </c>
      <c r="M59" s="6"/>
      <c r="N59" s="6"/>
      <c r="O59" s="6"/>
      <c r="P59" s="6"/>
      <c r="Q59" s="5"/>
      <c r="R59" s="5"/>
      <c r="S59" s="5"/>
      <c r="T59" s="49"/>
      <c r="U59" s="59">
        <f t="shared" si="10"/>
        <v>0</v>
      </c>
    </row>
    <row r="60" spans="1:40" ht="15">
      <c r="A60" s="230"/>
      <c r="B60" s="6" t="s">
        <v>17</v>
      </c>
      <c r="C60" s="5"/>
      <c r="D60" s="5"/>
      <c r="E60" s="5"/>
      <c r="F60" s="6"/>
      <c r="G60" s="6"/>
      <c r="H60" s="6"/>
      <c r="I60" s="6"/>
      <c r="J60" s="6"/>
      <c r="K60" s="227"/>
      <c r="L60" s="6" t="s">
        <v>17</v>
      </c>
      <c r="M60" s="6"/>
      <c r="N60" s="6"/>
      <c r="O60" s="6"/>
      <c r="P60" s="6"/>
      <c r="Q60" s="5"/>
      <c r="R60" s="5"/>
      <c r="S60" s="5"/>
      <c r="T60" s="49"/>
      <c r="U60" s="59">
        <f t="shared" si="10"/>
        <v>0</v>
      </c>
    </row>
    <row r="61" spans="1:40" ht="15">
      <c r="A61" s="230"/>
      <c r="B61" s="47" t="s">
        <v>18</v>
      </c>
      <c r="C61" s="64"/>
      <c r="D61" s="64"/>
      <c r="E61" s="64"/>
      <c r="F61" s="47"/>
      <c r="G61" s="47"/>
      <c r="H61" s="47"/>
      <c r="I61" s="47"/>
      <c r="J61" s="47"/>
      <c r="K61" s="227"/>
      <c r="L61" s="47" t="s">
        <v>18</v>
      </c>
      <c r="M61" s="47"/>
      <c r="N61" s="47"/>
      <c r="O61" s="47"/>
      <c r="P61" s="47"/>
      <c r="Q61" s="64"/>
      <c r="R61" s="64"/>
      <c r="S61" s="64"/>
      <c r="T61" s="65"/>
      <c r="U61" s="59">
        <f t="shared" si="10"/>
        <v>0</v>
      </c>
    </row>
    <row r="62" spans="1:40" ht="15">
      <c r="A62" s="195" t="s">
        <v>7</v>
      </c>
      <c r="B62" s="56" t="s">
        <v>13</v>
      </c>
      <c r="C62" s="56"/>
      <c r="D62" s="56"/>
      <c r="E62" s="56"/>
      <c r="F62" s="56"/>
      <c r="G62" s="56"/>
      <c r="H62" s="56"/>
      <c r="I62" s="56"/>
      <c r="J62" s="56"/>
      <c r="K62" s="196" t="s">
        <v>7</v>
      </c>
      <c r="L62" s="56" t="s">
        <v>13</v>
      </c>
      <c r="M62" s="56"/>
      <c r="N62" s="56"/>
      <c r="O62" s="56"/>
      <c r="P62" s="56"/>
      <c r="Q62" s="56"/>
      <c r="R62" s="56"/>
      <c r="S62" s="56"/>
      <c r="T62" s="67"/>
      <c r="U62" s="59">
        <f t="shared" si="10"/>
        <v>0</v>
      </c>
    </row>
    <row r="63" spans="1:40" ht="15">
      <c r="A63" s="230"/>
      <c r="B63" s="4" t="s">
        <v>14</v>
      </c>
      <c r="C63" s="4"/>
      <c r="D63" s="4"/>
      <c r="E63" s="4"/>
      <c r="F63" s="4"/>
      <c r="G63" s="4"/>
      <c r="H63" s="4"/>
      <c r="I63" s="4"/>
      <c r="J63" s="4"/>
      <c r="K63" s="227"/>
      <c r="L63" s="4" t="s">
        <v>14</v>
      </c>
      <c r="M63" s="4"/>
      <c r="N63" s="4"/>
      <c r="O63" s="4"/>
      <c r="P63" s="4"/>
      <c r="Q63" s="4"/>
      <c r="R63" s="4"/>
      <c r="S63" s="4"/>
      <c r="T63" s="50"/>
      <c r="U63" s="59">
        <f t="shared" si="10"/>
        <v>0</v>
      </c>
    </row>
    <row r="64" spans="1:40" ht="15">
      <c r="A64" s="230"/>
      <c r="B64" s="4" t="s">
        <v>15</v>
      </c>
      <c r="C64" s="4"/>
      <c r="D64" s="4"/>
      <c r="E64" s="4"/>
      <c r="F64" s="4"/>
      <c r="G64" s="4"/>
      <c r="H64" s="4"/>
      <c r="I64" s="4"/>
      <c r="J64" s="4"/>
      <c r="K64" s="227"/>
      <c r="L64" s="4" t="s">
        <v>15</v>
      </c>
      <c r="M64" s="4"/>
      <c r="N64" s="4"/>
      <c r="O64" s="4"/>
      <c r="P64" s="4"/>
      <c r="Q64" s="4"/>
      <c r="R64" s="4"/>
      <c r="S64" s="4"/>
      <c r="T64" s="50"/>
      <c r="U64" s="59">
        <f t="shared" si="10"/>
        <v>0</v>
      </c>
    </row>
    <row r="65" spans="1:21" ht="15">
      <c r="A65" s="230"/>
      <c r="B65" s="4" t="s">
        <v>16</v>
      </c>
      <c r="C65" s="4"/>
      <c r="D65" s="4"/>
      <c r="E65" s="4"/>
      <c r="F65" s="4"/>
      <c r="G65" s="4"/>
      <c r="H65" s="4"/>
      <c r="I65" s="4"/>
      <c r="J65" s="4"/>
      <c r="K65" s="227"/>
      <c r="L65" s="4" t="s">
        <v>16</v>
      </c>
      <c r="M65" s="4"/>
      <c r="N65" s="4"/>
      <c r="O65" s="4"/>
      <c r="P65" s="4"/>
      <c r="Q65" s="4"/>
      <c r="R65" s="4"/>
      <c r="S65" s="4"/>
      <c r="T65" s="50"/>
      <c r="U65" s="59">
        <f t="shared" si="10"/>
        <v>0</v>
      </c>
    </row>
    <row r="66" spans="1:21" ht="15">
      <c r="A66" s="230"/>
      <c r="B66" s="4" t="s">
        <v>17</v>
      </c>
      <c r="C66" s="4"/>
      <c r="D66" s="4"/>
      <c r="E66" s="4"/>
      <c r="F66" s="4"/>
      <c r="G66" s="4"/>
      <c r="H66" s="4"/>
      <c r="I66" s="4"/>
      <c r="J66" s="4"/>
      <c r="K66" s="227"/>
      <c r="L66" s="4" t="s">
        <v>17</v>
      </c>
      <c r="M66" s="4"/>
      <c r="N66" s="4"/>
      <c r="O66" s="4"/>
      <c r="P66" s="4"/>
      <c r="Q66" s="4"/>
      <c r="R66" s="4"/>
      <c r="S66" s="4"/>
      <c r="T66" s="50"/>
      <c r="U66" s="59">
        <f t="shared" si="10"/>
        <v>0</v>
      </c>
    </row>
    <row r="67" spans="1:21" ht="15">
      <c r="A67" s="230"/>
      <c r="B67" s="46" t="s">
        <v>18</v>
      </c>
      <c r="C67" s="46"/>
      <c r="D67" s="46"/>
      <c r="E67" s="46"/>
      <c r="F67" s="46"/>
      <c r="G67" s="46"/>
      <c r="H67" s="46"/>
      <c r="I67" s="46"/>
      <c r="J67" s="46"/>
      <c r="K67" s="227"/>
      <c r="L67" s="46" t="s">
        <v>18</v>
      </c>
      <c r="M67" s="46"/>
      <c r="N67" s="46"/>
      <c r="O67" s="46"/>
      <c r="P67" s="46"/>
      <c r="Q67" s="46"/>
      <c r="R67" s="46"/>
      <c r="S67" s="46"/>
      <c r="T67" s="69"/>
      <c r="U67" s="59">
        <f t="shared" si="10"/>
        <v>0</v>
      </c>
    </row>
    <row r="68" spans="1:21" ht="15">
      <c r="A68" s="193" t="s">
        <v>8</v>
      </c>
      <c r="B68" s="63" t="s">
        <v>13</v>
      </c>
      <c r="C68" s="63"/>
      <c r="D68" s="63"/>
      <c r="E68" s="63"/>
      <c r="F68" s="63"/>
      <c r="G68" s="63"/>
      <c r="H68" s="63"/>
      <c r="I68" s="63"/>
      <c r="J68" s="63"/>
      <c r="K68" s="194" t="s">
        <v>8</v>
      </c>
      <c r="L68" s="63" t="s">
        <v>13</v>
      </c>
      <c r="M68" s="63"/>
      <c r="N68" s="63"/>
      <c r="O68" s="63"/>
      <c r="P68" s="63"/>
      <c r="Q68" s="63"/>
      <c r="R68" s="63"/>
      <c r="S68" s="63"/>
      <c r="T68" s="68"/>
      <c r="U68" s="59">
        <f t="shared" si="10"/>
        <v>0</v>
      </c>
    </row>
    <row r="69" spans="1:21" ht="15">
      <c r="A69" s="230"/>
      <c r="B69" s="6" t="s">
        <v>14</v>
      </c>
      <c r="C69" s="6"/>
      <c r="D69" s="6"/>
      <c r="E69" s="6"/>
      <c r="F69" s="6"/>
      <c r="G69" s="6"/>
      <c r="H69" s="6"/>
      <c r="I69" s="6"/>
      <c r="J69" s="6"/>
      <c r="K69" s="227"/>
      <c r="L69" s="6" t="s">
        <v>14</v>
      </c>
      <c r="M69" s="6"/>
      <c r="N69" s="6"/>
      <c r="O69" s="6"/>
      <c r="P69" s="6"/>
      <c r="Q69" s="6"/>
      <c r="R69" s="6"/>
      <c r="S69" s="6"/>
      <c r="T69" s="51"/>
      <c r="U69" s="59">
        <f t="shared" si="10"/>
        <v>0</v>
      </c>
    </row>
    <row r="70" spans="1:21" ht="15">
      <c r="A70" s="230"/>
      <c r="B70" s="6" t="s">
        <v>15</v>
      </c>
      <c r="C70" s="6"/>
      <c r="D70" s="6"/>
      <c r="E70" s="6"/>
      <c r="F70" s="6"/>
      <c r="G70" s="6"/>
      <c r="H70" s="6"/>
      <c r="I70" s="6"/>
      <c r="J70" s="6"/>
      <c r="K70" s="227"/>
      <c r="L70" s="6" t="s">
        <v>15</v>
      </c>
      <c r="M70" s="6"/>
      <c r="N70" s="6"/>
      <c r="O70" s="6"/>
      <c r="P70" s="6"/>
      <c r="Q70" s="6"/>
      <c r="R70" s="6"/>
      <c r="S70" s="6"/>
      <c r="T70" s="51"/>
      <c r="U70" s="59">
        <f t="shared" si="10"/>
        <v>0</v>
      </c>
    </row>
    <row r="71" spans="1:21" ht="15">
      <c r="A71" s="230"/>
      <c r="B71" s="6" t="s">
        <v>16</v>
      </c>
      <c r="C71" s="6"/>
      <c r="D71" s="6"/>
      <c r="E71" s="6"/>
      <c r="F71" s="6"/>
      <c r="G71" s="6"/>
      <c r="H71" s="6"/>
      <c r="I71" s="6"/>
      <c r="J71" s="6"/>
      <c r="K71" s="227"/>
      <c r="L71" s="6" t="s">
        <v>16</v>
      </c>
      <c r="M71" s="6"/>
      <c r="N71" s="6"/>
      <c r="O71" s="6"/>
      <c r="P71" s="6"/>
      <c r="Q71" s="6"/>
      <c r="R71" s="6"/>
      <c r="S71" s="6"/>
      <c r="T71" s="51"/>
      <c r="U71" s="59">
        <f t="shared" si="10"/>
        <v>0</v>
      </c>
    </row>
    <row r="72" spans="1:21" ht="15">
      <c r="A72" s="230"/>
      <c r="B72" s="6" t="s">
        <v>17</v>
      </c>
      <c r="C72" s="6"/>
      <c r="D72" s="6"/>
      <c r="E72" s="6"/>
      <c r="F72" s="6"/>
      <c r="G72" s="6"/>
      <c r="H72" s="6"/>
      <c r="I72" s="6"/>
      <c r="J72" s="6"/>
      <c r="K72" s="227"/>
      <c r="L72" s="6" t="s">
        <v>17</v>
      </c>
      <c r="M72" s="6"/>
      <c r="N72" s="6"/>
      <c r="O72" s="6"/>
      <c r="P72" s="6"/>
      <c r="Q72" s="6"/>
      <c r="R72" s="6"/>
      <c r="S72" s="6"/>
      <c r="T72" s="51"/>
      <c r="U72" s="59">
        <f t="shared" si="10"/>
        <v>0</v>
      </c>
    </row>
    <row r="73" spans="1:21" ht="15">
      <c r="A73" s="230"/>
      <c r="B73" s="47" t="s">
        <v>18</v>
      </c>
      <c r="C73" s="47"/>
      <c r="D73" s="47"/>
      <c r="E73" s="47"/>
      <c r="F73" s="47"/>
      <c r="G73" s="47"/>
      <c r="H73" s="47"/>
      <c r="I73" s="47"/>
      <c r="J73" s="47"/>
      <c r="K73" s="227"/>
      <c r="L73" s="47" t="s">
        <v>18</v>
      </c>
      <c r="M73" s="47"/>
      <c r="N73" s="47"/>
      <c r="O73" s="47"/>
      <c r="P73" s="47"/>
      <c r="Q73" s="47"/>
      <c r="R73" s="47"/>
      <c r="S73" s="47"/>
      <c r="T73" s="70"/>
      <c r="U73" s="59">
        <f t="shared" si="10"/>
        <v>0</v>
      </c>
    </row>
    <row r="74" spans="1:21" ht="15">
      <c r="A74" s="195" t="s">
        <v>9</v>
      </c>
      <c r="B74" s="56" t="s">
        <v>13</v>
      </c>
      <c r="C74" s="56"/>
      <c r="D74" s="56"/>
      <c r="E74" s="56"/>
      <c r="F74" s="56"/>
      <c r="G74" s="56"/>
      <c r="H74" s="56"/>
      <c r="I74" s="56"/>
      <c r="J74" s="56"/>
      <c r="K74" s="196" t="s">
        <v>9</v>
      </c>
      <c r="L74" s="56" t="s">
        <v>13</v>
      </c>
      <c r="M74" s="56"/>
      <c r="N74" s="56"/>
      <c r="O74" s="56"/>
      <c r="P74" s="56"/>
      <c r="Q74" s="56"/>
      <c r="R74" s="56"/>
      <c r="S74" s="56"/>
      <c r="T74" s="67"/>
      <c r="U74" s="59">
        <f t="shared" si="10"/>
        <v>0</v>
      </c>
    </row>
    <row r="75" spans="1:21" ht="15">
      <c r="A75" s="230"/>
      <c r="B75" s="4" t="s">
        <v>14</v>
      </c>
      <c r="C75" s="4"/>
      <c r="D75" s="4"/>
      <c r="E75" s="4"/>
      <c r="F75" s="4"/>
      <c r="G75" s="4"/>
      <c r="H75" s="4"/>
      <c r="I75" s="4"/>
      <c r="J75" s="4"/>
      <c r="K75" s="227"/>
      <c r="L75" s="4" t="s">
        <v>14</v>
      </c>
      <c r="M75" s="4"/>
      <c r="N75" s="4"/>
      <c r="O75" s="4"/>
      <c r="P75" s="4"/>
      <c r="Q75" s="4"/>
      <c r="R75" s="4"/>
      <c r="S75" s="4"/>
      <c r="T75" s="50"/>
      <c r="U75" s="59">
        <f t="shared" si="10"/>
        <v>0</v>
      </c>
    </row>
    <row r="76" spans="1:21" ht="15">
      <c r="A76" s="230"/>
      <c r="B76" s="4" t="s">
        <v>15</v>
      </c>
      <c r="C76" s="4"/>
      <c r="D76" s="4"/>
      <c r="E76" s="4"/>
      <c r="F76" s="4"/>
      <c r="G76" s="4"/>
      <c r="H76" s="4"/>
      <c r="I76" s="4"/>
      <c r="J76" s="4"/>
      <c r="K76" s="227"/>
      <c r="L76" s="4" t="s">
        <v>15</v>
      </c>
      <c r="M76" s="4"/>
      <c r="N76" s="4"/>
      <c r="O76" s="4"/>
      <c r="P76" s="4"/>
      <c r="Q76" s="4"/>
      <c r="R76" s="4"/>
      <c r="S76" s="4"/>
      <c r="T76" s="50"/>
      <c r="U76" s="59">
        <f t="shared" si="10"/>
        <v>0</v>
      </c>
    </row>
    <row r="77" spans="1:21" ht="15">
      <c r="A77" s="230"/>
      <c r="B77" s="4" t="s">
        <v>16</v>
      </c>
      <c r="C77" s="4"/>
      <c r="D77" s="4"/>
      <c r="E77" s="4"/>
      <c r="F77" s="4"/>
      <c r="G77" s="4"/>
      <c r="H77" s="4"/>
      <c r="I77" s="4"/>
      <c r="J77" s="4"/>
      <c r="K77" s="227"/>
      <c r="L77" s="4" t="s">
        <v>16</v>
      </c>
      <c r="M77" s="4"/>
      <c r="N77" s="4"/>
      <c r="O77" s="4"/>
      <c r="P77" s="4"/>
      <c r="Q77" s="4"/>
      <c r="R77" s="4"/>
      <c r="S77" s="4"/>
      <c r="T77" s="50"/>
      <c r="U77" s="59">
        <f t="shared" si="10"/>
        <v>0</v>
      </c>
    </row>
    <row r="78" spans="1:21" ht="15">
      <c r="A78" s="230"/>
      <c r="B78" s="4" t="s">
        <v>17</v>
      </c>
      <c r="C78" s="4"/>
      <c r="D78" s="4"/>
      <c r="E78" s="4"/>
      <c r="F78" s="4"/>
      <c r="G78" s="4"/>
      <c r="H78" s="4"/>
      <c r="I78" s="4"/>
      <c r="J78" s="4"/>
      <c r="K78" s="227"/>
      <c r="L78" s="4" t="s">
        <v>17</v>
      </c>
      <c r="M78" s="4"/>
      <c r="N78" s="4"/>
      <c r="O78" s="4"/>
      <c r="P78" s="4"/>
      <c r="Q78" s="4"/>
      <c r="R78" s="4"/>
      <c r="S78" s="4"/>
      <c r="T78" s="50"/>
      <c r="U78" s="59">
        <f t="shared" si="10"/>
        <v>0</v>
      </c>
    </row>
    <row r="79" spans="1:21" ht="15">
      <c r="A79" s="230"/>
      <c r="B79" s="46" t="s">
        <v>18</v>
      </c>
      <c r="C79" s="46"/>
      <c r="D79" s="46"/>
      <c r="E79" s="46"/>
      <c r="F79" s="46"/>
      <c r="G79" s="46"/>
      <c r="H79" s="46"/>
      <c r="I79" s="46"/>
      <c r="J79" s="46"/>
      <c r="K79" s="227"/>
      <c r="L79" s="46" t="s">
        <v>18</v>
      </c>
      <c r="M79" s="46"/>
      <c r="N79" s="46"/>
      <c r="O79" s="46"/>
      <c r="P79" s="46"/>
      <c r="Q79" s="46"/>
      <c r="R79" s="46"/>
      <c r="S79" s="46"/>
      <c r="T79" s="69"/>
      <c r="U79" s="59">
        <f t="shared" si="10"/>
        <v>0</v>
      </c>
    </row>
    <row r="80" spans="1:21" ht="15">
      <c r="A80" s="193" t="s">
        <v>10</v>
      </c>
      <c r="B80" s="63" t="s">
        <v>13</v>
      </c>
      <c r="C80" s="71"/>
      <c r="D80" s="71"/>
      <c r="E80" s="71"/>
      <c r="F80" s="71"/>
      <c r="G80" s="71"/>
      <c r="H80" s="71"/>
      <c r="I80" s="71"/>
      <c r="J80" s="71"/>
      <c r="K80" s="194" t="s">
        <v>10</v>
      </c>
      <c r="L80" s="63" t="s">
        <v>13</v>
      </c>
      <c r="M80" s="71"/>
      <c r="N80" s="71"/>
      <c r="O80" s="71"/>
      <c r="P80" s="71"/>
      <c r="Q80" s="71"/>
      <c r="R80" s="71"/>
      <c r="S80" s="71"/>
      <c r="T80" s="72"/>
      <c r="U80" s="59">
        <f t="shared" si="10"/>
        <v>0</v>
      </c>
    </row>
    <row r="81" spans="1:40" ht="15">
      <c r="A81" s="230"/>
      <c r="B81" s="6" t="s">
        <v>14</v>
      </c>
      <c r="C81" s="8"/>
      <c r="D81" s="8"/>
      <c r="E81" s="8"/>
      <c r="F81" s="8"/>
      <c r="G81" s="8"/>
      <c r="H81" s="8"/>
      <c r="I81" s="8"/>
      <c r="J81" s="8"/>
      <c r="K81" s="227"/>
      <c r="L81" s="6" t="s">
        <v>14</v>
      </c>
      <c r="M81" s="8"/>
      <c r="N81" s="8"/>
      <c r="O81" s="8"/>
      <c r="P81" s="8"/>
      <c r="Q81" s="8"/>
      <c r="R81" s="8"/>
      <c r="S81" s="8"/>
      <c r="T81" s="52"/>
      <c r="U81" s="59">
        <f t="shared" si="10"/>
        <v>0</v>
      </c>
    </row>
    <row r="82" spans="1:40" ht="15">
      <c r="A82" s="230"/>
      <c r="B82" s="6" t="s">
        <v>15</v>
      </c>
      <c r="C82" s="8"/>
      <c r="D82" s="8"/>
      <c r="E82" s="8"/>
      <c r="F82" s="8"/>
      <c r="G82" s="8"/>
      <c r="H82" s="8"/>
      <c r="I82" s="8"/>
      <c r="J82" s="8"/>
      <c r="K82" s="227"/>
      <c r="L82" s="6" t="s">
        <v>15</v>
      </c>
      <c r="M82" s="8"/>
      <c r="N82" s="8"/>
      <c r="O82" s="8"/>
      <c r="P82" s="8"/>
      <c r="Q82" s="8"/>
      <c r="R82" s="8"/>
      <c r="S82" s="8"/>
      <c r="T82" s="52"/>
      <c r="U82" s="59">
        <f t="shared" si="10"/>
        <v>0</v>
      </c>
    </row>
    <row r="83" spans="1:40" ht="15">
      <c r="A83" s="230"/>
      <c r="B83" s="6" t="s">
        <v>16</v>
      </c>
      <c r="C83" s="8"/>
      <c r="D83" s="8"/>
      <c r="E83" s="8"/>
      <c r="F83" s="8"/>
      <c r="G83" s="8"/>
      <c r="H83" s="8"/>
      <c r="I83" s="8"/>
      <c r="J83" s="8"/>
      <c r="K83" s="227"/>
      <c r="L83" s="6" t="s">
        <v>16</v>
      </c>
      <c r="M83" s="8"/>
      <c r="N83" s="8"/>
      <c r="O83" s="8"/>
      <c r="P83" s="8"/>
      <c r="Q83" s="8"/>
      <c r="R83" s="8"/>
      <c r="S83" s="8"/>
      <c r="T83" s="52"/>
      <c r="U83" s="59">
        <f t="shared" si="10"/>
        <v>0</v>
      </c>
    </row>
    <row r="84" spans="1:40" ht="15">
      <c r="A84" s="230"/>
      <c r="B84" s="6" t="s">
        <v>17</v>
      </c>
      <c r="C84" s="8"/>
      <c r="D84" s="8"/>
      <c r="E84" s="8"/>
      <c r="F84" s="8"/>
      <c r="G84" s="8"/>
      <c r="H84" s="8"/>
      <c r="I84" s="8"/>
      <c r="J84" s="8"/>
      <c r="K84" s="227"/>
      <c r="L84" s="6" t="s">
        <v>17</v>
      </c>
      <c r="M84" s="8"/>
      <c r="N84" s="8"/>
      <c r="O84" s="8"/>
      <c r="P84" s="8"/>
      <c r="Q84" s="8"/>
      <c r="R84" s="8"/>
      <c r="S84" s="8"/>
      <c r="T84" s="52"/>
      <c r="U84" s="59">
        <f t="shared" si="10"/>
        <v>0</v>
      </c>
    </row>
    <row r="85" spans="1:40" ht="15">
      <c r="A85" s="230"/>
      <c r="B85" s="47" t="s">
        <v>18</v>
      </c>
      <c r="C85" s="77"/>
      <c r="D85" s="77"/>
      <c r="E85" s="77"/>
      <c r="F85" s="77"/>
      <c r="G85" s="77"/>
      <c r="H85" s="77"/>
      <c r="I85" s="77"/>
      <c r="J85" s="77"/>
      <c r="K85" s="227"/>
      <c r="L85" s="47" t="s">
        <v>18</v>
      </c>
      <c r="M85" s="77"/>
      <c r="N85" s="77"/>
      <c r="O85" s="77"/>
      <c r="P85" s="77"/>
      <c r="Q85" s="77"/>
      <c r="R85" s="77"/>
      <c r="S85" s="77"/>
      <c r="T85" s="78"/>
      <c r="U85" s="59">
        <f t="shared" si="10"/>
        <v>0</v>
      </c>
    </row>
    <row r="86" spans="1:40" ht="15">
      <c r="A86" s="195" t="s">
        <v>11</v>
      </c>
      <c r="B86" s="56" t="s">
        <v>13</v>
      </c>
      <c r="C86" s="73"/>
      <c r="D86" s="73"/>
      <c r="E86" s="73"/>
      <c r="F86" s="73"/>
      <c r="G86" s="73"/>
      <c r="H86" s="73"/>
      <c r="I86" s="73"/>
      <c r="J86" s="73"/>
      <c r="K86" s="196" t="s">
        <v>11</v>
      </c>
      <c r="L86" s="56" t="s">
        <v>13</v>
      </c>
      <c r="M86" s="73"/>
      <c r="N86" s="73"/>
      <c r="O86" s="73"/>
      <c r="P86" s="73"/>
      <c r="Q86" s="73"/>
      <c r="R86" s="73"/>
      <c r="S86" s="73"/>
      <c r="T86" s="74"/>
      <c r="U86" s="59">
        <f t="shared" si="10"/>
        <v>0</v>
      </c>
    </row>
    <row r="87" spans="1:40" ht="15">
      <c r="A87" s="230"/>
      <c r="B87" s="4" t="s">
        <v>14</v>
      </c>
      <c r="C87" s="9"/>
      <c r="D87" s="9"/>
      <c r="E87" s="9"/>
      <c r="F87" s="9"/>
      <c r="G87" s="9"/>
      <c r="H87" s="9"/>
      <c r="I87" s="9"/>
      <c r="J87" s="9"/>
      <c r="K87" s="227"/>
      <c r="L87" s="4" t="s">
        <v>14</v>
      </c>
      <c r="M87" s="9"/>
      <c r="N87" s="9"/>
      <c r="O87" s="9"/>
      <c r="P87" s="9"/>
      <c r="Q87" s="9"/>
      <c r="R87" s="9"/>
      <c r="S87" s="9"/>
      <c r="T87" s="53"/>
      <c r="U87" s="59">
        <f t="shared" si="10"/>
        <v>0</v>
      </c>
    </row>
    <row r="88" spans="1:40" ht="15">
      <c r="A88" s="230"/>
      <c r="B88" s="4" t="s">
        <v>15</v>
      </c>
      <c r="C88" s="9"/>
      <c r="D88" s="9"/>
      <c r="E88" s="9"/>
      <c r="F88" s="9"/>
      <c r="G88" s="9"/>
      <c r="H88" s="9"/>
      <c r="I88" s="9"/>
      <c r="J88" s="9"/>
      <c r="K88" s="227"/>
      <c r="L88" s="4" t="s">
        <v>15</v>
      </c>
      <c r="M88" s="9"/>
      <c r="N88" s="9"/>
      <c r="O88" s="9"/>
      <c r="P88" s="9"/>
      <c r="Q88" s="9"/>
      <c r="R88" s="9"/>
      <c r="S88" s="9"/>
      <c r="T88" s="53"/>
      <c r="U88" s="59">
        <f t="shared" si="10"/>
        <v>0</v>
      </c>
    </row>
    <row r="89" spans="1:40" ht="15">
      <c r="A89" s="230"/>
      <c r="B89" s="4" t="s">
        <v>16</v>
      </c>
      <c r="C89" s="9"/>
      <c r="D89" s="9"/>
      <c r="E89" s="9"/>
      <c r="F89" s="9"/>
      <c r="G89" s="9"/>
      <c r="H89" s="9"/>
      <c r="I89" s="9"/>
      <c r="J89" s="9"/>
      <c r="K89" s="227"/>
      <c r="L89" s="4" t="s">
        <v>16</v>
      </c>
      <c r="M89" s="9"/>
      <c r="N89" s="9"/>
      <c r="O89" s="9"/>
      <c r="P89" s="9"/>
      <c r="Q89" s="9"/>
      <c r="R89" s="9"/>
      <c r="S89" s="9"/>
      <c r="T89" s="53"/>
      <c r="U89" s="59">
        <f t="shared" si="10"/>
        <v>0</v>
      </c>
    </row>
    <row r="90" spans="1:40" ht="15">
      <c r="A90" s="230"/>
      <c r="B90" s="4" t="s">
        <v>17</v>
      </c>
      <c r="C90" s="9"/>
      <c r="D90" s="9"/>
      <c r="E90" s="9"/>
      <c r="F90" s="9"/>
      <c r="G90" s="9"/>
      <c r="H90" s="9"/>
      <c r="I90" s="9"/>
      <c r="J90" s="9"/>
      <c r="K90" s="227"/>
      <c r="L90" s="4" t="s">
        <v>17</v>
      </c>
      <c r="M90" s="9"/>
      <c r="N90" s="9"/>
      <c r="O90" s="9"/>
      <c r="P90" s="9"/>
      <c r="Q90" s="9"/>
      <c r="R90" s="9"/>
      <c r="S90" s="9"/>
      <c r="T90" s="53"/>
      <c r="U90" s="59">
        <f t="shared" si="10"/>
        <v>0</v>
      </c>
    </row>
    <row r="91" spans="1:40" ht="15">
      <c r="A91" s="231"/>
      <c r="B91" s="61" t="s">
        <v>18</v>
      </c>
      <c r="C91" s="75"/>
      <c r="D91" s="75"/>
      <c r="E91" s="75"/>
      <c r="F91" s="75"/>
      <c r="G91" s="75"/>
      <c r="H91" s="75"/>
      <c r="I91" s="75"/>
      <c r="J91" s="75"/>
      <c r="K91" s="232"/>
      <c r="L91" s="61" t="s">
        <v>18</v>
      </c>
      <c r="M91" s="75"/>
      <c r="N91" s="75"/>
      <c r="O91" s="75"/>
      <c r="P91" s="75"/>
      <c r="Q91" s="75"/>
      <c r="R91" s="75"/>
      <c r="S91" s="75"/>
      <c r="T91" s="76"/>
      <c r="U91" s="59">
        <f t="shared" si="10"/>
        <v>0</v>
      </c>
    </row>
    <row r="93" spans="1:40" ht="15.75">
      <c r="A93" s="1"/>
      <c r="B93" s="1"/>
      <c r="C93" s="183" t="s">
        <v>0</v>
      </c>
      <c r="D93" s="225"/>
      <c r="E93" s="225"/>
      <c r="F93" s="225"/>
      <c r="G93" s="226"/>
      <c r="H93" s="2"/>
      <c r="I93" s="1"/>
    </row>
    <row r="94" spans="1:40" ht="15.75">
      <c r="A94" s="1"/>
      <c r="B94" s="183" t="s">
        <v>1</v>
      </c>
      <c r="C94" s="225"/>
      <c r="D94" s="226"/>
      <c r="E94" s="1"/>
      <c r="F94" s="184" t="s">
        <v>2</v>
      </c>
      <c r="G94" s="225"/>
      <c r="H94" s="226"/>
      <c r="I94" s="1"/>
      <c r="K94" s="1"/>
      <c r="L94" s="183" t="s">
        <v>26</v>
      </c>
      <c r="M94" s="225"/>
      <c r="N94" s="226"/>
      <c r="O94" s="1"/>
      <c r="P94" s="184" t="s">
        <v>2</v>
      </c>
      <c r="Q94" s="225"/>
      <c r="R94" s="226"/>
      <c r="S94" s="1"/>
    </row>
    <row r="95" spans="1:40" ht="15.75">
      <c r="A95" s="54" t="s">
        <v>35</v>
      </c>
      <c r="B95" s="54" t="s">
        <v>4</v>
      </c>
      <c r="C95" s="54" t="s">
        <v>12</v>
      </c>
      <c r="D95" s="54" t="s">
        <v>19</v>
      </c>
      <c r="E95" s="54" t="s">
        <v>20</v>
      </c>
      <c r="F95" s="54" t="s">
        <v>21</v>
      </c>
      <c r="G95" s="54" t="s">
        <v>22</v>
      </c>
      <c r="H95" s="54" t="s">
        <v>23</v>
      </c>
      <c r="I95" s="54" t="s">
        <v>24</v>
      </c>
      <c r="J95" s="54" t="s">
        <v>25</v>
      </c>
      <c r="K95" s="54" t="s">
        <v>35</v>
      </c>
      <c r="L95" s="54" t="s">
        <v>4</v>
      </c>
      <c r="M95" s="54" t="s">
        <v>27</v>
      </c>
      <c r="N95" s="54" t="s">
        <v>28</v>
      </c>
      <c r="O95" s="54" t="s">
        <v>29</v>
      </c>
      <c r="P95" s="54" t="s">
        <v>30</v>
      </c>
      <c r="Q95" s="54" t="s">
        <v>31</v>
      </c>
      <c r="R95" s="54" t="s">
        <v>32</v>
      </c>
      <c r="S95" s="54" t="s">
        <v>33</v>
      </c>
      <c r="T95" s="54" t="s">
        <v>34</v>
      </c>
      <c r="U95" s="54" t="s">
        <v>55</v>
      </c>
    </row>
    <row r="96" spans="1:40" ht="15.75">
      <c r="A96" s="195" t="s">
        <v>5</v>
      </c>
      <c r="B96" s="56" t="s">
        <v>13</v>
      </c>
      <c r="C96" s="57"/>
      <c r="D96" s="57"/>
      <c r="E96" s="56"/>
      <c r="F96" s="56"/>
      <c r="G96" s="56"/>
      <c r="H96" s="56"/>
      <c r="I96" s="56"/>
      <c r="J96" s="56"/>
      <c r="K96" s="196" t="s">
        <v>5</v>
      </c>
      <c r="L96" s="56" t="s">
        <v>13</v>
      </c>
      <c r="M96" s="56"/>
      <c r="N96" s="56"/>
      <c r="O96" s="56"/>
      <c r="P96" s="56"/>
      <c r="Q96" s="56"/>
      <c r="R96" s="57"/>
      <c r="S96" s="57"/>
      <c r="T96" s="58"/>
      <c r="U96" s="59">
        <f>SUM(M96:T96,C96:J96)</f>
        <v>0</v>
      </c>
      <c r="W96" s="197" t="s">
        <v>2</v>
      </c>
      <c r="X96" s="198"/>
      <c r="AG96" s="190" t="s">
        <v>58</v>
      </c>
      <c r="AH96" s="191"/>
      <c r="AI96" s="191"/>
      <c r="AJ96" s="191"/>
      <c r="AK96" s="191"/>
      <c r="AL96" s="191"/>
      <c r="AM96" s="191"/>
      <c r="AN96" s="192"/>
    </row>
    <row r="97" spans="1:40" ht="15">
      <c r="A97" s="230"/>
      <c r="B97" s="4" t="s">
        <v>14</v>
      </c>
      <c r="C97" s="5"/>
      <c r="D97" s="5"/>
      <c r="E97" s="4"/>
      <c r="F97" s="4"/>
      <c r="G97" s="4"/>
      <c r="H97" s="4"/>
      <c r="I97" s="4"/>
      <c r="J97" s="4"/>
      <c r="K97" s="227"/>
      <c r="L97" s="4" t="s">
        <v>14</v>
      </c>
      <c r="M97" s="4"/>
      <c r="N97" s="4"/>
      <c r="O97" s="4"/>
      <c r="P97" s="4"/>
      <c r="Q97" s="4"/>
      <c r="R97" s="5"/>
      <c r="S97" s="5"/>
      <c r="T97" s="49"/>
      <c r="U97" s="59">
        <f t="shared" ref="U97:U137" si="18">SUM(M97:T97,C97:J97)</f>
        <v>0</v>
      </c>
      <c r="W97" s="55" t="s">
        <v>5</v>
      </c>
      <c r="X97" s="48">
        <f>SUM(U96:U101)</f>
        <v>0</v>
      </c>
      <c r="AG97" s="98" t="s">
        <v>4</v>
      </c>
      <c r="AH97" s="98" t="s">
        <v>5</v>
      </c>
      <c r="AI97" s="98" t="s">
        <v>6</v>
      </c>
      <c r="AJ97" s="98" t="s">
        <v>7</v>
      </c>
      <c r="AK97" s="98" t="s">
        <v>8</v>
      </c>
      <c r="AL97" s="98" t="s">
        <v>9</v>
      </c>
      <c r="AM97" s="98" t="s">
        <v>10</v>
      </c>
      <c r="AN97" s="98" t="s">
        <v>11</v>
      </c>
    </row>
    <row r="98" spans="1:40" ht="15">
      <c r="A98" s="230"/>
      <c r="B98" s="4" t="s">
        <v>15</v>
      </c>
      <c r="C98" s="5"/>
      <c r="D98" s="5"/>
      <c r="E98" s="4"/>
      <c r="F98" s="4"/>
      <c r="G98" s="4"/>
      <c r="H98" s="4"/>
      <c r="I98" s="4"/>
      <c r="J98" s="4"/>
      <c r="K98" s="227"/>
      <c r="L98" s="4" t="s">
        <v>15</v>
      </c>
      <c r="M98" s="4"/>
      <c r="N98" s="4"/>
      <c r="O98" s="4"/>
      <c r="P98" s="4"/>
      <c r="Q98" s="4"/>
      <c r="R98" s="5"/>
      <c r="S98" s="5"/>
      <c r="T98" s="49"/>
      <c r="U98" s="59">
        <f t="shared" si="18"/>
        <v>0</v>
      </c>
      <c r="W98" s="55" t="s">
        <v>6</v>
      </c>
      <c r="X98" s="48">
        <f>SUM(U102:U107)</f>
        <v>0</v>
      </c>
      <c r="AG98" s="79" t="s">
        <v>13</v>
      </c>
      <c r="AH98" s="79">
        <f t="shared" ref="AH98:AH103" si="19">U96</f>
        <v>0</v>
      </c>
      <c r="AI98" s="79">
        <f t="shared" ref="AI98:AI103" si="20">U102</f>
        <v>0</v>
      </c>
      <c r="AJ98" s="79">
        <f t="shared" ref="AJ98:AJ103" si="21">U108</f>
        <v>0</v>
      </c>
      <c r="AK98" s="79">
        <f t="shared" ref="AK98:AK103" si="22">U114</f>
        <v>0</v>
      </c>
      <c r="AL98" s="79">
        <f t="shared" ref="AL98:AL103" si="23">U120</f>
        <v>0</v>
      </c>
      <c r="AM98" s="79">
        <f t="shared" ref="AM98:AM103" si="24">U126</f>
        <v>0</v>
      </c>
      <c r="AN98" s="79">
        <f t="shared" ref="AN98:AN103" si="25">U132</f>
        <v>0</v>
      </c>
    </row>
    <row r="99" spans="1:40" ht="15">
      <c r="A99" s="230"/>
      <c r="B99" s="4" t="s">
        <v>16</v>
      </c>
      <c r="C99" s="5"/>
      <c r="D99" s="5"/>
      <c r="E99" s="4"/>
      <c r="F99" s="4"/>
      <c r="G99" s="4"/>
      <c r="H99" s="4"/>
      <c r="I99" s="4"/>
      <c r="J99" s="4"/>
      <c r="K99" s="227"/>
      <c r="L99" s="4" t="s">
        <v>16</v>
      </c>
      <c r="M99" s="4"/>
      <c r="N99" s="4"/>
      <c r="O99" s="4"/>
      <c r="P99" s="4"/>
      <c r="Q99" s="4"/>
      <c r="R99" s="5"/>
      <c r="S99" s="5"/>
      <c r="T99" s="49"/>
      <c r="U99" s="59">
        <f t="shared" si="18"/>
        <v>0</v>
      </c>
      <c r="W99" s="55" t="s">
        <v>7</v>
      </c>
      <c r="X99" s="48">
        <f>SUM(U108:U113)</f>
        <v>0</v>
      </c>
      <c r="AG99" s="97" t="s">
        <v>14</v>
      </c>
      <c r="AH99" s="97">
        <f t="shared" si="19"/>
        <v>0</v>
      </c>
      <c r="AI99" s="97">
        <f t="shared" si="20"/>
        <v>0</v>
      </c>
      <c r="AJ99" s="97">
        <f t="shared" si="21"/>
        <v>0</v>
      </c>
      <c r="AK99" s="97">
        <f t="shared" si="22"/>
        <v>0</v>
      </c>
      <c r="AL99" s="97">
        <f t="shared" si="23"/>
        <v>0</v>
      </c>
      <c r="AM99" s="97">
        <f t="shared" si="24"/>
        <v>0</v>
      </c>
      <c r="AN99" s="97">
        <f t="shared" si="25"/>
        <v>0</v>
      </c>
    </row>
    <row r="100" spans="1:40" ht="15">
      <c r="A100" s="230"/>
      <c r="B100" s="4" t="s">
        <v>17</v>
      </c>
      <c r="C100" s="5"/>
      <c r="D100" s="5"/>
      <c r="E100" s="4"/>
      <c r="F100" s="4"/>
      <c r="G100" s="4"/>
      <c r="H100" s="4"/>
      <c r="I100" s="4"/>
      <c r="J100" s="4"/>
      <c r="K100" s="227"/>
      <c r="L100" s="4" t="s">
        <v>17</v>
      </c>
      <c r="M100" s="4"/>
      <c r="N100" s="4"/>
      <c r="O100" s="4"/>
      <c r="P100" s="4"/>
      <c r="Q100" s="4"/>
      <c r="R100" s="5"/>
      <c r="S100" s="5"/>
      <c r="T100" s="49"/>
      <c r="U100" s="59">
        <f t="shared" si="18"/>
        <v>0</v>
      </c>
      <c r="W100" s="55" t="s">
        <v>61</v>
      </c>
      <c r="X100" s="48">
        <f>SUM(U114:U119)</f>
        <v>0</v>
      </c>
      <c r="AG100" s="79" t="s">
        <v>15</v>
      </c>
      <c r="AH100" s="79">
        <f t="shared" si="19"/>
        <v>0</v>
      </c>
      <c r="AI100" s="79">
        <f t="shared" si="20"/>
        <v>0</v>
      </c>
      <c r="AJ100" s="79">
        <f t="shared" si="21"/>
        <v>0</v>
      </c>
      <c r="AK100" s="79">
        <f t="shared" si="22"/>
        <v>0</v>
      </c>
      <c r="AL100" s="79">
        <f t="shared" si="23"/>
        <v>0</v>
      </c>
      <c r="AM100" s="79">
        <f t="shared" si="24"/>
        <v>0</v>
      </c>
      <c r="AN100" s="79">
        <f t="shared" si="25"/>
        <v>0</v>
      </c>
    </row>
    <row r="101" spans="1:40" ht="15">
      <c r="A101" s="230"/>
      <c r="B101" s="46" t="s">
        <v>18</v>
      </c>
      <c r="C101" s="64"/>
      <c r="D101" s="64"/>
      <c r="E101" s="46"/>
      <c r="F101" s="46"/>
      <c r="G101" s="46"/>
      <c r="H101" s="46"/>
      <c r="I101" s="46"/>
      <c r="J101" s="46"/>
      <c r="K101" s="227"/>
      <c r="L101" s="46" t="s">
        <v>18</v>
      </c>
      <c r="M101" s="46"/>
      <c r="N101" s="46"/>
      <c r="O101" s="46"/>
      <c r="P101" s="46"/>
      <c r="Q101" s="46"/>
      <c r="R101" s="64"/>
      <c r="S101" s="64"/>
      <c r="T101" s="65"/>
      <c r="U101" s="59">
        <f t="shared" si="18"/>
        <v>0</v>
      </c>
      <c r="W101" s="55" t="s">
        <v>9</v>
      </c>
      <c r="X101" s="48">
        <f>SUM(U120:U125)</f>
        <v>0</v>
      </c>
      <c r="AG101" s="97" t="s">
        <v>16</v>
      </c>
      <c r="AH101" s="97">
        <f t="shared" si="19"/>
        <v>0</v>
      </c>
      <c r="AI101" s="97">
        <f t="shared" si="20"/>
        <v>0</v>
      </c>
      <c r="AJ101" s="97">
        <f t="shared" si="21"/>
        <v>0</v>
      </c>
      <c r="AK101" s="97">
        <f t="shared" si="22"/>
        <v>0</v>
      </c>
      <c r="AL101" s="97">
        <f t="shared" si="23"/>
        <v>0</v>
      </c>
      <c r="AM101" s="97">
        <f t="shared" si="24"/>
        <v>0</v>
      </c>
      <c r="AN101" s="97">
        <f t="shared" si="25"/>
        <v>0</v>
      </c>
    </row>
    <row r="102" spans="1:40" ht="15">
      <c r="A102" s="193" t="s">
        <v>6</v>
      </c>
      <c r="B102" s="63" t="s">
        <v>13</v>
      </c>
      <c r="C102" s="57"/>
      <c r="D102" s="57"/>
      <c r="E102" s="57"/>
      <c r="F102" s="63"/>
      <c r="G102" s="63"/>
      <c r="H102" s="63"/>
      <c r="I102" s="63"/>
      <c r="J102" s="63"/>
      <c r="K102" s="194" t="s">
        <v>6</v>
      </c>
      <c r="L102" s="63" t="s">
        <v>13</v>
      </c>
      <c r="M102" s="63"/>
      <c r="N102" s="63"/>
      <c r="O102" s="63"/>
      <c r="P102" s="63"/>
      <c r="Q102" s="57"/>
      <c r="R102" s="57"/>
      <c r="S102" s="57"/>
      <c r="T102" s="58"/>
      <c r="U102" s="59">
        <f t="shared" si="18"/>
        <v>0</v>
      </c>
      <c r="W102" s="55" t="s">
        <v>10</v>
      </c>
      <c r="X102" s="48">
        <f>SUM(U126:U131)</f>
        <v>0</v>
      </c>
      <c r="AG102" s="79" t="s">
        <v>17</v>
      </c>
      <c r="AH102" s="79">
        <f t="shared" si="19"/>
        <v>0</v>
      </c>
      <c r="AI102" s="79">
        <f t="shared" si="20"/>
        <v>0</v>
      </c>
      <c r="AJ102" s="79">
        <f t="shared" si="21"/>
        <v>0</v>
      </c>
      <c r="AK102" s="79">
        <f t="shared" si="22"/>
        <v>0</v>
      </c>
      <c r="AL102" s="79">
        <f t="shared" si="23"/>
        <v>0</v>
      </c>
      <c r="AM102" s="79">
        <f t="shared" si="24"/>
        <v>0</v>
      </c>
      <c r="AN102" s="79">
        <f t="shared" si="25"/>
        <v>0</v>
      </c>
    </row>
    <row r="103" spans="1:40" ht="15">
      <c r="A103" s="230"/>
      <c r="B103" s="6" t="s">
        <v>14</v>
      </c>
      <c r="C103" s="5"/>
      <c r="D103" s="5"/>
      <c r="E103" s="5"/>
      <c r="F103" s="6"/>
      <c r="G103" s="6"/>
      <c r="H103" s="6"/>
      <c r="I103" s="6"/>
      <c r="J103" s="6"/>
      <c r="K103" s="227"/>
      <c r="L103" s="6" t="s">
        <v>14</v>
      </c>
      <c r="M103" s="6"/>
      <c r="N103" s="6"/>
      <c r="O103" s="6"/>
      <c r="P103" s="6"/>
      <c r="Q103" s="5"/>
      <c r="R103" s="5"/>
      <c r="S103" s="5"/>
      <c r="T103" s="49"/>
      <c r="U103" s="59">
        <f t="shared" si="18"/>
        <v>0</v>
      </c>
      <c r="W103" s="81" t="s">
        <v>11</v>
      </c>
      <c r="X103" s="80">
        <f>SUM(U132:U137)</f>
        <v>0</v>
      </c>
      <c r="AG103" s="97" t="s">
        <v>18</v>
      </c>
      <c r="AH103" s="97">
        <f t="shared" si="19"/>
        <v>0</v>
      </c>
      <c r="AI103" s="97">
        <f t="shared" si="20"/>
        <v>0</v>
      </c>
      <c r="AJ103" s="97">
        <f t="shared" si="21"/>
        <v>0</v>
      </c>
      <c r="AK103" s="97">
        <f t="shared" si="22"/>
        <v>0</v>
      </c>
      <c r="AL103" s="97">
        <f t="shared" si="23"/>
        <v>0</v>
      </c>
      <c r="AM103" s="97">
        <f t="shared" si="24"/>
        <v>0</v>
      </c>
      <c r="AN103" s="97">
        <f t="shared" si="25"/>
        <v>0</v>
      </c>
    </row>
    <row r="104" spans="1:40" ht="15">
      <c r="A104" s="230"/>
      <c r="B104" s="6" t="s">
        <v>15</v>
      </c>
      <c r="C104" s="5"/>
      <c r="D104" s="5"/>
      <c r="E104" s="5"/>
      <c r="F104" s="6"/>
      <c r="G104" s="6"/>
      <c r="H104" s="6"/>
      <c r="I104" s="6"/>
      <c r="J104" s="6"/>
      <c r="K104" s="227"/>
      <c r="L104" s="6" t="s">
        <v>15</v>
      </c>
      <c r="M104" s="6"/>
      <c r="N104" s="6"/>
      <c r="O104" s="6"/>
      <c r="P104" s="6"/>
      <c r="Q104" s="5"/>
      <c r="R104" s="5"/>
      <c r="S104" s="5"/>
      <c r="T104" s="49"/>
      <c r="U104" s="59">
        <f t="shared" si="18"/>
        <v>0</v>
      </c>
      <c r="W104" s="79" t="s">
        <v>63</v>
      </c>
      <c r="X104" s="82">
        <f>SUM(X97:X103)</f>
        <v>0</v>
      </c>
    </row>
    <row r="105" spans="1:40" ht="15">
      <c r="A105" s="230"/>
      <c r="B105" s="6" t="s">
        <v>16</v>
      </c>
      <c r="C105" s="5"/>
      <c r="D105" s="5"/>
      <c r="E105" s="5"/>
      <c r="F105" s="6"/>
      <c r="G105" s="6"/>
      <c r="H105" s="6"/>
      <c r="I105" s="6"/>
      <c r="J105" s="6"/>
      <c r="K105" s="227"/>
      <c r="L105" s="6" t="s">
        <v>16</v>
      </c>
      <c r="M105" s="6"/>
      <c r="N105" s="6"/>
      <c r="O105" s="6"/>
      <c r="P105" s="6"/>
      <c r="Q105" s="5"/>
      <c r="R105" s="5"/>
      <c r="S105" s="5"/>
      <c r="T105" s="49"/>
      <c r="U105" s="59">
        <f t="shared" si="18"/>
        <v>0</v>
      </c>
    </row>
    <row r="106" spans="1:40" ht="15">
      <c r="A106" s="230"/>
      <c r="B106" s="6" t="s">
        <v>17</v>
      </c>
      <c r="C106" s="5"/>
      <c r="D106" s="5"/>
      <c r="E106" s="5"/>
      <c r="F106" s="6"/>
      <c r="G106" s="6"/>
      <c r="H106" s="6"/>
      <c r="I106" s="6"/>
      <c r="J106" s="6"/>
      <c r="K106" s="227"/>
      <c r="L106" s="6" t="s">
        <v>17</v>
      </c>
      <c r="M106" s="6"/>
      <c r="N106" s="6"/>
      <c r="O106" s="6"/>
      <c r="P106" s="6"/>
      <c r="Q106" s="5"/>
      <c r="R106" s="5"/>
      <c r="S106" s="5"/>
      <c r="T106" s="49"/>
      <c r="U106" s="59">
        <f t="shared" si="18"/>
        <v>0</v>
      </c>
    </row>
    <row r="107" spans="1:40" ht="15">
      <c r="A107" s="230"/>
      <c r="B107" s="47" t="s">
        <v>18</v>
      </c>
      <c r="C107" s="64"/>
      <c r="D107" s="64"/>
      <c r="E107" s="64"/>
      <c r="F107" s="47"/>
      <c r="G107" s="47"/>
      <c r="H107" s="47"/>
      <c r="I107" s="47"/>
      <c r="J107" s="47"/>
      <c r="K107" s="227"/>
      <c r="L107" s="47" t="s">
        <v>18</v>
      </c>
      <c r="M107" s="47"/>
      <c r="N107" s="47"/>
      <c r="O107" s="47"/>
      <c r="P107" s="47"/>
      <c r="Q107" s="64"/>
      <c r="R107" s="64"/>
      <c r="S107" s="64"/>
      <c r="T107" s="65"/>
      <c r="U107" s="59">
        <f t="shared" si="18"/>
        <v>0</v>
      </c>
    </row>
    <row r="108" spans="1:40" ht="15">
      <c r="A108" s="195" t="s">
        <v>7</v>
      </c>
      <c r="B108" s="56" t="s">
        <v>13</v>
      </c>
      <c r="C108" s="56"/>
      <c r="D108" s="56"/>
      <c r="E108" s="56"/>
      <c r="F108" s="56"/>
      <c r="G108" s="56"/>
      <c r="H108" s="56"/>
      <c r="I108" s="56"/>
      <c r="J108" s="56"/>
      <c r="K108" s="196" t="s">
        <v>7</v>
      </c>
      <c r="L108" s="56" t="s">
        <v>13</v>
      </c>
      <c r="M108" s="56"/>
      <c r="N108" s="56"/>
      <c r="O108" s="56"/>
      <c r="P108" s="56"/>
      <c r="Q108" s="56"/>
      <c r="R108" s="56"/>
      <c r="S108" s="56"/>
      <c r="T108" s="67"/>
      <c r="U108" s="59">
        <f t="shared" si="18"/>
        <v>0</v>
      </c>
    </row>
    <row r="109" spans="1:40" ht="15">
      <c r="A109" s="230"/>
      <c r="B109" s="4" t="s">
        <v>14</v>
      </c>
      <c r="C109" s="4"/>
      <c r="D109" s="4"/>
      <c r="E109" s="4"/>
      <c r="F109" s="4"/>
      <c r="G109" s="4"/>
      <c r="H109" s="4"/>
      <c r="I109" s="4"/>
      <c r="J109" s="4"/>
      <c r="K109" s="227"/>
      <c r="L109" s="4" t="s">
        <v>14</v>
      </c>
      <c r="M109" s="4"/>
      <c r="N109" s="4"/>
      <c r="O109" s="4"/>
      <c r="P109" s="4"/>
      <c r="Q109" s="4"/>
      <c r="R109" s="4"/>
      <c r="S109" s="4"/>
      <c r="T109" s="50"/>
      <c r="U109" s="59">
        <f t="shared" si="18"/>
        <v>0</v>
      </c>
    </row>
    <row r="110" spans="1:40" ht="15">
      <c r="A110" s="230"/>
      <c r="B110" s="4" t="s">
        <v>15</v>
      </c>
      <c r="C110" s="4"/>
      <c r="D110" s="4"/>
      <c r="E110" s="4"/>
      <c r="F110" s="4"/>
      <c r="G110" s="4"/>
      <c r="H110" s="4"/>
      <c r="I110" s="4"/>
      <c r="J110" s="4"/>
      <c r="K110" s="227"/>
      <c r="L110" s="4" t="s">
        <v>15</v>
      </c>
      <c r="M110" s="4"/>
      <c r="N110" s="4"/>
      <c r="O110" s="4"/>
      <c r="P110" s="4"/>
      <c r="Q110" s="4"/>
      <c r="R110" s="4"/>
      <c r="S110" s="4"/>
      <c r="T110" s="50"/>
      <c r="U110" s="59">
        <f t="shared" si="18"/>
        <v>0</v>
      </c>
    </row>
    <row r="111" spans="1:40" ht="15">
      <c r="A111" s="230"/>
      <c r="B111" s="4" t="s">
        <v>16</v>
      </c>
      <c r="C111" s="4"/>
      <c r="D111" s="4"/>
      <c r="E111" s="4"/>
      <c r="F111" s="4"/>
      <c r="G111" s="4"/>
      <c r="H111" s="4"/>
      <c r="I111" s="4"/>
      <c r="J111" s="4"/>
      <c r="K111" s="227"/>
      <c r="L111" s="4" t="s">
        <v>16</v>
      </c>
      <c r="M111" s="4"/>
      <c r="N111" s="4"/>
      <c r="O111" s="4"/>
      <c r="P111" s="4"/>
      <c r="Q111" s="4"/>
      <c r="R111" s="4"/>
      <c r="S111" s="4"/>
      <c r="T111" s="50"/>
      <c r="U111" s="59">
        <f t="shared" si="18"/>
        <v>0</v>
      </c>
    </row>
    <row r="112" spans="1:40" ht="15">
      <c r="A112" s="230"/>
      <c r="B112" s="4" t="s">
        <v>17</v>
      </c>
      <c r="C112" s="4"/>
      <c r="D112" s="4"/>
      <c r="E112" s="4"/>
      <c r="F112" s="4"/>
      <c r="G112" s="4"/>
      <c r="H112" s="4"/>
      <c r="I112" s="4"/>
      <c r="J112" s="4"/>
      <c r="K112" s="227"/>
      <c r="L112" s="4" t="s">
        <v>17</v>
      </c>
      <c r="M112" s="4"/>
      <c r="N112" s="4"/>
      <c r="O112" s="4"/>
      <c r="P112" s="4"/>
      <c r="Q112" s="4"/>
      <c r="R112" s="4"/>
      <c r="S112" s="4"/>
      <c r="T112" s="50"/>
      <c r="U112" s="59">
        <f t="shared" si="18"/>
        <v>0</v>
      </c>
    </row>
    <row r="113" spans="1:21" ht="15">
      <c r="A113" s="230"/>
      <c r="B113" s="46" t="s">
        <v>18</v>
      </c>
      <c r="C113" s="46"/>
      <c r="D113" s="46"/>
      <c r="E113" s="46"/>
      <c r="F113" s="46"/>
      <c r="G113" s="46"/>
      <c r="H113" s="46"/>
      <c r="I113" s="46"/>
      <c r="J113" s="46"/>
      <c r="K113" s="227"/>
      <c r="L113" s="46" t="s">
        <v>18</v>
      </c>
      <c r="M113" s="46"/>
      <c r="N113" s="46"/>
      <c r="O113" s="46"/>
      <c r="P113" s="46"/>
      <c r="Q113" s="46"/>
      <c r="R113" s="46"/>
      <c r="S113" s="46"/>
      <c r="T113" s="69"/>
      <c r="U113" s="59">
        <f t="shared" si="18"/>
        <v>0</v>
      </c>
    </row>
    <row r="114" spans="1:21" ht="15">
      <c r="A114" s="193" t="s">
        <v>8</v>
      </c>
      <c r="B114" s="63" t="s">
        <v>13</v>
      </c>
      <c r="C114" s="63"/>
      <c r="D114" s="63"/>
      <c r="E114" s="63"/>
      <c r="F114" s="63"/>
      <c r="G114" s="63"/>
      <c r="H114" s="63"/>
      <c r="I114" s="63"/>
      <c r="J114" s="63"/>
      <c r="K114" s="194" t="s">
        <v>8</v>
      </c>
      <c r="L114" s="63" t="s">
        <v>13</v>
      </c>
      <c r="M114" s="63"/>
      <c r="N114" s="63"/>
      <c r="O114" s="63"/>
      <c r="P114" s="63"/>
      <c r="Q114" s="63"/>
      <c r="R114" s="63"/>
      <c r="S114" s="63"/>
      <c r="T114" s="68"/>
      <c r="U114" s="59">
        <f t="shared" si="18"/>
        <v>0</v>
      </c>
    </row>
    <row r="115" spans="1:21" ht="15">
      <c r="A115" s="230"/>
      <c r="B115" s="6" t="s">
        <v>14</v>
      </c>
      <c r="C115" s="6"/>
      <c r="D115" s="6"/>
      <c r="E115" s="6"/>
      <c r="F115" s="6"/>
      <c r="G115" s="6"/>
      <c r="H115" s="6"/>
      <c r="I115" s="6"/>
      <c r="J115" s="6"/>
      <c r="K115" s="227"/>
      <c r="L115" s="6" t="s">
        <v>14</v>
      </c>
      <c r="M115" s="6"/>
      <c r="N115" s="6"/>
      <c r="O115" s="6"/>
      <c r="P115" s="6"/>
      <c r="Q115" s="6"/>
      <c r="R115" s="6"/>
      <c r="S115" s="6"/>
      <c r="T115" s="51"/>
      <c r="U115" s="59">
        <f t="shared" si="18"/>
        <v>0</v>
      </c>
    </row>
    <row r="116" spans="1:21" ht="15">
      <c r="A116" s="230"/>
      <c r="B116" s="6" t="s">
        <v>15</v>
      </c>
      <c r="C116" s="6"/>
      <c r="D116" s="6"/>
      <c r="E116" s="6"/>
      <c r="F116" s="6"/>
      <c r="G116" s="6"/>
      <c r="H116" s="6"/>
      <c r="I116" s="6"/>
      <c r="J116" s="6"/>
      <c r="K116" s="227"/>
      <c r="L116" s="6" t="s">
        <v>15</v>
      </c>
      <c r="M116" s="6"/>
      <c r="N116" s="6"/>
      <c r="O116" s="6"/>
      <c r="P116" s="6"/>
      <c r="Q116" s="6"/>
      <c r="R116" s="6"/>
      <c r="S116" s="6"/>
      <c r="T116" s="51"/>
      <c r="U116" s="59">
        <f t="shared" si="18"/>
        <v>0</v>
      </c>
    </row>
    <row r="117" spans="1:21" ht="15">
      <c r="A117" s="230"/>
      <c r="B117" s="6" t="s">
        <v>16</v>
      </c>
      <c r="C117" s="6"/>
      <c r="D117" s="6"/>
      <c r="E117" s="6"/>
      <c r="F117" s="6"/>
      <c r="G117" s="6"/>
      <c r="H117" s="6"/>
      <c r="I117" s="6"/>
      <c r="J117" s="6"/>
      <c r="K117" s="227"/>
      <c r="L117" s="6" t="s">
        <v>16</v>
      </c>
      <c r="M117" s="6"/>
      <c r="N117" s="6"/>
      <c r="O117" s="6"/>
      <c r="P117" s="6"/>
      <c r="Q117" s="6"/>
      <c r="R117" s="6"/>
      <c r="S117" s="6"/>
      <c r="T117" s="51"/>
      <c r="U117" s="59">
        <f t="shared" si="18"/>
        <v>0</v>
      </c>
    </row>
    <row r="118" spans="1:21" ht="15">
      <c r="A118" s="230"/>
      <c r="B118" s="6" t="s">
        <v>17</v>
      </c>
      <c r="C118" s="6"/>
      <c r="D118" s="6"/>
      <c r="E118" s="6"/>
      <c r="F118" s="6"/>
      <c r="G118" s="6"/>
      <c r="H118" s="6"/>
      <c r="I118" s="6"/>
      <c r="J118" s="6"/>
      <c r="K118" s="227"/>
      <c r="L118" s="6" t="s">
        <v>17</v>
      </c>
      <c r="M118" s="6"/>
      <c r="N118" s="6"/>
      <c r="O118" s="6"/>
      <c r="P118" s="6"/>
      <c r="Q118" s="6"/>
      <c r="R118" s="6"/>
      <c r="S118" s="6"/>
      <c r="T118" s="51"/>
      <c r="U118" s="59">
        <f t="shared" si="18"/>
        <v>0</v>
      </c>
    </row>
    <row r="119" spans="1:21" ht="15">
      <c r="A119" s="230"/>
      <c r="B119" s="47" t="s">
        <v>18</v>
      </c>
      <c r="C119" s="47"/>
      <c r="D119" s="47"/>
      <c r="E119" s="47"/>
      <c r="F119" s="47"/>
      <c r="G119" s="47"/>
      <c r="H119" s="47"/>
      <c r="I119" s="47"/>
      <c r="J119" s="47"/>
      <c r="K119" s="227"/>
      <c r="L119" s="47" t="s">
        <v>18</v>
      </c>
      <c r="M119" s="47"/>
      <c r="N119" s="47"/>
      <c r="O119" s="47"/>
      <c r="P119" s="47"/>
      <c r="Q119" s="47"/>
      <c r="R119" s="47"/>
      <c r="S119" s="47"/>
      <c r="T119" s="70"/>
      <c r="U119" s="59">
        <f t="shared" si="18"/>
        <v>0</v>
      </c>
    </row>
    <row r="120" spans="1:21" ht="15">
      <c r="A120" s="195" t="s">
        <v>9</v>
      </c>
      <c r="B120" s="56" t="s">
        <v>13</v>
      </c>
      <c r="C120" s="56"/>
      <c r="D120" s="56"/>
      <c r="E120" s="56"/>
      <c r="F120" s="56"/>
      <c r="G120" s="56"/>
      <c r="H120" s="56"/>
      <c r="I120" s="56"/>
      <c r="J120" s="56"/>
      <c r="K120" s="196" t="s">
        <v>9</v>
      </c>
      <c r="L120" s="56" t="s">
        <v>13</v>
      </c>
      <c r="M120" s="56"/>
      <c r="N120" s="56"/>
      <c r="O120" s="56"/>
      <c r="P120" s="56"/>
      <c r="Q120" s="56"/>
      <c r="R120" s="56"/>
      <c r="S120" s="56"/>
      <c r="T120" s="67"/>
      <c r="U120" s="59">
        <f t="shared" si="18"/>
        <v>0</v>
      </c>
    </row>
    <row r="121" spans="1:21" ht="15">
      <c r="A121" s="230"/>
      <c r="B121" s="4" t="s">
        <v>14</v>
      </c>
      <c r="C121" s="4"/>
      <c r="D121" s="4"/>
      <c r="E121" s="4"/>
      <c r="F121" s="4"/>
      <c r="G121" s="4"/>
      <c r="H121" s="4"/>
      <c r="I121" s="4"/>
      <c r="J121" s="4"/>
      <c r="K121" s="227"/>
      <c r="L121" s="4" t="s">
        <v>14</v>
      </c>
      <c r="M121" s="4"/>
      <c r="N121" s="4"/>
      <c r="O121" s="4"/>
      <c r="P121" s="4"/>
      <c r="Q121" s="4"/>
      <c r="R121" s="4"/>
      <c r="S121" s="4"/>
      <c r="T121" s="50"/>
      <c r="U121" s="59">
        <f t="shared" si="18"/>
        <v>0</v>
      </c>
    </row>
    <row r="122" spans="1:21" ht="15">
      <c r="A122" s="230"/>
      <c r="B122" s="4" t="s">
        <v>15</v>
      </c>
      <c r="C122" s="4"/>
      <c r="D122" s="4"/>
      <c r="E122" s="4"/>
      <c r="F122" s="4"/>
      <c r="G122" s="4"/>
      <c r="H122" s="4"/>
      <c r="I122" s="4"/>
      <c r="J122" s="4"/>
      <c r="K122" s="227"/>
      <c r="L122" s="4" t="s">
        <v>15</v>
      </c>
      <c r="M122" s="4"/>
      <c r="N122" s="4"/>
      <c r="O122" s="4"/>
      <c r="P122" s="4"/>
      <c r="Q122" s="4"/>
      <c r="R122" s="4"/>
      <c r="S122" s="4"/>
      <c r="T122" s="50"/>
      <c r="U122" s="59">
        <f t="shared" si="18"/>
        <v>0</v>
      </c>
    </row>
    <row r="123" spans="1:21" ht="15">
      <c r="A123" s="230"/>
      <c r="B123" s="4" t="s">
        <v>16</v>
      </c>
      <c r="C123" s="4"/>
      <c r="D123" s="4"/>
      <c r="E123" s="4"/>
      <c r="F123" s="4"/>
      <c r="G123" s="4"/>
      <c r="H123" s="4"/>
      <c r="I123" s="4"/>
      <c r="J123" s="4"/>
      <c r="K123" s="227"/>
      <c r="L123" s="4" t="s">
        <v>16</v>
      </c>
      <c r="M123" s="4"/>
      <c r="N123" s="4"/>
      <c r="O123" s="4"/>
      <c r="P123" s="4"/>
      <c r="Q123" s="4"/>
      <c r="R123" s="4"/>
      <c r="S123" s="4"/>
      <c r="T123" s="50"/>
      <c r="U123" s="59">
        <f t="shared" si="18"/>
        <v>0</v>
      </c>
    </row>
    <row r="124" spans="1:21" ht="15">
      <c r="A124" s="230"/>
      <c r="B124" s="4" t="s">
        <v>17</v>
      </c>
      <c r="C124" s="4"/>
      <c r="D124" s="4"/>
      <c r="E124" s="4"/>
      <c r="F124" s="4"/>
      <c r="G124" s="4"/>
      <c r="H124" s="4"/>
      <c r="I124" s="4"/>
      <c r="J124" s="4"/>
      <c r="K124" s="227"/>
      <c r="L124" s="4" t="s">
        <v>17</v>
      </c>
      <c r="M124" s="4"/>
      <c r="N124" s="4"/>
      <c r="O124" s="4"/>
      <c r="P124" s="4"/>
      <c r="Q124" s="4"/>
      <c r="R124" s="4"/>
      <c r="S124" s="4"/>
      <c r="T124" s="50"/>
      <c r="U124" s="59">
        <f t="shared" si="18"/>
        <v>0</v>
      </c>
    </row>
    <row r="125" spans="1:21" ht="15">
      <c r="A125" s="230"/>
      <c r="B125" s="46" t="s">
        <v>18</v>
      </c>
      <c r="C125" s="46"/>
      <c r="D125" s="46"/>
      <c r="E125" s="46"/>
      <c r="F125" s="46"/>
      <c r="G125" s="46"/>
      <c r="H125" s="46"/>
      <c r="I125" s="46"/>
      <c r="J125" s="46"/>
      <c r="K125" s="227"/>
      <c r="L125" s="46" t="s">
        <v>18</v>
      </c>
      <c r="M125" s="46"/>
      <c r="N125" s="46"/>
      <c r="O125" s="46"/>
      <c r="P125" s="46"/>
      <c r="Q125" s="46"/>
      <c r="R125" s="46"/>
      <c r="S125" s="46"/>
      <c r="T125" s="69"/>
      <c r="U125" s="59">
        <f t="shared" si="18"/>
        <v>0</v>
      </c>
    </row>
    <row r="126" spans="1:21" ht="15">
      <c r="A126" s="193" t="s">
        <v>10</v>
      </c>
      <c r="B126" s="63" t="s">
        <v>13</v>
      </c>
      <c r="C126" s="71"/>
      <c r="D126" s="71"/>
      <c r="E126" s="71"/>
      <c r="F126" s="71"/>
      <c r="G126" s="71"/>
      <c r="H126" s="71"/>
      <c r="I126" s="71"/>
      <c r="J126" s="71"/>
      <c r="K126" s="194" t="s">
        <v>10</v>
      </c>
      <c r="L126" s="63" t="s">
        <v>13</v>
      </c>
      <c r="M126" s="71"/>
      <c r="N126" s="71"/>
      <c r="O126" s="71"/>
      <c r="P126" s="71"/>
      <c r="Q126" s="71"/>
      <c r="R126" s="71"/>
      <c r="S126" s="71"/>
      <c r="T126" s="72"/>
      <c r="U126" s="59">
        <f t="shared" si="18"/>
        <v>0</v>
      </c>
    </row>
    <row r="127" spans="1:21" ht="15">
      <c r="A127" s="230"/>
      <c r="B127" s="6" t="s">
        <v>14</v>
      </c>
      <c r="C127" s="8"/>
      <c r="D127" s="8"/>
      <c r="E127" s="8"/>
      <c r="F127" s="8"/>
      <c r="G127" s="8"/>
      <c r="H127" s="8"/>
      <c r="I127" s="8"/>
      <c r="J127" s="8"/>
      <c r="K127" s="227"/>
      <c r="L127" s="6" t="s">
        <v>14</v>
      </c>
      <c r="M127" s="8"/>
      <c r="N127" s="8"/>
      <c r="O127" s="8"/>
      <c r="P127" s="8"/>
      <c r="Q127" s="8"/>
      <c r="R127" s="8"/>
      <c r="S127" s="8"/>
      <c r="T127" s="52"/>
      <c r="U127" s="59">
        <f t="shared" si="18"/>
        <v>0</v>
      </c>
    </row>
    <row r="128" spans="1:21" ht="15">
      <c r="A128" s="230"/>
      <c r="B128" s="6" t="s">
        <v>15</v>
      </c>
      <c r="C128" s="8"/>
      <c r="D128" s="8"/>
      <c r="E128" s="8"/>
      <c r="F128" s="8"/>
      <c r="G128" s="8"/>
      <c r="H128" s="8"/>
      <c r="I128" s="8"/>
      <c r="J128" s="8"/>
      <c r="K128" s="227"/>
      <c r="L128" s="6" t="s">
        <v>15</v>
      </c>
      <c r="M128" s="8"/>
      <c r="N128" s="8"/>
      <c r="O128" s="8"/>
      <c r="P128" s="8"/>
      <c r="Q128" s="8"/>
      <c r="R128" s="8"/>
      <c r="S128" s="8"/>
      <c r="T128" s="52"/>
      <c r="U128" s="59">
        <f t="shared" si="18"/>
        <v>0</v>
      </c>
    </row>
    <row r="129" spans="1:40" ht="15">
      <c r="A129" s="230"/>
      <c r="B129" s="6" t="s">
        <v>16</v>
      </c>
      <c r="C129" s="8"/>
      <c r="D129" s="8"/>
      <c r="E129" s="8"/>
      <c r="F129" s="8"/>
      <c r="G129" s="8"/>
      <c r="H129" s="8"/>
      <c r="I129" s="8"/>
      <c r="J129" s="8"/>
      <c r="K129" s="227"/>
      <c r="L129" s="6" t="s">
        <v>16</v>
      </c>
      <c r="M129" s="8"/>
      <c r="N129" s="8"/>
      <c r="O129" s="8"/>
      <c r="P129" s="8"/>
      <c r="Q129" s="8"/>
      <c r="R129" s="8"/>
      <c r="S129" s="8"/>
      <c r="T129" s="52"/>
      <c r="U129" s="59">
        <f t="shared" si="18"/>
        <v>0</v>
      </c>
    </row>
    <row r="130" spans="1:40" ht="15">
      <c r="A130" s="230"/>
      <c r="B130" s="6" t="s">
        <v>17</v>
      </c>
      <c r="C130" s="8"/>
      <c r="D130" s="8"/>
      <c r="E130" s="8"/>
      <c r="F130" s="8"/>
      <c r="G130" s="8"/>
      <c r="H130" s="8"/>
      <c r="I130" s="8"/>
      <c r="J130" s="8"/>
      <c r="K130" s="227"/>
      <c r="L130" s="6" t="s">
        <v>17</v>
      </c>
      <c r="M130" s="8"/>
      <c r="N130" s="8"/>
      <c r="O130" s="8"/>
      <c r="P130" s="8"/>
      <c r="Q130" s="8"/>
      <c r="R130" s="8"/>
      <c r="S130" s="8"/>
      <c r="T130" s="52"/>
      <c r="U130" s="59">
        <f t="shared" si="18"/>
        <v>0</v>
      </c>
    </row>
    <row r="131" spans="1:40" ht="15">
      <c r="A131" s="230"/>
      <c r="B131" s="47" t="s">
        <v>18</v>
      </c>
      <c r="C131" s="77"/>
      <c r="D131" s="77"/>
      <c r="E131" s="77"/>
      <c r="F131" s="77"/>
      <c r="G131" s="77"/>
      <c r="H131" s="77"/>
      <c r="I131" s="77"/>
      <c r="J131" s="77"/>
      <c r="K131" s="227"/>
      <c r="L131" s="47" t="s">
        <v>18</v>
      </c>
      <c r="M131" s="77"/>
      <c r="N131" s="77"/>
      <c r="O131" s="77"/>
      <c r="P131" s="77"/>
      <c r="Q131" s="77"/>
      <c r="R131" s="77"/>
      <c r="S131" s="77"/>
      <c r="T131" s="78"/>
      <c r="U131" s="59">
        <f t="shared" si="18"/>
        <v>0</v>
      </c>
    </row>
    <row r="132" spans="1:40" ht="15">
      <c r="A132" s="195" t="s">
        <v>11</v>
      </c>
      <c r="B132" s="56" t="s">
        <v>13</v>
      </c>
      <c r="C132" s="73"/>
      <c r="D132" s="73"/>
      <c r="E132" s="73"/>
      <c r="F132" s="73"/>
      <c r="G132" s="73"/>
      <c r="H132" s="73"/>
      <c r="I132" s="73"/>
      <c r="J132" s="73"/>
      <c r="K132" s="196" t="s">
        <v>11</v>
      </c>
      <c r="L132" s="56" t="s">
        <v>13</v>
      </c>
      <c r="M132" s="73"/>
      <c r="N132" s="73"/>
      <c r="O132" s="73"/>
      <c r="P132" s="73"/>
      <c r="Q132" s="73"/>
      <c r="R132" s="73"/>
      <c r="S132" s="73"/>
      <c r="T132" s="74"/>
      <c r="U132" s="59">
        <f t="shared" si="18"/>
        <v>0</v>
      </c>
    </row>
    <row r="133" spans="1:40" ht="15">
      <c r="A133" s="230"/>
      <c r="B133" s="4" t="s">
        <v>14</v>
      </c>
      <c r="C133" s="9"/>
      <c r="D133" s="9"/>
      <c r="E133" s="9"/>
      <c r="F133" s="9"/>
      <c r="G133" s="9"/>
      <c r="H133" s="9"/>
      <c r="I133" s="9"/>
      <c r="J133" s="9"/>
      <c r="K133" s="227"/>
      <c r="L133" s="4" t="s">
        <v>14</v>
      </c>
      <c r="M133" s="9"/>
      <c r="N133" s="9"/>
      <c r="O133" s="9"/>
      <c r="P133" s="9"/>
      <c r="Q133" s="9"/>
      <c r="R133" s="9"/>
      <c r="S133" s="9"/>
      <c r="T133" s="53"/>
      <c r="U133" s="59">
        <f t="shared" si="18"/>
        <v>0</v>
      </c>
    </row>
    <row r="134" spans="1:40" ht="15">
      <c r="A134" s="230"/>
      <c r="B134" s="4" t="s">
        <v>15</v>
      </c>
      <c r="C134" s="9"/>
      <c r="D134" s="9"/>
      <c r="E134" s="9"/>
      <c r="F134" s="9"/>
      <c r="G134" s="9"/>
      <c r="H134" s="9"/>
      <c r="I134" s="9"/>
      <c r="J134" s="9"/>
      <c r="K134" s="227"/>
      <c r="L134" s="4" t="s">
        <v>15</v>
      </c>
      <c r="M134" s="9"/>
      <c r="N134" s="9"/>
      <c r="O134" s="9"/>
      <c r="P134" s="9"/>
      <c r="Q134" s="9"/>
      <c r="R134" s="9"/>
      <c r="S134" s="9"/>
      <c r="T134" s="53"/>
      <c r="U134" s="59">
        <f t="shared" si="18"/>
        <v>0</v>
      </c>
    </row>
    <row r="135" spans="1:40" ht="15">
      <c r="A135" s="230"/>
      <c r="B135" s="4" t="s">
        <v>16</v>
      </c>
      <c r="C135" s="9"/>
      <c r="D135" s="9"/>
      <c r="E135" s="9"/>
      <c r="F135" s="9"/>
      <c r="G135" s="9"/>
      <c r="H135" s="9"/>
      <c r="I135" s="9"/>
      <c r="J135" s="9"/>
      <c r="K135" s="227"/>
      <c r="L135" s="4" t="s">
        <v>16</v>
      </c>
      <c r="M135" s="9"/>
      <c r="N135" s="9"/>
      <c r="O135" s="9"/>
      <c r="P135" s="9"/>
      <c r="Q135" s="9"/>
      <c r="R135" s="9"/>
      <c r="S135" s="9"/>
      <c r="T135" s="53"/>
      <c r="U135" s="59">
        <f t="shared" si="18"/>
        <v>0</v>
      </c>
    </row>
    <row r="136" spans="1:40" ht="15">
      <c r="A136" s="230"/>
      <c r="B136" s="4" t="s">
        <v>17</v>
      </c>
      <c r="C136" s="9"/>
      <c r="D136" s="9"/>
      <c r="E136" s="9"/>
      <c r="F136" s="9"/>
      <c r="G136" s="9"/>
      <c r="H136" s="9"/>
      <c r="I136" s="9"/>
      <c r="J136" s="9"/>
      <c r="K136" s="227"/>
      <c r="L136" s="4" t="s">
        <v>17</v>
      </c>
      <c r="M136" s="9"/>
      <c r="N136" s="9"/>
      <c r="O136" s="9"/>
      <c r="P136" s="9"/>
      <c r="Q136" s="9"/>
      <c r="R136" s="9"/>
      <c r="S136" s="9"/>
      <c r="T136" s="53"/>
      <c r="U136" s="59">
        <f t="shared" si="18"/>
        <v>0</v>
      </c>
    </row>
    <row r="137" spans="1:40" ht="15">
      <c r="A137" s="231"/>
      <c r="B137" s="61" t="s">
        <v>18</v>
      </c>
      <c r="C137" s="75"/>
      <c r="D137" s="75"/>
      <c r="E137" s="75"/>
      <c r="F137" s="75"/>
      <c r="G137" s="75"/>
      <c r="H137" s="75"/>
      <c r="I137" s="75"/>
      <c r="J137" s="75"/>
      <c r="K137" s="232"/>
      <c r="L137" s="61" t="s">
        <v>18</v>
      </c>
      <c r="M137" s="75"/>
      <c r="N137" s="75"/>
      <c r="O137" s="75"/>
      <c r="P137" s="75"/>
      <c r="Q137" s="75"/>
      <c r="R137" s="75"/>
      <c r="S137" s="75"/>
      <c r="T137" s="76"/>
      <c r="U137" s="59">
        <f t="shared" si="18"/>
        <v>0</v>
      </c>
    </row>
    <row r="139" spans="1:40" ht="15.75">
      <c r="A139" s="1"/>
      <c r="B139" s="1"/>
      <c r="C139" s="183" t="s">
        <v>0</v>
      </c>
      <c r="D139" s="225"/>
      <c r="E139" s="225"/>
      <c r="F139" s="225"/>
      <c r="G139" s="226"/>
      <c r="H139" s="2"/>
      <c r="I139" s="1"/>
    </row>
    <row r="140" spans="1:40" ht="15.75">
      <c r="A140" s="1"/>
      <c r="B140" s="183" t="s">
        <v>1</v>
      </c>
      <c r="C140" s="225"/>
      <c r="D140" s="226"/>
      <c r="E140" s="1"/>
      <c r="F140" s="184" t="s">
        <v>2</v>
      </c>
      <c r="G140" s="225"/>
      <c r="H140" s="226"/>
      <c r="I140" s="1"/>
      <c r="K140" s="1"/>
      <c r="L140" s="183" t="s">
        <v>26</v>
      </c>
      <c r="M140" s="225"/>
      <c r="N140" s="226"/>
      <c r="O140" s="1"/>
      <c r="P140" s="184" t="s">
        <v>2</v>
      </c>
      <c r="Q140" s="225"/>
      <c r="R140" s="226"/>
      <c r="S140" s="1"/>
    </row>
    <row r="141" spans="1:40" ht="15.75">
      <c r="A141" s="54" t="s">
        <v>35</v>
      </c>
      <c r="B141" s="54" t="s">
        <v>4</v>
      </c>
      <c r="C141" s="54" t="s">
        <v>12</v>
      </c>
      <c r="D141" s="54" t="s">
        <v>19</v>
      </c>
      <c r="E141" s="54" t="s">
        <v>20</v>
      </c>
      <c r="F141" s="54" t="s">
        <v>21</v>
      </c>
      <c r="G141" s="54" t="s">
        <v>22</v>
      </c>
      <c r="H141" s="54" t="s">
        <v>23</v>
      </c>
      <c r="I141" s="54" t="s">
        <v>24</v>
      </c>
      <c r="J141" s="54" t="s">
        <v>25</v>
      </c>
      <c r="K141" s="54" t="s">
        <v>35</v>
      </c>
      <c r="L141" s="54" t="s">
        <v>4</v>
      </c>
      <c r="M141" s="54" t="s">
        <v>27</v>
      </c>
      <c r="N141" s="54" t="s">
        <v>28</v>
      </c>
      <c r="O141" s="54" t="s">
        <v>29</v>
      </c>
      <c r="P141" s="54" t="s">
        <v>30</v>
      </c>
      <c r="Q141" s="54" t="s">
        <v>31</v>
      </c>
      <c r="R141" s="54" t="s">
        <v>32</v>
      </c>
      <c r="S141" s="54" t="s">
        <v>33</v>
      </c>
      <c r="T141" s="54" t="s">
        <v>34</v>
      </c>
      <c r="U141" s="54" t="s">
        <v>55</v>
      </c>
    </row>
    <row r="142" spans="1:40" ht="15.75">
      <c r="A142" s="195" t="s">
        <v>5</v>
      </c>
      <c r="B142" s="56" t="s">
        <v>13</v>
      </c>
      <c r="C142" s="57"/>
      <c r="D142" s="57"/>
      <c r="E142" s="56"/>
      <c r="F142" s="56"/>
      <c r="G142" s="56"/>
      <c r="H142" s="56"/>
      <c r="I142" s="56"/>
      <c r="J142" s="56"/>
      <c r="K142" s="196" t="s">
        <v>5</v>
      </c>
      <c r="L142" s="56" t="s">
        <v>13</v>
      </c>
      <c r="M142" s="56"/>
      <c r="N142" s="56"/>
      <c r="O142" s="56"/>
      <c r="P142" s="56"/>
      <c r="Q142" s="56"/>
      <c r="R142" s="57"/>
      <c r="S142" s="57"/>
      <c r="T142" s="58"/>
      <c r="U142" s="59">
        <f>SUM(M142:T142,C142:J142)</f>
        <v>0</v>
      </c>
      <c r="W142" s="197" t="s">
        <v>2</v>
      </c>
      <c r="X142" s="198"/>
      <c r="AG142" s="190" t="s">
        <v>58</v>
      </c>
      <c r="AH142" s="191"/>
      <c r="AI142" s="191"/>
      <c r="AJ142" s="191"/>
      <c r="AK142" s="191"/>
      <c r="AL142" s="191"/>
      <c r="AM142" s="191"/>
      <c r="AN142" s="192"/>
    </row>
    <row r="143" spans="1:40" ht="15">
      <c r="A143" s="230"/>
      <c r="B143" s="4" t="s">
        <v>14</v>
      </c>
      <c r="C143" s="5"/>
      <c r="D143" s="5"/>
      <c r="E143" s="4"/>
      <c r="F143" s="4"/>
      <c r="G143" s="4"/>
      <c r="H143" s="4"/>
      <c r="I143" s="4"/>
      <c r="J143" s="4"/>
      <c r="K143" s="227"/>
      <c r="L143" s="4" t="s">
        <v>14</v>
      </c>
      <c r="M143" s="4"/>
      <c r="N143" s="4"/>
      <c r="O143" s="4"/>
      <c r="P143" s="4"/>
      <c r="Q143" s="4"/>
      <c r="R143" s="5"/>
      <c r="S143" s="5"/>
      <c r="T143" s="49"/>
      <c r="U143" s="59">
        <f t="shared" ref="U143:U183" si="26">SUM(M143:T143,C143:J143)</f>
        <v>0</v>
      </c>
      <c r="W143" s="55" t="s">
        <v>5</v>
      </c>
      <c r="X143" s="48">
        <f>SUM(U142:U147)</f>
        <v>0</v>
      </c>
      <c r="AG143" s="98" t="s">
        <v>4</v>
      </c>
      <c r="AH143" s="98" t="s">
        <v>5</v>
      </c>
      <c r="AI143" s="98" t="s">
        <v>6</v>
      </c>
      <c r="AJ143" s="98" t="s">
        <v>7</v>
      </c>
      <c r="AK143" s="98" t="s">
        <v>8</v>
      </c>
      <c r="AL143" s="98" t="s">
        <v>9</v>
      </c>
      <c r="AM143" s="98" t="s">
        <v>10</v>
      </c>
      <c r="AN143" s="98" t="s">
        <v>11</v>
      </c>
    </row>
    <row r="144" spans="1:40" ht="15">
      <c r="A144" s="230"/>
      <c r="B144" s="4" t="s">
        <v>15</v>
      </c>
      <c r="C144" s="5"/>
      <c r="D144" s="5"/>
      <c r="E144" s="4"/>
      <c r="F144" s="4"/>
      <c r="G144" s="4"/>
      <c r="H144" s="4"/>
      <c r="I144" s="4"/>
      <c r="J144" s="4"/>
      <c r="K144" s="227"/>
      <c r="L144" s="4" t="s">
        <v>15</v>
      </c>
      <c r="M144" s="4"/>
      <c r="N144" s="4"/>
      <c r="O144" s="4"/>
      <c r="P144" s="4"/>
      <c r="Q144" s="4"/>
      <c r="R144" s="5"/>
      <c r="S144" s="5"/>
      <c r="T144" s="49"/>
      <c r="U144" s="59">
        <f t="shared" si="26"/>
        <v>0</v>
      </c>
      <c r="W144" s="55" t="s">
        <v>6</v>
      </c>
      <c r="X144" s="48">
        <f>SUM(U148:U153)</f>
        <v>0</v>
      </c>
      <c r="AG144" s="79" t="s">
        <v>13</v>
      </c>
      <c r="AH144" s="79">
        <f t="shared" ref="AH144:AH149" si="27">U142</f>
        <v>0</v>
      </c>
      <c r="AI144" s="79">
        <f t="shared" ref="AI144:AI149" si="28">U148</f>
        <v>0</v>
      </c>
      <c r="AJ144" s="79">
        <f t="shared" ref="AJ144:AJ149" si="29">U154</f>
        <v>0</v>
      </c>
      <c r="AK144" s="79">
        <f t="shared" ref="AK144:AK149" si="30">U160</f>
        <v>0</v>
      </c>
      <c r="AL144" s="79">
        <f t="shared" ref="AL144:AL149" si="31">U166</f>
        <v>0</v>
      </c>
      <c r="AM144" s="79">
        <f t="shared" ref="AM144:AM149" si="32">U172</f>
        <v>0</v>
      </c>
      <c r="AN144" s="79">
        <f t="shared" ref="AN144:AN149" si="33">U178</f>
        <v>0</v>
      </c>
    </row>
    <row r="145" spans="1:40" ht="15">
      <c r="A145" s="230"/>
      <c r="B145" s="4" t="s">
        <v>16</v>
      </c>
      <c r="C145" s="5"/>
      <c r="D145" s="5"/>
      <c r="E145" s="4"/>
      <c r="F145" s="4"/>
      <c r="G145" s="4"/>
      <c r="H145" s="4"/>
      <c r="I145" s="4"/>
      <c r="J145" s="4"/>
      <c r="K145" s="227"/>
      <c r="L145" s="4" t="s">
        <v>16</v>
      </c>
      <c r="M145" s="4"/>
      <c r="N145" s="4"/>
      <c r="O145" s="4"/>
      <c r="P145" s="4"/>
      <c r="Q145" s="4"/>
      <c r="R145" s="5"/>
      <c r="S145" s="5"/>
      <c r="T145" s="49"/>
      <c r="U145" s="59">
        <f t="shared" si="26"/>
        <v>0</v>
      </c>
      <c r="W145" s="55" t="s">
        <v>7</v>
      </c>
      <c r="X145" s="48">
        <f>SUM(U154:U159)</f>
        <v>0</v>
      </c>
      <c r="AG145" s="97" t="s">
        <v>14</v>
      </c>
      <c r="AH145" s="97">
        <f t="shared" si="27"/>
        <v>0</v>
      </c>
      <c r="AI145" s="97">
        <f t="shared" si="28"/>
        <v>0</v>
      </c>
      <c r="AJ145" s="97">
        <f t="shared" si="29"/>
        <v>0</v>
      </c>
      <c r="AK145" s="97">
        <f t="shared" si="30"/>
        <v>0</v>
      </c>
      <c r="AL145" s="97">
        <f t="shared" si="31"/>
        <v>0</v>
      </c>
      <c r="AM145" s="97">
        <f t="shared" si="32"/>
        <v>0</v>
      </c>
      <c r="AN145" s="97">
        <f t="shared" si="33"/>
        <v>0</v>
      </c>
    </row>
    <row r="146" spans="1:40" ht="15">
      <c r="A146" s="230"/>
      <c r="B146" s="4" t="s">
        <v>17</v>
      </c>
      <c r="C146" s="5"/>
      <c r="D146" s="5"/>
      <c r="E146" s="4"/>
      <c r="F146" s="4"/>
      <c r="G146" s="4"/>
      <c r="H146" s="4"/>
      <c r="I146" s="4"/>
      <c r="J146" s="4"/>
      <c r="K146" s="227"/>
      <c r="L146" s="4" t="s">
        <v>17</v>
      </c>
      <c r="M146" s="4"/>
      <c r="N146" s="4"/>
      <c r="O146" s="4"/>
      <c r="P146" s="4"/>
      <c r="Q146" s="4"/>
      <c r="R146" s="5"/>
      <c r="S146" s="5"/>
      <c r="T146" s="49"/>
      <c r="U146" s="59">
        <f t="shared" si="26"/>
        <v>0</v>
      </c>
      <c r="W146" s="55" t="s">
        <v>61</v>
      </c>
      <c r="X146" s="48">
        <f>SUM(U160:U165)</f>
        <v>0</v>
      </c>
      <c r="AG146" s="79" t="s">
        <v>15</v>
      </c>
      <c r="AH146" s="79">
        <f t="shared" si="27"/>
        <v>0</v>
      </c>
      <c r="AI146" s="79">
        <f t="shared" si="28"/>
        <v>0</v>
      </c>
      <c r="AJ146" s="79">
        <f t="shared" si="29"/>
        <v>0</v>
      </c>
      <c r="AK146" s="79">
        <f t="shared" si="30"/>
        <v>0</v>
      </c>
      <c r="AL146" s="79">
        <f t="shared" si="31"/>
        <v>0</v>
      </c>
      <c r="AM146" s="79">
        <f t="shared" si="32"/>
        <v>0</v>
      </c>
      <c r="AN146" s="79">
        <f t="shared" si="33"/>
        <v>0</v>
      </c>
    </row>
    <row r="147" spans="1:40" ht="15">
      <c r="A147" s="230"/>
      <c r="B147" s="46" t="s">
        <v>18</v>
      </c>
      <c r="C147" s="64"/>
      <c r="D147" s="64"/>
      <c r="E147" s="46"/>
      <c r="F147" s="46"/>
      <c r="G147" s="46"/>
      <c r="H147" s="46"/>
      <c r="I147" s="46"/>
      <c r="J147" s="46"/>
      <c r="K147" s="227"/>
      <c r="L147" s="46" t="s">
        <v>18</v>
      </c>
      <c r="M147" s="46"/>
      <c r="N147" s="46"/>
      <c r="O147" s="46"/>
      <c r="P147" s="46"/>
      <c r="Q147" s="46"/>
      <c r="R147" s="64"/>
      <c r="S147" s="64"/>
      <c r="T147" s="65"/>
      <c r="U147" s="59">
        <f t="shared" si="26"/>
        <v>0</v>
      </c>
      <c r="W147" s="55" t="s">
        <v>9</v>
      </c>
      <c r="X147" s="48">
        <f>SUM(U166:U171)</f>
        <v>0</v>
      </c>
      <c r="AG147" s="97" t="s">
        <v>16</v>
      </c>
      <c r="AH147" s="97">
        <f t="shared" si="27"/>
        <v>0</v>
      </c>
      <c r="AI147" s="97">
        <f t="shared" si="28"/>
        <v>0</v>
      </c>
      <c r="AJ147" s="97">
        <f t="shared" si="29"/>
        <v>0</v>
      </c>
      <c r="AK147" s="97">
        <f t="shared" si="30"/>
        <v>0</v>
      </c>
      <c r="AL147" s="97">
        <f t="shared" si="31"/>
        <v>0</v>
      </c>
      <c r="AM147" s="97">
        <f t="shared" si="32"/>
        <v>0</v>
      </c>
      <c r="AN147" s="97">
        <f t="shared" si="33"/>
        <v>0</v>
      </c>
    </row>
    <row r="148" spans="1:40" ht="15">
      <c r="A148" s="193" t="s">
        <v>6</v>
      </c>
      <c r="B148" s="63" t="s">
        <v>13</v>
      </c>
      <c r="C148" s="57"/>
      <c r="D148" s="57"/>
      <c r="E148" s="57"/>
      <c r="F148" s="63"/>
      <c r="G148" s="63"/>
      <c r="H148" s="63"/>
      <c r="I148" s="63"/>
      <c r="J148" s="63"/>
      <c r="K148" s="194" t="s">
        <v>6</v>
      </c>
      <c r="L148" s="63" t="s">
        <v>13</v>
      </c>
      <c r="M148" s="63"/>
      <c r="N148" s="63"/>
      <c r="O148" s="63"/>
      <c r="P148" s="63"/>
      <c r="Q148" s="57"/>
      <c r="R148" s="57"/>
      <c r="S148" s="57"/>
      <c r="T148" s="58"/>
      <c r="U148" s="59">
        <f t="shared" si="26"/>
        <v>0</v>
      </c>
      <c r="W148" s="55" t="s">
        <v>10</v>
      </c>
      <c r="X148" s="48">
        <f>SUM(U172:U177)</f>
        <v>0</v>
      </c>
      <c r="AG148" s="79" t="s">
        <v>17</v>
      </c>
      <c r="AH148" s="79">
        <f t="shared" si="27"/>
        <v>0</v>
      </c>
      <c r="AI148" s="79">
        <f t="shared" si="28"/>
        <v>0</v>
      </c>
      <c r="AJ148" s="79">
        <f t="shared" si="29"/>
        <v>0</v>
      </c>
      <c r="AK148" s="79">
        <f t="shared" si="30"/>
        <v>0</v>
      </c>
      <c r="AL148" s="79">
        <f t="shared" si="31"/>
        <v>0</v>
      </c>
      <c r="AM148" s="79">
        <f t="shared" si="32"/>
        <v>0</v>
      </c>
      <c r="AN148" s="79">
        <f t="shared" si="33"/>
        <v>0</v>
      </c>
    </row>
    <row r="149" spans="1:40" ht="15">
      <c r="A149" s="230"/>
      <c r="B149" s="6" t="s">
        <v>14</v>
      </c>
      <c r="C149" s="5"/>
      <c r="D149" s="5"/>
      <c r="E149" s="5"/>
      <c r="F149" s="6"/>
      <c r="G149" s="6"/>
      <c r="H149" s="6"/>
      <c r="I149" s="6"/>
      <c r="J149" s="6"/>
      <c r="K149" s="227"/>
      <c r="L149" s="6" t="s">
        <v>14</v>
      </c>
      <c r="M149" s="6"/>
      <c r="N149" s="6"/>
      <c r="O149" s="6"/>
      <c r="P149" s="6"/>
      <c r="Q149" s="5"/>
      <c r="R149" s="5"/>
      <c r="S149" s="5"/>
      <c r="T149" s="49"/>
      <c r="U149" s="59">
        <f t="shared" si="26"/>
        <v>0</v>
      </c>
      <c r="W149" s="81" t="s">
        <v>11</v>
      </c>
      <c r="X149" s="80">
        <f>SUM(U178:U183)</f>
        <v>0</v>
      </c>
      <c r="AG149" s="97" t="s">
        <v>18</v>
      </c>
      <c r="AH149" s="97">
        <f t="shared" si="27"/>
        <v>0</v>
      </c>
      <c r="AI149" s="97">
        <f t="shared" si="28"/>
        <v>0</v>
      </c>
      <c r="AJ149" s="97">
        <f t="shared" si="29"/>
        <v>0</v>
      </c>
      <c r="AK149" s="97">
        <f t="shared" si="30"/>
        <v>0</v>
      </c>
      <c r="AL149" s="97">
        <f t="shared" si="31"/>
        <v>0</v>
      </c>
      <c r="AM149" s="97">
        <f t="shared" si="32"/>
        <v>0</v>
      </c>
      <c r="AN149" s="97">
        <f t="shared" si="33"/>
        <v>0</v>
      </c>
    </row>
    <row r="150" spans="1:40" ht="15">
      <c r="A150" s="230"/>
      <c r="B150" s="6" t="s">
        <v>15</v>
      </c>
      <c r="C150" s="5"/>
      <c r="D150" s="5"/>
      <c r="E150" s="5"/>
      <c r="F150" s="6"/>
      <c r="G150" s="6"/>
      <c r="H150" s="6"/>
      <c r="I150" s="6"/>
      <c r="J150" s="6"/>
      <c r="K150" s="227"/>
      <c r="L150" s="6" t="s">
        <v>15</v>
      </c>
      <c r="M150" s="6"/>
      <c r="N150" s="6"/>
      <c r="O150" s="6"/>
      <c r="P150" s="6"/>
      <c r="Q150" s="5"/>
      <c r="R150" s="5"/>
      <c r="S150" s="5"/>
      <c r="T150" s="49"/>
      <c r="U150" s="59">
        <f t="shared" si="26"/>
        <v>0</v>
      </c>
      <c r="W150" s="79" t="s">
        <v>63</v>
      </c>
      <c r="X150" s="82">
        <f>SUM(X143:X149)</f>
        <v>0</v>
      </c>
    </row>
    <row r="151" spans="1:40" ht="15">
      <c r="A151" s="230"/>
      <c r="B151" s="6" t="s">
        <v>16</v>
      </c>
      <c r="C151" s="5"/>
      <c r="D151" s="5"/>
      <c r="E151" s="5"/>
      <c r="F151" s="6"/>
      <c r="G151" s="6"/>
      <c r="H151" s="6"/>
      <c r="I151" s="6"/>
      <c r="J151" s="6"/>
      <c r="K151" s="227"/>
      <c r="L151" s="6" t="s">
        <v>16</v>
      </c>
      <c r="M151" s="6"/>
      <c r="N151" s="6"/>
      <c r="O151" s="6"/>
      <c r="P151" s="6"/>
      <c r="Q151" s="5"/>
      <c r="R151" s="5"/>
      <c r="S151" s="5"/>
      <c r="T151" s="49"/>
      <c r="U151" s="59">
        <f t="shared" si="26"/>
        <v>0</v>
      </c>
    </row>
    <row r="152" spans="1:40" ht="15">
      <c r="A152" s="230"/>
      <c r="B152" s="6" t="s">
        <v>17</v>
      </c>
      <c r="C152" s="5"/>
      <c r="D152" s="5"/>
      <c r="E152" s="5"/>
      <c r="F152" s="6"/>
      <c r="G152" s="6"/>
      <c r="H152" s="6"/>
      <c r="I152" s="6"/>
      <c r="J152" s="6"/>
      <c r="K152" s="227"/>
      <c r="L152" s="6" t="s">
        <v>17</v>
      </c>
      <c r="M152" s="6"/>
      <c r="N152" s="6"/>
      <c r="O152" s="6"/>
      <c r="P152" s="6"/>
      <c r="Q152" s="5"/>
      <c r="R152" s="5"/>
      <c r="S152" s="5"/>
      <c r="T152" s="49"/>
      <c r="U152" s="59">
        <f t="shared" si="26"/>
        <v>0</v>
      </c>
    </row>
    <row r="153" spans="1:40" ht="15">
      <c r="A153" s="230"/>
      <c r="B153" s="47" t="s">
        <v>18</v>
      </c>
      <c r="C153" s="64"/>
      <c r="D153" s="64"/>
      <c r="E153" s="64"/>
      <c r="F153" s="47"/>
      <c r="G153" s="47"/>
      <c r="H153" s="47"/>
      <c r="I153" s="47"/>
      <c r="J153" s="47"/>
      <c r="K153" s="227"/>
      <c r="L153" s="47" t="s">
        <v>18</v>
      </c>
      <c r="M153" s="47"/>
      <c r="N153" s="47"/>
      <c r="O153" s="47"/>
      <c r="P153" s="47"/>
      <c r="Q153" s="64"/>
      <c r="R153" s="64"/>
      <c r="S153" s="64"/>
      <c r="T153" s="65"/>
      <c r="U153" s="59">
        <f t="shared" si="26"/>
        <v>0</v>
      </c>
    </row>
    <row r="154" spans="1:40" ht="15">
      <c r="A154" s="195" t="s">
        <v>7</v>
      </c>
      <c r="B154" s="56" t="s">
        <v>13</v>
      </c>
      <c r="C154" s="56"/>
      <c r="D154" s="56"/>
      <c r="E154" s="56"/>
      <c r="F154" s="56"/>
      <c r="G154" s="56"/>
      <c r="H154" s="56"/>
      <c r="I154" s="56"/>
      <c r="J154" s="56"/>
      <c r="K154" s="196" t="s">
        <v>7</v>
      </c>
      <c r="L154" s="56" t="s">
        <v>13</v>
      </c>
      <c r="M154" s="56"/>
      <c r="N154" s="56"/>
      <c r="O154" s="56"/>
      <c r="P154" s="56"/>
      <c r="Q154" s="56"/>
      <c r="R154" s="56"/>
      <c r="S154" s="56"/>
      <c r="T154" s="67"/>
      <c r="U154" s="59">
        <f t="shared" si="26"/>
        <v>0</v>
      </c>
    </row>
    <row r="155" spans="1:40" ht="15">
      <c r="A155" s="230"/>
      <c r="B155" s="4" t="s">
        <v>14</v>
      </c>
      <c r="C155" s="4"/>
      <c r="D155" s="4"/>
      <c r="E155" s="4"/>
      <c r="F155" s="4"/>
      <c r="G155" s="4"/>
      <c r="H155" s="4"/>
      <c r="I155" s="4"/>
      <c r="J155" s="4"/>
      <c r="K155" s="227"/>
      <c r="L155" s="4" t="s">
        <v>14</v>
      </c>
      <c r="M155" s="4"/>
      <c r="N155" s="4"/>
      <c r="O155" s="4"/>
      <c r="P155" s="4"/>
      <c r="Q155" s="4"/>
      <c r="R155" s="4"/>
      <c r="S155" s="4"/>
      <c r="T155" s="50"/>
      <c r="U155" s="59">
        <f t="shared" si="26"/>
        <v>0</v>
      </c>
    </row>
    <row r="156" spans="1:40" ht="15">
      <c r="A156" s="230"/>
      <c r="B156" s="4" t="s">
        <v>15</v>
      </c>
      <c r="C156" s="4"/>
      <c r="D156" s="4"/>
      <c r="E156" s="4"/>
      <c r="F156" s="4"/>
      <c r="G156" s="4"/>
      <c r="H156" s="4"/>
      <c r="I156" s="4"/>
      <c r="J156" s="4"/>
      <c r="K156" s="227"/>
      <c r="L156" s="4" t="s">
        <v>15</v>
      </c>
      <c r="M156" s="4"/>
      <c r="N156" s="4"/>
      <c r="O156" s="4"/>
      <c r="P156" s="4"/>
      <c r="Q156" s="4"/>
      <c r="R156" s="4"/>
      <c r="S156" s="4"/>
      <c r="T156" s="50"/>
      <c r="U156" s="59">
        <f t="shared" si="26"/>
        <v>0</v>
      </c>
    </row>
    <row r="157" spans="1:40" ht="15">
      <c r="A157" s="230"/>
      <c r="B157" s="4" t="s">
        <v>16</v>
      </c>
      <c r="C157" s="4"/>
      <c r="D157" s="4"/>
      <c r="E157" s="4"/>
      <c r="F157" s="4"/>
      <c r="G157" s="4"/>
      <c r="H157" s="4"/>
      <c r="I157" s="4"/>
      <c r="J157" s="4"/>
      <c r="K157" s="227"/>
      <c r="L157" s="4" t="s">
        <v>16</v>
      </c>
      <c r="M157" s="4"/>
      <c r="N157" s="4"/>
      <c r="O157" s="4"/>
      <c r="P157" s="4"/>
      <c r="Q157" s="4"/>
      <c r="R157" s="4"/>
      <c r="S157" s="4"/>
      <c r="T157" s="50"/>
      <c r="U157" s="59">
        <f t="shared" si="26"/>
        <v>0</v>
      </c>
    </row>
    <row r="158" spans="1:40" ht="15">
      <c r="A158" s="230"/>
      <c r="B158" s="4" t="s">
        <v>17</v>
      </c>
      <c r="C158" s="4"/>
      <c r="D158" s="4"/>
      <c r="E158" s="4"/>
      <c r="F158" s="4"/>
      <c r="G158" s="4"/>
      <c r="H158" s="4"/>
      <c r="I158" s="4"/>
      <c r="J158" s="4"/>
      <c r="K158" s="227"/>
      <c r="L158" s="4" t="s">
        <v>17</v>
      </c>
      <c r="M158" s="4"/>
      <c r="N158" s="4"/>
      <c r="O158" s="4"/>
      <c r="P158" s="4"/>
      <c r="Q158" s="4"/>
      <c r="R158" s="4"/>
      <c r="S158" s="4"/>
      <c r="T158" s="50"/>
      <c r="U158" s="59">
        <f t="shared" si="26"/>
        <v>0</v>
      </c>
    </row>
    <row r="159" spans="1:40" ht="15">
      <c r="A159" s="230"/>
      <c r="B159" s="46" t="s">
        <v>18</v>
      </c>
      <c r="C159" s="46"/>
      <c r="D159" s="46"/>
      <c r="E159" s="46"/>
      <c r="F159" s="46"/>
      <c r="G159" s="46"/>
      <c r="H159" s="46"/>
      <c r="I159" s="46"/>
      <c r="J159" s="46"/>
      <c r="K159" s="227"/>
      <c r="L159" s="46" t="s">
        <v>18</v>
      </c>
      <c r="M159" s="46"/>
      <c r="N159" s="46"/>
      <c r="O159" s="46"/>
      <c r="P159" s="46"/>
      <c r="Q159" s="46"/>
      <c r="R159" s="46"/>
      <c r="S159" s="46"/>
      <c r="T159" s="69"/>
      <c r="U159" s="59">
        <f t="shared" si="26"/>
        <v>0</v>
      </c>
    </row>
    <row r="160" spans="1:40" ht="15">
      <c r="A160" s="193" t="s">
        <v>8</v>
      </c>
      <c r="B160" s="63" t="s">
        <v>13</v>
      </c>
      <c r="C160" s="63"/>
      <c r="D160" s="63"/>
      <c r="E160" s="63"/>
      <c r="F160" s="63"/>
      <c r="G160" s="63"/>
      <c r="H160" s="63"/>
      <c r="I160" s="63"/>
      <c r="J160" s="63"/>
      <c r="K160" s="194" t="s">
        <v>8</v>
      </c>
      <c r="L160" s="63" t="s">
        <v>13</v>
      </c>
      <c r="M160" s="63"/>
      <c r="N160" s="63"/>
      <c r="O160" s="63"/>
      <c r="P160" s="63"/>
      <c r="Q160" s="63"/>
      <c r="R160" s="63"/>
      <c r="S160" s="63"/>
      <c r="T160" s="68"/>
      <c r="U160" s="59">
        <f t="shared" si="26"/>
        <v>0</v>
      </c>
    </row>
    <row r="161" spans="1:21" ht="15">
      <c r="A161" s="230"/>
      <c r="B161" s="6" t="s">
        <v>14</v>
      </c>
      <c r="C161" s="6"/>
      <c r="D161" s="6"/>
      <c r="E161" s="6"/>
      <c r="F161" s="6"/>
      <c r="G161" s="6"/>
      <c r="H161" s="6"/>
      <c r="I161" s="6"/>
      <c r="J161" s="6"/>
      <c r="K161" s="227"/>
      <c r="L161" s="6" t="s">
        <v>14</v>
      </c>
      <c r="M161" s="6"/>
      <c r="N161" s="6"/>
      <c r="O161" s="6"/>
      <c r="P161" s="6"/>
      <c r="Q161" s="6"/>
      <c r="R161" s="6"/>
      <c r="S161" s="6"/>
      <c r="T161" s="51"/>
      <c r="U161" s="59">
        <f t="shared" si="26"/>
        <v>0</v>
      </c>
    </row>
    <row r="162" spans="1:21" ht="15">
      <c r="A162" s="230"/>
      <c r="B162" s="6" t="s">
        <v>15</v>
      </c>
      <c r="C162" s="6"/>
      <c r="D162" s="6"/>
      <c r="E162" s="6"/>
      <c r="F162" s="6"/>
      <c r="G162" s="6"/>
      <c r="H162" s="6"/>
      <c r="I162" s="6"/>
      <c r="J162" s="6"/>
      <c r="K162" s="227"/>
      <c r="L162" s="6" t="s">
        <v>15</v>
      </c>
      <c r="M162" s="6"/>
      <c r="N162" s="6"/>
      <c r="O162" s="6"/>
      <c r="P162" s="6"/>
      <c r="Q162" s="6"/>
      <c r="R162" s="6"/>
      <c r="S162" s="6"/>
      <c r="T162" s="51"/>
      <c r="U162" s="59">
        <f t="shared" si="26"/>
        <v>0</v>
      </c>
    </row>
    <row r="163" spans="1:21" ht="15">
      <c r="A163" s="230"/>
      <c r="B163" s="6" t="s">
        <v>16</v>
      </c>
      <c r="C163" s="6"/>
      <c r="D163" s="6"/>
      <c r="E163" s="6"/>
      <c r="F163" s="6"/>
      <c r="G163" s="6"/>
      <c r="H163" s="6"/>
      <c r="I163" s="6"/>
      <c r="J163" s="6"/>
      <c r="K163" s="227"/>
      <c r="L163" s="6" t="s">
        <v>16</v>
      </c>
      <c r="M163" s="6"/>
      <c r="N163" s="6"/>
      <c r="O163" s="6"/>
      <c r="P163" s="6"/>
      <c r="Q163" s="6"/>
      <c r="R163" s="6"/>
      <c r="S163" s="6"/>
      <c r="T163" s="51"/>
      <c r="U163" s="59">
        <f t="shared" si="26"/>
        <v>0</v>
      </c>
    </row>
    <row r="164" spans="1:21" ht="15">
      <c r="A164" s="230"/>
      <c r="B164" s="6" t="s">
        <v>17</v>
      </c>
      <c r="C164" s="6"/>
      <c r="D164" s="6"/>
      <c r="E164" s="6"/>
      <c r="F164" s="6"/>
      <c r="G164" s="6"/>
      <c r="H164" s="6"/>
      <c r="I164" s="6"/>
      <c r="J164" s="6"/>
      <c r="K164" s="227"/>
      <c r="L164" s="6" t="s">
        <v>17</v>
      </c>
      <c r="M164" s="6"/>
      <c r="N164" s="6"/>
      <c r="O164" s="6"/>
      <c r="P164" s="6"/>
      <c r="Q164" s="6"/>
      <c r="R164" s="6"/>
      <c r="S164" s="6"/>
      <c r="T164" s="51"/>
      <c r="U164" s="59">
        <f t="shared" si="26"/>
        <v>0</v>
      </c>
    </row>
    <row r="165" spans="1:21" ht="15">
      <c r="A165" s="230"/>
      <c r="B165" s="47" t="s">
        <v>18</v>
      </c>
      <c r="C165" s="47"/>
      <c r="D165" s="47"/>
      <c r="E165" s="47"/>
      <c r="F165" s="47"/>
      <c r="G165" s="47"/>
      <c r="H165" s="47"/>
      <c r="I165" s="47"/>
      <c r="J165" s="47"/>
      <c r="K165" s="227"/>
      <c r="L165" s="47" t="s">
        <v>18</v>
      </c>
      <c r="M165" s="47"/>
      <c r="N165" s="47"/>
      <c r="O165" s="47"/>
      <c r="P165" s="47"/>
      <c r="Q165" s="47"/>
      <c r="R165" s="47"/>
      <c r="S165" s="47"/>
      <c r="T165" s="70"/>
      <c r="U165" s="59">
        <f t="shared" si="26"/>
        <v>0</v>
      </c>
    </row>
    <row r="166" spans="1:21" ht="15">
      <c r="A166" s="195" t="s">
        <v>9</v>
      </c>
      <c r="B166" s="56" t="s">
        <v>13</v>
      </c>
      <c r="C166" s="56"/>
      <c r="D166" s="56"/>
      <c r="E166" s="56"/>
      <c r="F166" s="56"/>
      <c r="G166" s="56"/>
      <c r="H166" s="56"/>
      <c r="I166" s="56"/>
      <c r="J166" s="56"/>
      <c r="K166" s="196" t="s">
        <v>9</v>
      </c>
      <c r="L166" s="56" t="s">
        <v>13</v>
      </c>
      <c r="M166" s="56"/>
      <c r="N166" s="56"/>
      <c r="O166" s="56"/>
      <c r="P166" s="56"/>
      <c r="Q166" s="56"/>
      <c r="R166" s="56"/>
      <c r="S166" s="56"/>
      <c r="T166" s="67"/>
      <c r="U166" s="59">
        <f t="shared" si="26"/>
        <v>0</v>
      </c>
    </row>
    <row r="167" spans="1:21" ht="15">
      <c r="A167" s="230"/>
      <c r="B167" s="4" t="s">
        <v>14</v>
      </c>
      <c r="C167" s="4"/>
      <c r="D167" s="4"/>
      <c r="E167" s="4"/>
      <c r="F167" s="4"/>
      <c r="G167" s="4"/>
      <c r="H167" s="4"/>
      <c r="I167" s="4"/>
      <c r="J167" s="4"/>
      <c r="K167" s="227"/>
      <c r="L167" s="4" t="s">
        <v>14</v>
      </c>
      <c r="M167" s="4"/>
      <c r="N167" s="4"/>
      <c r="O167" s="4"/>
      <c r="P167" s="4"/>
      <c r="Q167" s="4"/>
      <c r="R167" s="4"/>
      <c r="S167" s="4"/>
      <c r="T167" s="50"/>
      <c r="U167" s="59">
        <f t="shared" si="26"/>
        <v>0</v>
      </c>
    </row>
    <row r="168" spans="1:21" ht="15">
      <c r="A168" s="230"/>
      <c r="B168" s="4" t="s">
        <v>15</v>
      </c>
      <c r="C168" s="4"/>
      <c r="D168" s="4"/>
      <c r="E168" s="4"/>
      <c r="F168" s="4"/>
      <c r="G168" s="4"/>
      <c r="H168" s="4"/>
      <c r="I168" s="4"/>
      <c r="J168" s="4"/>
      <c r="K168" s="227"/>
      <c r="L168" s="4" t="s">
        <v>15</v>
      </c>
      <c r="M168" s="4"/>
      <c r="N168" s="4"/>
      <c r="O168" s="4"/>
      <c r="P168" s="4"/>
      <c r="Q168" s="4"/>
      <c r="R168" s="4"/>
      <c r="S168" s="4"/>
      <c r="T168" s="50"/>
      <c r="U168" s="59">
        <f t="shared" si="26"/>
        <v>0</v>
      </c>
    </row>
    <row r="169" spans="1:21" ht="15">
      <c r="A169" s="230"/>
      <c r="B169" s="4" t="s">
        <v>16</v>
      </c>
      <c r="C169" s="4"/>
      <c r="D169" s="4"/>
      <c r="E169" s="4"/>
      <c r="F169" s="4"/>
      <c r="G169" s="4"/>
      <c r="H169" s="4"/>
      <c r="I169" s="4"/>
      <c r="J169" s="4"/>
      <c r="K169" s="227"/>
      <c r="L169" s="4" t="s">
        <v>16</v>
      </c>
      <c r="M169" s="4"/>
      <c r="N169" s="4"/>
      <c r="O169" s="4"/>
      <c r="P169" s="4"/>
      <c r="Q169" s="4"/>
      <c r="R169" s="4"/>
      <c r="S169" s="4"/>
      <c r="T169" s="50"/>
      <c r="U169" s="59">
        <f t="shared" si="26"/>
        <v>0</v>
      </c>
    </row>
    <row r="170" spans="1:21" ht="15">
      <c r="A170" s="230"/>
      <c r="B170" s="4" t="s">
        <v>17</v>
      </c>
      <c r="C170" s="4"/>
      <c r="D170" s="4"/>
      <c r="E170" s="4"/>
      <c r="F170" s="4"/>
      <c r="G170" s="4"/>
      <c r="H170" s="4"/>
      <c r="I170" s="4"/>
      <c r="J170" s="4"/>
      <c r="K170" s="227"/>
      <c r="L170" s="4" t="s">
        <v>17</v>
      </c>
      <c r="M170" s="4"/>
      <c r="N170" s="4"/>
      <c r="O170" s="4"/>
      <c r="P170" s="4"/>
      <c r="Q170" s="4"/>
      <c r="R170" s="4"/>
      <c r="S170" s="4"/>
      <c r="T170" s="50"/>
      <c r="U170" s="59">
        <f t="shared" si="26"/>
        <v>0</v>
      </c>
    </row>
    <row r="171" spans="1:21" ht="15">
      <c r="A171" s="230"/>
      <c r="B171" s="46" t="s">
        <v>18</v>
      </c>
      <c r="C171" s="46"/>
      <c r="D171" s="46"/>
      <c r="E171" s="46"/>
      <c r="F171" s="46"/>
      <c r="G171" s="46"/>
      <c r="H171" s="46"/>
      <c r="I171" s="46"/>
      <c r="J171" s="46"/>
      <c r="K171" s="227"/>
      <c r="L171" s="46" t="s">
        <v>18</v>
      </c>
      <c r="M171" s="46"/>
      <c r="N171" s="46"/>
      <c r="O171" s="46"/>
      <c r="P171" s="46"/>
      <c r="Q171" s="46"/>
      <c r="R171" s="46"/>
      <c r="S171" s="46"/>
      <c r="T171" s="69"/>
      <c r="U171" s="59">
        <f t="shared" si="26"/>
        <v>0</v>
      </c>
    </row>
    <row r="172" spans="1:21" ht="15">
      <c r="A172" s="193" t="s">
        <v>10</v>
      </c>
      <c r="B172" s="63" t="s">
        <v>13</v>
      </c>
      <c r="C172" s="71"/>
      <c r="D172" s="71"/>
      <c r="E172" s="71"/>
      <c r="F172" s="71"/>
      <c r="G172" s="71"/>
      <c r="H172" s="71"/>
      <c r="I172" s="71"/>
      <c r="J172" s="71"/>
      <c r="K172" s="194" t="s">
        <v>10</v>
      </c>
      <c r="L172" s="63" t="s">
        <v>13</v>
      </c>
      <c r="M172" s="71"/>
      <c r="N172" s="71"/>
      <c r="O172" s="71"/>
      <c r="P172" s="71"/>
      <c r="Q172" s="71"/>
      <c r="R172" s="71"/>
      <c r="S172" s="71"/>
      <c r="T172" s="72"/>
      <c r="U172" s="59">
        <f t="shared" si="26"/>
        <v>0</v>
      </c>
    </row>
    <row r="173" spans="1:21" ht="15">
      <c r="A173" s="230"/>
      <c r="B173" s="6" t="s">
        <v>14</v>
      </c>
      <c r="C173" s="8"/>
      <c r="D173" s="8"/>
      <c r="E173" s="8"/>
      <c r="F173" s="8"/>
      <c r="G173" s="8"/>
      <c r="H173" s="8"/>
      <c r="I173" s="8"/>
      <c r="J173" s="8"/>
      <c r="K173" s="227"/>
      <c r="L173" s="6" t="s">
        <v>14</v>
      </c>
      <c r="M173" s="8"/>
      <c r="N173" s="8"/>
      <c r="O173" s="8"/>
      <c r="P173" s="8"/>
      <c r="Q173" s="8"/>
      <c r="R173" s="8"/>
      <c r="S173" s="8"/>
      <c r="T173" s="52"/>
      <c r="U173" s="59">
        <f t="shared" si="26"/>
        <v>0</v>
      </c>
    </row>
    <row r="174" spans="1:21" ht="15">
      <c r="A174" s="230"/>
      <c r="B174" s="6" t="s">
        <v>15</v>
      </c>
      <c r="C174" s="8"/>
      <c r="D174" s="8"/>
      <c r="E174" s="8"/>
      <c r="F174" s="8"/>
      <c r="G174" s="8"/>
      <c r="H174" s="8"/>
      <c r="I174" s="8"/>
      <c r="J174" s="8"/>
      <c r="K174" s="227"/>
      <c r="L174" s="6" t="s">
        <v>15</v>
      </c>
      <c r="M174" s="8"/>
      <c r="N174" s="8"/>
      <c r="O174" s="8"/>
      <c r="P174" s="8"/>
      <c r="Q174" s="8"/>
      <c r="R174" s="8"/>
      <c r="S174" s="8"/>
      <c r="T174" s="52"/>
      <c r="U174" s="59">
        <f t="shared" si="26"/>
        <v>0</v>
      </c>
    </row>
    <row r="175" spans="1:21" ht="15">
      <c r="A175" s="230"/>
      <c r="B175" s="6" t="s">
        <v>16</v>
      </c>
      <c r="C175" s="8"/>
      <c r="D175" s="8"/>
      <c r="E175" s="8"/>
      <c r="F175" s="8"/>
      <c r="G175" s="8"/>
      <c r="H175" s="8"/>
      <c r="I175" s="8"/>
      <c r="J175" s="8"/>
      <c r="K175" s="227"/>
      <c r="L175" s="6" t="s">
        <v>16</v>
      </c>
      <c r="M175" s="8"/>
      <c r="N175" s="8"/>
      <c r="O175" s="8"/>
      <c r="P175" s="8"/>
      <c r="Q175" s="8"/>
      <c r="R175" s="8"/>
      <c r="S175" s="8"/>
      <c r="T175" s="52"/>
      <c r="U175" s="59">
        <f t="shared" si="26"/>
        <v>0</v>
      </c>
    </row>
    <row r="176" spans="1:21" ht="15">
      <c r="A176" s="230"/>
      <c r="B176" s="6" t="s">
        <v>17</v>
      </c>
      <c r="C176" s="8"/>
      <c r="D176" s="8"/>
      <c r="E176" s="8"/>
      <c r="F176" s="8"/>
      <c r="G176" s="8"/>
      <c r="H176" s="8"/>
      <c r="I176" s="8"/>
      <c r="J176" s="8"/>
      <c r="K176" s="227"/>
      <c r="L176" s="6" t="s">
        <v>17</v>
      </c>
      <c r="M176" s="8"/>
      <c r="N176" s="8"/>
      <c r="O176" s="8"/>
      <c r="P176" s="8"/>
      <c r="Q176" s="8"/>
      <c r="R176" s="8"/>
      <c r="S176" s="8"/>
      <c r="T176" s="52"/>
      <c r="U176" s="59">
        <f t="shared" si="26"/>
        <v>0</v>
      </c>
    </row>
    <row r="177" spans="1:40" ht="15">
      <c r="A177" s="230"/>
      <c r="B177" s="47" t="s">
        <v>18</v>
      </c>
      <c r="C177" s="77"/>
      <c r="D177" s="77"/>
      <c r="E177" s="77"/>
      <c r="F177" s="77"/>
      <c r="G177" s="77"/>
      <c r="H177" s="77"/>
      <c r="I177" s="77"/>
      <c r="J177" s="77"/>
      <c r="K177" s="227"/>
      <c r="L177" s="47" t="s">
        <v>18</v>
      </c>
      <c r="M177" s="77"/>
      <c r="N177" s="77"/>
      <c r="O177" s="77"/>
      <c r="P177" s="77"/>
      <c r="Q177" s="77"/>
      <c r="R177" s="77"/>
      <c r="S177" s="77"/>
      <c r="T177" s="78"/>
      <c r="U177" s="59">
        <f t="shared" si="26"/>
        <v>0</v>
      </c>
    </row>
    <row r="178" spans="1:40" ht="15">
      <c r="A178" s="195" t="s">
        <v>11</v>
      </c>
      <c r="B178" s="56" t="s">
        <v>13</v>
      </c>
      <c r="C178" s="73"/>
      <c r="D178" s="73"/>
      <c r="E178" s="73"/>
      <c r="F178" s="73"/>
      <c r="G178" s="73"/>
      <c r="H178" s="73"/>
      <c r="I178" s="73"/>
      <c r="J178" s="73"/>
      <c r="K178" s="196" t="s">
        <v>11</v>
      </c>
      <c r="L178" s="56" t="s">
        <v>13</v>
      </c>
      <c r="M178" s="73"/>
      <c r="N178" s="73"/>
      <c r="O178" s="73"/>
      <c r="P178" s="73"/>
      <c r="Q178" s="73"/>
      <c r="R178" s="73"/>
      <c r="S178" s="73"/>
      <c r="T178" s="74"/>
      <c r="U178" s="59">
        <f t="shared" si="26"/>
        <v>0</v>
      </c>
    </row>
    <row r="179" spans="1:40" ht="15">
      <c r="A179" s="230"/>
      <c r="B179" s="4" t="s">
        <v>14</v>
      </c>
      <c r="C179" s="9"/>
      <c r="D179" s="9"/>
      <c r="E179" s="9"/>
      <c r="F179" s="9"/>
      <c r="G179" s="9"/>
      <c r="H179" s="9"/>
      <c r="I179" s="9"/>
      <c r="J179" s="9"/>
      <c r="K179" s="227"/>
      <c r="L179" s="4" t="s">
        <v>14</v>
      </c>
      <c r="M179" s="9"/>
      <c r="N179" s="9"/>
      <c r="O179" s="9"/>
      <c r="P179" s="9"/>
      <c r="Q179" s="9"/>
      <c r="R179" s="9"/>
      <c r="S179" s="9"/>
      <c r="T179" s="53"/>
      <c r="U179" s="59">
        <f t="shared" si="26"/>
        <v>0</v>
      </c>
    </row>
    <row r="180" spans="1:40" ht="15">
      <c r="A180" s="230"/>
      <c r="B180" s="4" t="s">
        <v>15</v>
      </c>
      <c r="C180" s="9"/>
      <c r="D180" s="9"/>
      <c r="E180" s="9"/>
      <c r="F180" s="9"/>
      <c r="G180" s="9"/>
      <c r="H180" s="9"/>
      <c r="I180" s="9"/>
      <c r="J180" s="9"/>
      <c r="K180" s="227"/>
      <c r="L180" s="4" t="s">
        <v>15</v>
      </c>
      <c r="M180" s="9"/>
      <c r="N180" s="9"/>
      <c r="O180" s="9"/>
      <c r="P180" s="9"/>
      <c r="Q180" s="9"/>
      <c r="R180" s="9"/>
      <c r="S180" s="9"/>
      <c r="T180" s="53"/>
      <c r="U180" s="59">
        <f t="shared" si="26"/>
        <v>0</v>
      </c>
    </row>
    <row r="181" spans="1:40" ht="15">
      <c r="A181" s="230"/>
      <c r="B181" s="4" t="s">
        <v>16</v>
      </c>
      <c r="C181" s="9"/>
      <c r="D181" s="9"/>
      <c r="E181" s="9"/>
      <c r="F181" s="9"/>
      <c r="G181" s="9"/>
      <c r="H181" s="9"/>
      <c r="I181" s="9"/>
      <c r="J181" s="9"/>
      <c r="K181" s="227"/>
      <c r="L181" s="4" t="s">
        <v>16</v>
      </c>
      <c r="M181" s="9"/>
      <c r="N181" s="9"/>
      <c r="O181" s="9"/>
      <c r="P181" s="9"/>
      <c r="Q181" s="9"/>
      <c r="R181" s="9"/>
      <c r="S181" s="9"/>
      <c r="T181" s="53"/>
      <c r="U181" s="59">
        <f t="shared" si="26"/>
        <v>0</v>
      </c>
    </row>
    <row r="182" spans="1:40" ht="15">
      <c r="A182" s="230"/>
      <c r="B182" s="4" t="s">
        <v>17</v>
      </c>
      <c r="C182" s="9"/>
      <c r="D182" s="9"/>
      <c r="E182" s="9"/>
      <c r="F182" s="9"/>
      <c r="G182" s="9"/>
      <c r="H182" s="9"/>
      <c r="I182" s="9"/>
      <c r="J182" s="9"/>
      <c r="K182" s="227"/>
      <c r="L182" s="4" t="s">
        <v>17</v>
      </c>
      <c r="M182" s="9"/>
      <c r="N182" s="9"/>
      <c r="O182" s="9"/>
      <c r="P182" s="9"/>
      <c r="Q182" s="9"/>
      <c r="R182" s="9"/>
      <c r="S182" s="9"/>
      <c r="T182" s="53"/>
      <c r="U182" s="59">
        <f t="shared" si="26"/>
        <v>0</v>
      </c>
    </row>
    <row r="183" spans="1:40" ht="15">
      <c r="A183" s="231"/>
      <c r="B183" s="61" t="s">
        <v>18</v>
      </c>
      <c r="C183" s="75"/>
      <c r="D183" s="75"/>
      <c r="E183" s="75"/>
      <c r="F183" s="75"/>
      <c r="G183" s="75"/>
      <c r="H183" s="75"/>
      <c r="I183" s="75"/>
      <c r="J183" s="75"/>
      <c r="K183" s="232"/>
      <c r="L183" s="61" t="s">
        <v>18</v>
      </c>
      <c r="M183" s="75"/>
      <c r="N183" s="75"/>
      <c r="O183" s="75"/>
      <c r="P183" s="75"/>
      <c r="Q183" s="75"/>
      <c r="R183" s="75"/>
      <c r="S183" s="75"/>
      <c r="T183" s="76"/>
      <c r="U183" s="59">
        <f t="shared" si="26"/>
        <v>0</v>
      </c>
    </row>
    <row r="185" spans="1:40" ht="15.75">
      <c r="A185" s="1"/>
      <c r="B185" s="1"/>
      <c r="C185" s="183" t="s">
        <v>0</v>
      </c>
      <c r="D185" s="225"/>
      <c r="E185" s="225"/>
      <c r="F185" s="225"/>
      <c r="G185" s="226"/>
      <c r="H185" s="2"/>
      <c r="I185" s="1"/>
    </row>
    <row r="186" spans="1:40" ht="15.75">
      <c r="A186" s="1"/>
      <c r="B186" s="183" t="s">
        <v>1</v>
      </c>
      <c r="C186" s="225"/>
      <c r="D186" s="226"/>
      <c r="E186" s="1"/>
      <c r="F186" s="184" t="s">
        <v>2</v>
      </c>
      <c r="G186" s="225"/>
      <c r="H186" s="226"/>
      <c r="I186" s="1"/>
      <c r="K186" s="1"/>
      <c r="L186" s="183" t="s">
        <v>26</v>
      </c>
      <c r="M186" s="225"/>
      <c r="N186" s="226"/>
      <c r="O186" s="1"/>
      <c r="P186" s="184" t="s">
        <v>2</v>
      </c>
      <c r="Q186" s="225"/>
      <c r="R186" s="226"/>
      <c r="S186" s="1"/>
    </row>
    <row r="187" spans="1:40" ht="15.75">
      <c r="A187" s="54" t="s">
        <v>35</v>
      </c>
      <c r="B187" s="54" t="s">
        <v>4</v>
      </c>
      <c r="C187" s="54" t="s">
        <v>12</v>
      </c>
      <c r="D187" s="54" t="s">
        <v>19</v>
      </c>
      <c r="E187" s="54" t="s">
        <v>20</v>
      </c>
      <c r="F187" s="54" t="s">
        <v>21</v>
      </c>
      <c r="G187" s="54" t="s">
        <v>22</v>
      </c>
      <c r="H187" s="54" t="s">
        <v>23</v>
      </c>
      <c r="I187" s="54" t="s">
        <v>24</v>
      </c>
      <c r="J187" s="54" t="s">
        <v>25</v>
      </c>
      <c r="K187" s="54" t="s">
        <v>35</v>
      </c>
      <c r="L187" s="54" t="s">
        <v>4</v>
      </c>
      <c r="M187" s="54" t="s">
        <v>27</v>
      </c>
      <c r="N187" s="54" t="s">
        <v>28</v>
      </c>
      <c r="O187" s="54" t="s">
        <v>29</v>
      </c>
      <c r="P187" s="54" t="s">
        <v>30</v>
      </c>
      <c r="Q187" s="54" t="s">
        <v>31</v>
      </c>
      <c r="R187" s="54" t="s">
        <v>32</v>
      </c>
      <c r="S187" s="54" t="s">
        <v>33</v>
      </c>
      <c r="T187" s="54" t="s">
        <v>34</v>
      </c>
      <c r="U187" s="54" t="s">
        <v>55</v>
      </c>
    </row>
    <row r="188" spans="1:40" ht="15.75">
      <c r="A188" s="195" t="s">
        <v>5</v>
      </c>
      <c r="B188" s="56" t="s">
        <v>13</v>
      </c>
      <c r="C188" s="57"/>
      <c r="D188" s="57"/>
      <c r="E188" s="56"/>
      <c r="F188" s="56"/>
      <c r="G188" s="56"/>
      <c r="H188" s="56"/>
      <c r="I188" s="56"/>
      <c r="J188" s="56"/>
      <c r="K188" s="196" t="s">
        <v>5</v>
      </c>
      <c r="L188" s="56" t="s">
        <v>13</v>
      </c>
      <c r="M188" s="56"/>
      <c r="N188" s="56"/>
      <c r="O188" s="56"/>
      <c r="P188" s="56"/>
      <c r="Q188" s="56"/>
      <c r="R188" s="57"/>
      <c r="S188" s="57"/>
      <c r="T188" s="58"/>
      <c r="U188" s="59">
        <f>SUM(M188:T188,C188:J188)</f>
        <v>0</v>
      </c>
      <c r="W188" s="197" t="s">
        <v>2</v>
      </c>
      <c r="X188" s="198"/>
      <c r="AG188" s="190" t="s">
        <v>58</v>
      </c>
      <c r="AH188" s="191"/>
      <c r="AI188" s="191"/>
      <c r="AJ188" s="191"/>
      <c r="AK188" s="191"/>
      <c r="AL188" s="191"/>
      <c r="AM188" s="191"/>
      <c r="AN188" s="192"/>
    </row>
    <row r="189" spans="1:40" ht="15">
      <c r="A189" s="230"/>
      <c r="B189" s="4" t="s">
        <v>14</v>
      </c>
      <c r="C189" s="5"/>
      <c r="D189" s="5"/>
      <c r="E189" s="4"/>
      <c r="F189" s="4"/>
      <c r="G189" s="4"/>
      <c r="H189" s="4"/>
      <c r="I189" s="4"/>
      <c r="J189" s="4"/>
      <c r="K189" s="227"/>
      <c r="L189" s="4" t="s">
        <v>14</v>
      </c>
      <c r="M189" s="4"/>
      <c r="N189" s="4"/>
      <c r="O189" s="4"/>
      <c r="P189" s="4"/>
      <c r="Q189" s="4"/>
      <c r="R189" s="5"/>
      <c r="S189" s="5"/>
      <c r="T189" s="49"/>
      <c r="U189" s="59">
        <f t="shared" ref="U189:U229" si="34">SUM(M189:T189,C189:J189)</f>
        <v>0</v>
      </c>
      <c r="W189" s="55" t="s">
        <v>5</v>
      </c>
      <c r="X189" s="48">
        <f>SUM(U188:U193)</f>
        <v>0</v>
      </c>
      <c r="AG189" s="98" t="s">
        <v>4</v>
      </c>
      <c r="AH189" s="98" t="s">
        <v>5</v>
      </c>
      <c r="AI189" s="98" t="s">
        <v>6</v>
      </c>
      <c r="AJ189" s="98" t="s">
        <v>7</v>
      </c>
      <c r="AK189" s="98" t="s">
        <v>8</v>
      </c>
      <c r="AL189" s="98" t="s">
        <v>9</v>
      </c>
      <c r="AM189" s="98" t="s">
        <v>10</v>
      </c>
      <c r="AN189" s="98" t="s">
        <v>11</v>
      </c>
    </row>
    <row r="190" spans="1:40" ht="15">
      <c r="A190" s="230"/>
      <c r="B190" s="4" t="s">
        <v>15</v>
      </c>
      <c r="C190" s="5"/>
      <c r="D190" s="5"/>
      <c r="E190" s="4"/>
      <c r="F190" s="4"/>
      <c r="G190" s="4"/>
      <c r="H190" s="4"/>
      <c r="I190" s="4"/>
      <c r="J190" s="4"/>
      <c r="K190" s="227"/>
      <c r="L190" s="4" t="s">
        <v>15</v>
      </c>
      <c r="M190" s="4"/>
      <c r="N190" s="4"/>
      <c r="O190" s="4"/>
      <c r="P190" s="4"/>
      <c r="Q190" s="4"/>
      <c r="R190" s="5"/>
      <c r="S190" s="5"/>
      <c r="T190" s="49"/>
      <c r="U190" s="59">
        <f t="shared" si="34"/>
        <v>0</v>
      </c>
      <c r="W190" s="55" t="s">
        <v>6</v>
      </c>
      <c r="X190" s="48">
        <f>SUM(U194:U199)</f>
        <v>0</v>
      </c>
      <c r="AG190" s="79" t="s">
        <v>13</v>
      </c>
      <c r="AH190" s="79">
        <f t="shared" ref="AH190:AH195" si="35">U188</f>
        <v>0</v>
      </c>
      <c r="AI190" s="79">
        <f t="shared" ref="AI190:AI195" si="36">U194</f>
        <v>0</v>
      </c>
      <c r="AJ190" s="79">
        <f t="shared" ref="AJ190:AJ195" si="37">U200</f>
        <v>0</v>
      </c>
      <c r="AK190" s="79">
        <f t="shared" ref="AK190:AK195" si="38">U206</f>
        <v>0</v>
      </c>
      <c r="AL190" s="79">
        <f t="shared" ref="AL190:AL195" si="39">U212</f>
        <v>0</v>
      </c>
      <c r="AM190" s="79">
        <f t="shared" ref="AM190:AM195" si="40">U218</f>
        <v>0</v>
      </c>
      <c r="AN190" s="79">
        <f t="shared" ref="AN190:AN195" si="41">U224</f>
        <v>0</v>
      </c>
    </row>
    <row r="191" spans="1:40" ht="15">
      <c r="A191" s="230"/>
      <c r="B191" s="4" t="s">
        <v>16</v>
      </c>
      <c r="C191" s="5"/>
      <c r="D191" s="5"/>
      <c r="E191" s="4"/>
      <c r="F191" s="4"/>
      <c r="G191" s="4"/>
      <c r="H191" s="4"/>
      <c r="I191" s="4"/>
      <c r="J191" s="4"/>
      <c r="K191" s="227"/>
      <c r="L191" s="4" t="s">
        <v>16</v>
      </c>
      <c r="M191" s="4"/>
      <c r="N191" s="4"/>
      <c r="O191" s="4"/>
      <c r="P191" s="4"/>
      <c r="Q191" s="4"/>
      <c r="R191" s="5"/>
      <c r="S191" s="5"/>
      <c r="T191" s="49"/>
      <c r="U191" s="59">
        <f t="shared" si="34"/>
        <v>0</v>
      </c>
      <c r="W191" s="55" t="s">
        <v>7</v>
      </c>
      <c r="X191" s="48">
        <f>SUM(U200:U205)</f>
        <v>0</v>
      </c>
      <c r="AG191" s="97" t="s">
        <v>14</v>
      </c>
      <c r="AH191" s="97">
        <f t="shared" si="35"/>
        <v>0</v>
      </c>
      <c r="AI191" s="97">
        <f t="shared" si="36"/>
        <v>0</v>
      </c>
      <c r="AJ191" s="97">
        <f t="shared" si="37"/>
        <v>0</v>
      </c>
      <c r="AK191" s="97">
        <f t="shared" si="38"/>
        <v>0</v>
      </c>
      <c r="AL191" s="97">
        <f t="shared" si="39"/>
        <v>0</v>
      </c>
      <c r="AM191" s="97">
        <f t="shared" si="40"/>
        <v>0</v>
      </c>
      <c r="AN191" s="97">
        <f t="shared" si="41"/>
        <v>0</v>
      </c>
    </row>
    <row r="192" spans="1:40" ht="15">
      <c r="A192" s="230"/>
      <c r="B192" s="4" t="s">
        <v>17</v>
      </c>
      <c r="C192" s="5"/>
      <c r="D192" s="5"/>
      <c r="E192" s="4"/>
      <c r="F192" s="4"/>
      <c r="G192" s="4"/>
      <c r="H192" s="4"/>
      <c r="I192" s="4"/>
      <c r="J192" s="4"/>
      <c r="K192" s="227"/>
      <c r="L192" s="4" t="s">
        <v>17</v>
      </c>
      <c r="M192" s="4"/>
      <c r="N192" s="4"/>
      <c r="O192" s="4"/>
      <c r="P192" s="4"/>
      <c r="Q192" s="4"/>
      <c r="R192" s="5"/>
      <c r="S192" s="5"/>
      <c r="T192" s="49"/>
      <c r="U192" s="59">
        <f t="shared" si="34"/>
        <v>0</v>
      </c>
      <c r="W192" s="55" t="s">
        <v>61</v>
      </c>
      <c r="X192" s="48">
        <f>SUM(U206:U211)</f>
        <v>0</v>
      </c>
      <c r="AG192" s="79" t="s">
        <v>15</v>
      </c>
      <c r="AH192" s="79">
        <f t="shared" si="35"/>
        <v>0</v>
      </c>
      <c r="AI192" s="79">
        <f t="shared" si="36"/>
        <v>0</v>
      </c>
      <c r="AJ192" s="79">
        <f t="shared" si="37"/>
        <v>0</v>
      </c>
      <c r="AK192" s="79">
        <f t="shared" si="38"/>
        <v>0</v>
      </c>
      <c r="AL192" s="79">
        <f t="shared" si="39"/>
        <v>0</v>
      </c>
      <c r="AM192" s="79">
        <f t="shared" si="40"/>
        <v>0</v>
      </c>
      <c r="AN192" s="79">
        <f t="shared" si="41"/>
        <v>0</v>
      </c>
    </row>
    <row r="193" spans="1:40" ht="15">
      <c r="A193" s="230"/>
      <c r="B193" s="46" t="s">
        <v>18</v>
      </c>
      <c r="C193" s="64"/>
      <c r="D193" s="64"/>
      <c r="E193" s="46"/>
      <c r="F193" s="46"/>
      <c r="G193" s="46"/>
      <c r="H193" s="46"/>
      <c r="I193" s="46"/>
      <c r="J193" s="46"/>
      <c r="K193" s="227"/>
      <c r="L193" s="46" t="s">
        <v>18</v>
      </c>
      <c r="M193" s="46"/>
      <c r="N193" s="46"/>
      <c r="O193" s="46"/>
      <c r="P193" s="46"/>
      <c r="Q193" s="46"/>
      <c r="R193" s="64"/>
      <c r="S193" s="64"/>
      <c r="T193" s="65"/>
      <c r="U193" s="59">
        <f t="shared" si="34"/>
        <v>0</v>
      </c>
      <c r="W193" s="55" t="s">
        <v>9</v>
      </c>
      <c r="X193" s="48">
        <f>SUM(U212:U217)</f>
        <v>0</v>
      </c>
      <c r="AG193" s="97" t="s">
        <v>16</v>
      </c>
      <c r="AH193" s="97">
        <f t="shared" si="35"/>
        <v>0</v>
      </c>
      <c r="AI193" s="97">
        <f t="shared" si="36"/>
        <v>0</v>
      </c>
      <c r="AJ193" s="97">
        <f t="shared" si="37"/>
        <v>0</v>
      </c>
      <c r="AK193" s="97">
        <f t="shared" si="38"/>
        <v>0</v>
      </c>
      <c r="AL193" s="97">
        <f t="shared" si="39"/>
        <v>0</v>
      </c>
      <c r="AM193" s="97">
        <f t="shared" si="40"/>
        <v>0</v>
      </c>
      <c r="AN193" s="97">
        <f t="shared" si="41"/>
        <v>0</v>
      </c>
    </row>
    <row r="194" spans="1:40" ht="15">
      <c r="A194" s="193" t="s">
        <v>6</v>
      </c>
      <c r="B194" s="63" t="s">
        <v>13</v>
      </c>
      <c r="C194" s="57"/>
      <c r="D194" s="57"/>
      <c r="E194" s="57"/>
      <c r="F194" s="63"/>
      <c r="G194" s="63"/>
      <c r="H194" s="63"/>
      <c r="I194" s="63"/>
      <c r="J194" s="63"/>
      <c r="K194" s="194" t="s">
        <v>6</v>
      </c>
      <c r="L194" s="63" t="s">
        <v>13</v>
      </c>
      <c r="M194" s="63"/>
      <c r="N194" s="63"/>
      <c r="O194" s="63"/>
      <c r="P194" s="63"/>
      <c r="Q194" s="57"/>
      <c r="R194" s="57"/>
      <c r="S194" s="57"/>
      <c r="T194" s="58"/>
      <c r="U194" s="59">
        <f t="shared" si="34"/>
        <v>0</v>
      </c>
      <c r="W194" s="55" t="s">
        <v>10</v>
      </c>
      <c r="X194" s="48">
        <f>SUM(U218:U223)</f>
        <v>0</v>
      </c>
      <c r="AG194" s="79" t="s">
        <v>17</v>
      </c>
      <c r="AH194" s="79">
        <f t="shared" si="35"/>
        <v>0</v>
      </c>
      <c r="AI194" s="79">
        <f t="shared" si="36"/>
        <v>0</v>
      </c>
      <c r="AJ194" s="79">
        <f t="shared" si="37"/>
        <v>0</v>
      </c>
      <c r="AK194" s="79">
        <f t="shared" si="38"/>
        <v>0</v>
      </c>
      <c r="AL194" s="79">
        <f t="shared" si="39"/>
        <v>0</v>
      </c>
      <c r="AM194" s="79">
        <f t="shared" si="40"/>
        <v>0</v>
      </c>
      <c r="AN194" s="79">
        <f t="shared" si="41"/>
        <v>0</v>
      </c>
    </row>
    <row r="195" spans="1:40" ht="15">
      <c r="A195" s="230"/>
      <c r="B195" s="6" t="s">
        <v>14</v>
      </c>
      <c r="C195" s="5"/>
      <c r="D195" s="5"/>
      <c r="E195" s="5"/>
      <c r="F195" s="6"/>
      <c r="G195" s="6"/>
      <c r="H195" s="6"/>
      <c r="I195" s="6"/>
      <c r="J195" s="6"/>
      <c r="K195" s="227"/>
      <c r="L195" s="6" t="s">
        <v>14</v>
      </c>
      <c r="M195" s="6"/>
      <c r="N195" s="6"/>
      <c r="O195" s="6"/>
      <c r="P195" s="6"/>
      <c r="Q195" s="5"/>
      <c r="R195" s="5"/>
      <c r="S195" s="5"/>
      <c r="T195" s="49"/>
      <c r="U195" s="59">
        <f t="shared" si="34"/>
        <v>0</v>
      </c>
      <c r="W195" s="81" t="s">
        <v>11</v>
      </c>
      <c r="X195" s="80">
        <f>SUM(U224:U229)</f>
        <v>0</v>
      </c>
      <c r="AG195" s="97" t="s">
        <v>18</v>
      </c>
      <c r="AH195" s="97">
        <f t="shared" si="35"/>
        <v>0</v>
      </c>
      <c r="AI195" s="97">
        <f t="shared" si="36"/>
        <v>0</v>
      </c>
      <c r="AJ195" s="97">
        <f t="shared" si="37"/>
        <v>0</v>
      </c>
      <c r="AK195" s="97">
        <f t="shared" si="38"/>
        <v>0</v>
      </c>
      <c r="AL195" s="97">
        <f t="shared" si="39"/>
        <v>0</v>
      </c>
      <c r="AM195" s="97">
        <f t="shared" si="40"/>
        <v>0</v>
      </c>
      <c r="AN195" s="97">
        <f t="shared" si="41"/>
        <v>0</v>
      </c>
    </row>
    <row r="196" spans="1:40" ht="15">
      <c r="A196" s="230"/>
      <c r="B196" s="6" t="s">
        <v>15</v>
      </c>
      <c r="C196" s="5"/>
      <c r="D196" s="5"/>
      <c r="E196" s="5"/>
      <c r="F196" s="6"/>
      <c r="G196" s="6"/>
      <c r="H196" s="6"/>
      <c r="I196" s="6"/>
      <c r="J196" s="6"/>
      <c r="K196" s="227"/>
      <c r="L196" s="6" t="s">
        <v>15</v>
      </c>
      <c r="M196" s="6"/>
      <c r="N196" s="6"/>
      <c r="O196" s="6"/>
      <c r="P196" s="6"/>
      <c r="Q196" s="5"/>
      <c r="R196" s="5"/>
      <c r="S196" s="5"/>
      <c r="T196" s="49"/>
      <c r="U196" s="59">
        <f t="shared" si="34"/>
        <v>0</v>
      </c>
      <c r="W196" s="79" t="s">
        <v>63</v>
      </c>
      <c r="X196" s="82">
        <f>SUM(X189:X195)</f>
        <v>0</v>
      </c>
    </row>
    <row r="197" spans="1:40" ht="15">
      <c r="A197" s="230"/>
      <c r="B197" s="6" t="s">
        <v>16</v>
      </c>
      <c r="C197" s="5"/>
      <c r="D197" s="5"/>
      <c r="E197" s="5"/>
      <c r="F197" s="6"/>
      <c r="G197" s="6"/>
      <c r="H197" s="6"/>
      <c r="I197" s="6"/>
      <c r="J197" s="6"/>
      <c r="K197" s="227"/>
      <c r="L197" s="6" t="s">
        <v>16</v>
      </c>
      <c r="M197" s="6"/>
      <c r="N197" s="6"/>
      <c r="O197" s="6"/>
      <c r="P197" s="6"/>
      <c r="Q197" s="5"/>
      <c r="R197" s="5"/>
      <c r="S197" s="5"/>
      <c r="T197" s="49"/>
      <c r="U197" s="59">
        <f t="shared" si="34"/>
        <v>0</v>
      </c>
    </row>
    <row r="198" spans="1:40" ht="15">
      <c r="A198" s="230"/>
      <c r="B198" s="6" t="s">
        <v>17</v>
      </c>
      <c r="C198" s="5"/>
      <c r="D198" s="5"/>
      <c r="E198" s="5"/>
      <c r="F198" s="6"/>
      <c r="G198" s="6"/>
      <c r="H198" s="6"/>
      <c r="I198" s="6"/>
      <c r="J198" s="6"/>
      <c r="K198" s="227"/>
      <c r="L198" s="6" t="s">
        <v>17</v>
      </c>
      <c r="M198" s="6"/>
      <c r="N198" s="6"/>
      <c r="O198" s="6"/>
      <c r="P198" s="6"/>
      <c r="Q198" s="5"/>
      <c r="R198" s="5"/>
      <c r="S198" s="5"/>
      <c r="T198" s="49"/>
      <c r="U198" s="59">
        <f t="shared" si="34"/>
        <v>0</v>
      </c>
    </row>
    <row r="199" spans="1:40" ht="15">
      <c r="A199" s="230"/>
      <c r="B199" s="47" t="s">
        <v>18</v>
      </c>
      <c r="C199" s="64"/>
      <c r="D199" s="64"/>
      <c r="E199" s="64"/>
      <c r="F199" s="47"/>
      <c r="G199" s="47"/>
      <c r="H199" s="47"/>
      <c r="I199" s="47"/>
      <c r="J199" s="47"/>
      <c r="K199" s="227"/>
      <c r="L199" s="47" t="s">
        <v>18</v>
      </c>
      <c r="M199" s="47"/>
      <c r="N199" s="47"/>
      <c r="O199" s="47"/>
      <c r="P199" s="47"/>
      <c r="Q199" s="64"/>
      <c r="R199" s="64"/>
      <c r="S199" s="64"/>
      <c r="T199" s="65"/>
      <c r="U199" s="59">
        <f t="shared" si="34"/>
        <v>0</v>
      </c>
    </row>
    <row r="200" spans="1:40" ht="15">
      <c r="A200" s="195" t="s">
        <v>7</v>
      </c>
      <c r="B200" s="56" t="s">
        <v>13</v>
      </c>
      <c r="C200" s="56"/>
      <c r="D200" s="56"/>
      <c r="E200" s="56"/>
      <c r="F200" s="56"/>
      <c r="G200" s="56"/>
      <c r="H200" s="56"/>
      <c r="I200" s="56"/>
      <c r="J200" s="56"/>
      <c r="K200" s="196" t="s">
        <v>7</v>
      </c>
      <c r="L200" s="56" t="s">
        <v>13</v>
      </c>
      <c r="M200" s="56"/>
      <c r="N200" s="56"/>
      <c r="O200" s="56"/>
      <c r="P200" s="56"/>
      <c r="Q200" s="56"/>
      <c r="R200" s="56"/>
      <c r="S200" s="56"/>
      <c r="T200" s="67"/>
      <c r="U200" s="59">
        <f t="shared" si="34"/>
        <v>0</v>
      </c>
    </row>
    <row r="201" spans="1:40" ht="15">
      <c r="A201" s="230"/>
      <c r="B201" s="4" t="s">
        <v>14</v>
      </c>
      <c r="C201" s="4"/>
      <c r="D201" s="4"/>
      <c r="E201" s="4"/>
      <c r="F201" s="4"/>
      <c r="G201" s="4"/>
      <c r="H201" s="4"/>
      <c r="I201" s="4"/>
      <c r="J201" s="4"/>
      <c r="K201" s="227"/>
      <c r="L201" s="4" t="s">
        <v>14</v>
      </c>
      <c r="M201" s="4"/>
      <c r="N201" s="4"/>
      <c r="O201" s="4"/>
      <c r="P201" s="4"/>
      <c r="Q201" s="4"/>
      <c r="R201" s="4"/>
      <c r="S201" s="4"/>
      <c r="T201" s="50"/>
      <c r="U201" s="59">
        <f t="shared" si="34"/>
        <v>0</v>
      </c>
    </row>
    <row r="202" spans="1:40" ht="15">
      <c r="A202" s="230"/>
      <c r="B202" s="4" t="s">
        <v>15</v>
      </c>
      <c r="C202" s="4"/>
      <c r="D202" s="4"/>
      <c r="E202" s="4"/>
      <c r="F202" s="4"/>
      <c r="G202" s="4"/>
      <c r="H202" s="4"/>
      <c r="I202" s="4"/>
      <c r="J202" s="4"/>
      <c r="K202" s="227"/>
      <c r="L202" s="4" t="s">
        <v>15</v>
      </c>
      <c r="M202" s="4"/>
      <c r="N202" s="4"/>
      <c r="O202" s="4"/>
      <c r="P202" s="4"/>
      <c r="Q202" s="4"/>
      <c r="R202" s="4"/>
      <c r="S202" s="4"/>
      <c r="T202" s="50"/>
      <c r="U202" s="59">
        <f t="shared" si="34"/>
        <v>0</v>
      </c>
    </row>
    <row r="203" spans="1:40" ht="15">
      <c r="A203" s="230"/>
      <c r="B203" s="4" t="s">
        <v>16</v>
      </c>
      <c r="C203" s="4"/>
      <c r="D203" s="4"/>
      <c r="E203" s="4"/>
      <c r="F203" s="4"/>
      <c r="G203" s="4"/>
      <c r="H203" s="4"/>
      <c r="I203" s="4"/>
      <c r="J203" s="4"/>
      <c r="K203" s="227"/>
      <c r="L203" s="4" t="s">
        <v>16</v>
      </c>
      <c r="M203" s="4"/>
      <c r="N203" s="4"/>
      <c r="O203" s="4"/>
      <c r="P203" s="4"/>
      <c r="Q203" s="4"/>
      <c r="R203" s="4"/>
      <c r="S203" s="4"/>
      <c r="T203" s="50"/>
      <c r="U203" s="59">
        <f t="shared" si="34"/>
        <v>0</v>
      </c>
    </row>
    <row r="204" spans="1:40" ht="15">
      <c r="A204" s="230"/>
      <c r="B204" s="4" t="s">
        <v>17</v>
      </c>
      <c r="C204" s="4"/>
      <c r="D204" s="4"/>
      <c r="E204" s="4"/>
      <c r="F204" s="4"/>
      <c r="G204" s="4"/>
      <c r="H204" s="4"/>
      <c r="I204" s="4"/>
      <c r="J204" s="4"/>
      <c r="K204" s="227"/>
      <c r="L204" s="4" t="s">
        <v>17</v>
      </c>
      <c r="M204" s="4"/>
      <c r="N204" s="4"/>
      <c r="O204" s="4"/>
      <c r="P204" s="4"/>
      <c r="Q204" s="4"/>
      <c r="R204" s="4"/>
      <c r="S204" s="4"/>
      <c r="T204" s="50"/>
      <c r="U204" s="59">
        <f t="shared" si="34"/>
        <v>0</v>
      </c>
    </row>
    <row r="205" spans="1:40" ht="15">
      <c r="A205" s="230"/>
      <c r="B205" s="46" t="s">
        <v>18</v>
      </c>
      <c r="C205" s="46"/>
      <c r="D205" s="46"/>
      <c r="E205" s="46"/>
      <c r="F205" s="46"/>
      <c r="G205" s="46"/>
      <c r="H205" s="46"/>
      <c r="I205" s="46"/>
      <c r="J205" s="46"/>
      <c r="K205" s="227"/>
      <c r="L205" s="46" t="s">
        <v>18</v>
      </c>
      <c r="M205" s="46"/>
      <c r="N205" s="46"/>
      <c r="O205" s="46"/>
      <c r="P205" s="46"/>
      <c r="Q205" s="46"/>
      <c r="R205" s="46"/>
      <c r="S205" s="46"/>
      <c r="T205" s="69"/>
      <c r="U205" s="59">
        <f t="shared" si="34"/>
        <v>0</v>
      </c>
    </row>
    <row r="206" spans="1:40" ht="15">
      <c r="A206" s="193" t="s">
        <v>8</v>
      </c>
      <c r="B206" s="63" t="s">
        <v>13</v>
      </c>
      <c r="C206" s="63"/>
      <c r="D206" s="63"/>
      <c r="E206" s="63"/>
      <c r="F206" s="63"/>
      <c r="G206" s="63"/>
      <c r="H206" s="63"/>
      <c r="I206" s="63"/>
      <c r="J206" s="63"/>
      <c r="K206" s="194" t="s">
        <v>8</v>
      </c>
      <c r="L206" s="63" t="s">
        <v>13</v>
      </c>
      <c r="M206" s="63"/>
      <c r="N206" s="63"/>
      <c r="O206" s="63"/>
      <c r="P206" s="63"/>
      <c r="Q206" s="63"/>
      <c r="R206" s="63"/>
      <c r="S206" s="63"/>
      <c r="T206" s="68"/>
      <c r="U206" s="59">
        <f t="shared" si="34"/>
        <v>0</v>
      </c>
    </row>
    <row r="207" spans="1:40" ht="15">
      <c r="A207" s="230"/>
      <c r="B207" s="6" t="s">
        <v>14</v>
      </c>
      <c r="C207" s="6"/>
      <c r="D207" s="6"/>
      <c r="E207" s="6"/>
      <c r="F207" s="6"/>
      <c r="G207" s="6"/>
      <c r="H207" s="6"/>
      <c r="I207" s="6"/>
      <c r="J207" s="6"/>
      <c r="K207" s="227"/>
      <c r="L207" s="6" t="s">
        <v>14</v>
      </c>
      <c r="M207" s="6"/>
      <c r="N207" s="6"/>
      <c r="O207" s="6"/>
      <c r="P207" s="6"/>
      <c r="Q207" s="6"/>
      <c r="R207" s="6"/>
      <c r="S207" s="6"/>
      <c r="T207" s="51"/>
      <c r="U207" s="59">
        <f t="shared" si="34"/>
        <v>0</v>
      </c>
    </row>
    <row r="208" spans="1:40" ht="15">
      <c r="A208" s="230"/>
      <c r="B208" s="6" t="s">
        <v>15</v>
      </c>
      <c r="C208" s="6"/>
      <c r="D208" s="6"/>
      <c r="E208" s="6"/>
      <c r="F208" s="6"/>
      <c r="G208" s="6"/>
      <c r="H208" s="6"/>
      <c r="I208" s="6"/>
      <c r="J208" s="6"/>
      <c r="K208" s="227"/>
      <c r="L208" s="6" t="s">
        <v>15</v>
      </c>
      <c r="M208" s="6"/>
      <c r="N208" s="6"/>
      <c r="O208" s="6"/>
      <c r="P208" s="6"/>
      <c r="Q208" s="6"/>
      <c r="R208" s="6"/>
      <c r="S208" s="6"/>
      <c r="T208" s="51"/>
      <c r="U208" s="59">
        <f t="shared" si="34"/>
        <v>0</v>
      </c>
    </row>
    <row r="209" spans="1:21" ht="15">
      <c r="A209" s="230"/>
      <c r="B209" s="6" t="s">
        <v>16</v>
      </c>
      <c r="C209" s="6"/>
      <c r="D209" s="6"/>
      <c r="E209" s="6"/>
      <c r="F209" s="6"/>
      <c r="G209" s="6"/>
      <c r="H209" s="6"/>
      <c r="I209" s="6"/>
      <c r="J209" s="6"/>
      <c r="K209" s="227"/>
      <c r="L209" s="6" t="s">
        <v>16</v>
      </c>
      <c r="M209" s="6"/>
      <c r="N209" s="6"/>
      <c r="O209" s="6"/>
      <c r="P209" s="6"/>
      <c r="Q209" s="6"/>
      <c r="R209" s="6"/>
      <c r="S209" s="6"/>
      <c r="T209" s="51"/>
      <c r="U209" s="59">
        <f t="shared" si="34"/>
        <v>0</v>
      </c>
    </row>
    <row r="210" spans="1:21" ht="15">
      <c r="A210" s="230"/>
      <c r="B210" s="6" t="s">
        <v>17</v>
      </c>
      <c r="C210" s="6"/>
      <c r="D210" s="6"/>
      <c r="E210" s="6"/>
      <c r="F210" s="6"/>
      <c r="G210" s="6"/>
      <c r="H210" s="6"/>
      <c r="I210" s="6"/>
      <c r="J210" s="6"/>
      <c r="K210" s="227"/>
      <c r="L210" s="6" t="s">
        <v>17</v>
      </c>
      <c r="M210" s="6"/>
      <c r="N210" s="6"/>
      <c r="O210" s="6"/>
      <c r="P210" s="6"/>
      <c r="Q210" s="6"/>
      <c r="R210" s="6"/>
      <c r="S210" s="6"/>
      <c r="T210" s="51"/>
      <c r="U210" s="59">
        <f t="shared" si="34"/>
        <v>0</v>
      </c>
    </row>
    <row r="211" spans="1:21" ht="15">
      <c r="A211" s="230"/>
      <c r="B211" s="47" t="s">
        <v>18</v>
      </c>
      <c r="C211" s="47"/>
      <c r="D211" s="47"/>
      <c r="E211" s="47"/>
      <c r="F211" s="47"/>
      <c r="G211" s="47"/>
      <c r="H211" s="47"/>
      <c r="I211" s="47"/>
      <c r="J211" s="47"/>
      <c r="K211" s="227"/>
      <c r="L211" s="47" t="s">
        <v>18</v>
      </c>
      <c r="M211" s="47"/>
      <c r="N211" s="47"/>
      <c r="O211" s="47"/>
      <c r="P211" s="47"/>
      <c r="Q211" s="47"/>
      <c r="R211" s="47"/>
      <c r="S211" s="47"/>
      <c r="T211" s="70"/>
      <c r="U211" s="59">
        <f t="shared" si="34"/>
        <v>0</v>
      </c>
    </row>
    <row r="212" spans="1:21" ht="15">
      <c r="A212" s="195" t="s">
        <v>9</v>
      </c>
      <c r="B212" s="56" t="s">
        <v>13</v>
      </c>
      <c r="C212" s="56"/>
      <c r="D212" s="56"/>
      <c r="E212" s="56"/>
      <c r="F212" s="56"/>
      <c r="G212" s="56"/>
      <c r="H212" s="56"/>
      <c r="I212" s="56"/>
      <c r="J212" s="56"/>
      <c r="K212" s="196" t="s">
        <v>9</v>
      </c>
      <c r="L212" s="56" t="s">
        <v>13</v>
      </c>
      <c r="M212" s="56"/>
      <c r="N212" s="56"/>
      <c r="O212" s="56"/>
      <c r="P212" s="56"/>
      <c r="Q212" s="56"/>
      <c r="R212" s="56"/>
      <c r="S212" s="56"/>
      <c r="T212" s="67"/>
      <c r="U212" s="59">
        <f t="shared" si="34"/>
        <v>0</v>
      </c>
    </row>
    <row r="213" spans="1:21" ht="15">
      <c r="A213" s="230"/>
      <c r="B213" s="4" t="s">
        <v>14</v>
      </c>
      <c r="C213" s="4"/>
      <c r="D213" s="4"/>
      <c r="E213" s="4"/>
      <c r="F213" s="4"/>
      <c r="G213" s="4"/>
      <c r="H213" s="4"/>
      <c r="I213" s="4"/>
      <c r="J213" s="4"/>
      <c r="K213" s="227"/>
      <c r="L213" s="4" t="s">
        <v>14</v>
      </c>
      <c r="M213" s="4"/>
      <c r="N213" s="4"/>
      <c r="O213" s="4"/>
      <c r="P213" s="4"/>
      <c r="Q213" s="4"/>
      <c r="R213" s="4"/>
      <c r="S213" s="4"/>
      <c r="T213" s="50"/>
      <c r="U213" s="59">
        <f t="shared" si="34"/>
        <v>0</v>
      </c>
    </row>
    <row r="214" spans="1:21" ht="15">
      <c r="A214" s="230"/>
      <c r="B214" s="4" t="s">
        <v>15</v>
      </c>
      <c r="C214" s="4"/>
      <c r="D214" s="4"/>
      <c r="E214" s="4"/>
      <c r="F214" s="4"/>
      <c r="G214" s="4"/>
      <c r="H214" s="4"/>
      <c r="I214" s="4"/>
      <c r="J214" s="4"/>
      <c r="K214" s="227"/>
      <c r="L214" s="4" t="s">
        <v>15</v>
      </c>
      <c r="M214" s="4"/>
      <c r="N214" s="4"/>
      <c r="O214" s="4"/>
      <c r="P214" s="4"/>
      <c r="Q214" s="4"/>
      <c r="R214" s="4"/>
      <c r="S214" s="4"/>
      <c r="T214" s="50"/>
      <c r="U214" s="59">
        <f t="shared" si="34"/>
        <v>0</v>
      </c>
    </row>
    <row r="215" spans="1:21" ht="15">
      <c r="A215" s="230"/>
      <c r="B215" s="4" t="s">
        <v>16</v>
      </c>
      <c r="C215" s="4"/>
      <c r="D215" s="4"/>
      <c r="E215" s="4"/>
      <c r="F215" s="4"/>
      <c r="G215" s="4"/>
      <c r="H215" s="4"/>
      <c r="I215" s="4"/>
      <c r="J215" s="4"/>
      <c r="K215" s="227"/>
      <c r="L215" s="4" t="s">
        <v>16</v>
      </c>
      <c r="M215" s="4"/>
      <c r="N215" s="4"/>
      <c r="O215" s="4"/>
      <c r="P215" s="4"/>
      <c r="Q215" s="4"/>
      <c r="R215" s="4"/>
      <c r="S215" s="4"/>
      <c r="T215" s="50"/>
      <c r="U215" s="59">
        <f t="shared" si="34"/>
        <v>0</v>
      </c>
    </row>
    <row r="216" spans="1:21" ht="15">
      <c r="A216" s="230"/>
      <c r="B216" s="4" t="s">
        <v>17</v>
      </c>
      <c r="C216" s="4"/>
      <c r="D216" s="4"/>
      <c r="E216" s="4"/>
      <c r="F216" s="4"/>
      <c r="G216" s="4"/>
      <c r="H216" s="4"/>
      <c r="I216" s="4"/>
      <c r="J216" s="4"/>
      <c r="K216" s="227"/>
      <c r="L216" s="4" t="s">
        <v>17</v>
      </c>
      <c r="M216" s="4"/>
      <c r="N216" s="4"/>
      <c r="O216" s="4"/>
      <c r="P216" s="4"/>
      <c r="Q216" s="4"/>
      <c r="R216" s="4"/>
      <c r="S216" s="4"/>
      <c r="T216" s="50"/>
      <c r="U216" s="59">
        <f t="shared" si="34"/>
        <v>0</v>
      </c>
    </row>
    <row r="217" spans="1:21" ht="15">
      <c r="A217" s="230"/>
      <c r="B217" s="46" t="s">
        <v>18</v>
      </c>
      <c r="C217" s="46"/>
      <c r="D217" s="46"/>
      <c r="E217" s="46"/>
      <c r="F217" s="46"/>
      <c r="G217" s="46"/>
      <c r="H217" s="46"/>
      <c r="I217" s="46"/>
      <c r="J217" s="46"/>
      <c r="K217" s="227"/>
      <c r="L217" s="46" t="s">
        <v>18</v>
      </c>
      <c r="M217" s="46"/>
      <c r="N217" s="46"/>
      <c r="O217" s="46"/>
      <c r="P217" s="46"/>
      <c r="Q217" s="46"/>
      <c r="R217" s="46"/>
      <c r="S217" s="46"/>
      <c r="T217" s="69"/>
      <c r="U217" s="59">
        <f t="shared" si="34"/>
        <v>0</v>
      </c>
    </row>
    <row r="218" spans="1:21" ht="15">
      <c r="A218" s="193" t="s">
        <v>10</v>
      </c>
      <c r="B218" s="63" t="s">
        <v>13</v>
      </c>
      <c r="C218" s="71"/>
      <c r="D218" s="71"/>
      <c r="E218" s="71"/>
      <c r="F218" s="71"/>
      <c r="G218" s="71"/>
      <c r="H218" s="71"/>
      <c r="I218" s="71"/>
      <c r="J218" s="71"/>
      <c r="K218" s="194" t="s">
        <v>10</v>
      </c>
      <c r="L218" s="63" t="s">
        <v>13</v>
      </c>
      <c r="M218" s="71"/>
      <c r="N218" s="71"/>
      <c r="O218" s="71"/>
      <c r="P218" s="71"/>
      <c r="Q218" s="71"/>
      <c r="R218" s="71"/>
      <c r="S218" s="71"/>
      <c r="T218" s="72"/>
      <c r="U218" s="59">
        <f t="shared" si="34"/>
        <v>0</v>
      </c>
    </row>
    <row r="219" spans="1:21" ht="15">
      <c r="A219" s="230"/>
      <c r="B219" s="6" t="s">
        <v>14</v>
      </c>
      <c r="C219" s="8"/>
      <c r="D219" s="8"/>
      <c r="E219" s="8"/>
      <c r="F219" s="8"/>
      <c r="G219" s="8"/>
      <c r="H219" s="8"/>
      <c r="I219" s="8"/>
      <c r="J219" s="8"/>
      <c r="K219" s="227"/>
      <c r="L219" s="6" t="s">
        <v>14</v>
      </c>
      <c r="M219" s="8"/>
      <c r="N219" s="8"/>
      <c r="O219" s="8"/>
      <c r="P219" s="8"/>
      <c r="Q219" s="8"/>
      <c r="R219" s="8"/>
      <c r="S219" s="8"/>
      <c r="T219" s="52"/>
      <c r="U219" s="59">
        <f t="shared" si="34"/>
        <v>0</v>
      </c>
    </row>
    <row r="220" spans="1:21" ht="15">
      <c r="A220" s="230"/>
      <c r="B220" s="6" t="s">
        <v>15</v>
      </c>
      <c r="C220" s="8"/>
      <c r="D220" s="8"/>
      <c r="E220" s="8"/>
      <c r="F220" s="8"/>
      <c r="G220" s="8"/>
      <c r="H220" s="8"/>
      <c r="I220" s="8"/>
      <c r="J220" s="8"/>
      <c r="K220" s="227"/>
      <c r="L220" s="6" t="s">
        <v>15</v>
      </c>
      <c r="M220" s="8"/>
      <c r="N220" s="8"/>
      <c r="O220" s="8"/>
      <c r="P220" s="8"/>
      <c r="Q220" s="8"/>
      <c r="R220" s="8"/>
      <c r="S220" s="8"/>
      <c r="T220" s="52"/>
      <c r="U220" s="59">
        <f t="shared" si="34"/>
        <v>0</v>
      </c>
    </row>
    <row r="221" spans="1:21" ht="15">
      <c r="A221" s="230"/>
      <c r="B221" s="6" t="s">
        <v>16</v>
      </c>
      <c r="C221" s="8"/>
      <c r="D221" s="8"/>
      <c r="E221" s="8"/>
      <c r="F221" s="8"/>
      <c r="G221" s="8"/>
      <c r="H221" s="8"/>
      <c r="I221" s="8"/>
      <c r="J221" s="8"/>
      <c r="K221" s="227"/>
      <c r="L221" s="6" t="s">
        <v>16</v>
      </c>
      <c r="M221" s="8"/>
      <c r="N221" s="8"/>
      <c r="O221" s="8"/>
      <c r="P221" s="8"/>
      <c r="Q221" s="8"/>
      <c r="R221" s="8"/>
      <c r="S221" s="8"/>
      <c r="T221" s="52"/>
      <c r="U221" s="59">
        <f t="shared" si="34"/>
        <v>0</v>
      </c>
    </row>
    <row r="222" spans="1:21" ht="15">
      <c r="A222" s="230"/>
      <c r="B222" s="6" t="s">
        <v>17</v>
      </c>
      <c r="C222" s="8"/>
      <c r="D222" s="8"/>
      <c r="E222" s="8"/>
      <c r="F222" s="8"/>
      <c r="G222" s="8"/>
      <c r="H222" s="8"/>
      <c r="I222" s="8"/>
      <c r="J222" s="8"/>
      <c r="K222" s="227"/>
      <c r="L222" s="6" t="s">
        <v>17</v>
      </c>
      <c r="M222" s="8"/>
      <c r="N222" s="8"/>
      <c r="O222" s="8"/>
      <c r="P222" s="8"/>
      <c r="Q222" s="8"/>
      <c r="R222" s="8"/>
      <c r="S222" s="8"/>
      <c r="T222" s="52"/>
      <c r="U222" s="59">
        <f t="shared" si="34"/>
        <v>0</v>
      </c>
    </row>
    <row r="223" spans="1:21" ht="15">
      <c r="A223" s="230"/>
      <c r="B223" s="47" t="s">
        <v>18</v>
      </c>
      <c r="C223" s="77"/>
      <c r="D223" s="77"/>
      <c r="E223" s="77"/>
      <c r="F223" s="77"/>
      <c r="G223" s="77"/>
      <c r="H223" s="77"/>
      <c r="I223" s="77"/>
      <c r="J223" s="77"/>
      <c r="K223" s="227"/>
      <c r="L223" s="47" t="s">
        <v>18</v>
      </c>
      <c r="M223" s="77"/>
      <c r="N223" s="77"/>
      <c r="O223" s="77"/>
      <c r="P223" s="77"/>
      <c r="Q223" s="77"/>
      <c r="R223" s="77"/>
      <c r="S223" s="77"/>
      <c r="T223" s="78"/>
      <c r="U223" s="59">
        <f t="shared" si="34"/>
        <v>0</v>
      </c>
    </row>
    <row r="224" spans="1:21" ht="15">
      <c r="A224" s="195" t="s">
        <v>11</v>
      </c>
      <c r="B224" s="56" t="s">
        <v>13</v>
      </c>
      <c r="C224" s="73"/>
      <c r="D224" s="73"/>
      <c r="E224" s="73"/>
      <c r="F224" s="73"/>
      <c r="G224" s="73"/>
      <c r="H224" s="73"/>
      <c r="I224" s="73"/>
      <c r="J224" s="73"/>
      <c r="K224" s="196" t="s">
        <v>11</v>
      </c>
      <c r="L224" s="56" t="s">
        <v>13</v>
      </c>
      <c r="M224" s="73"/>
      <c r="N224" s="73"/>
      <c r="O224" s="73"/>
      <c r="P224" s="73"/>
      <c r="Q224" s="73"/>
      <c r="R224" s="73"/>
      <c r="S224" s="73"/>
      <c r="T224" s="74"/>
      <c r="U224" s="59">
        <f t="shared" si="34"/>
        <v>0</v>
      </c>
    </row>
    <row r="225" spans="1:21" ht="15">
      <c r="A225" s="230"/>
      <c r="B225" s="4" t="s">
        <v>14</v>
      </c>
      <c r="C225" s="9"/>
      <c r="D225" s="9"/>
      <c r="E225" s="9"/>
      <c r="F225" s="9"/>
      <c r="G225" s="9"/>
      <c r="H225" s="9"/>
      <c r="I225" s="9"/>
      <c r="J225" s="9"/>
      <c r="K225" s="227"/>
      <c r="L225" s="4" t="s">
        <v>14</v>
      </c>
      <c r="M225" s="9"/>
      <c r="N225" s="9"/>
      <c r="O225" s="9"/>
      <c r="P225" s="9"/>
      <c r="Q225" s="9"/>
      <c r="R225" s="9"/>
      <c r="S225" s="9"/>
      <c r="T225" s="53"/>
      <c r="U225" s="59">
        <f t="shared" si="34"/>
        <v>0</v>
      </c>
    </row>
    <row r="226" spans="1:21" ht="15">
      <c r="A226" s="230"/>
      <c r="B226" s="4" t="s">
        <v>15</v>
      </c>
      <c r="C226" s="9"/>
      <c r="D226" s="9"/>
      <c r="E226" s="9"/>
      <c r="F226" s="9"/>
      <c r="G226" s="9"/>
      <c r="H226" s="9"/>
      <c r="I226" s="9"/>
      <c r="J226" s="9"/>
      <c r="K226" s="227"/>
      <c r="L226" s="4" t="s">
        <v>15</v>
      </c>
      <c r="M226" s="9"/>
      <c r="N226" s="9"/>
      <c r="O226" s="9"/>
      <c r="P226" s="9"/>
      <c r="Q226" s="9"/>
      <c r="R226" s="9"/>
      <c r="S226" s="9"/>
      <c r="T226" s="53"/>
      <c r="U226" s="59">
        <f t="shared" si="34"/>
        <v>0</v>
      </c>
    </row>
    <row r="227" spans="1:21" ht="15">
      <c r="A227" s="230"/>
      <c r="B227" s="4" t="s">
        <v>16</v>
      </c>
      <c r="C227" s="9"/>
      <c r="D227" s="9"/>
      <c r="E227" s="9"/>
      <c r="F227" s="9"/>
      <c r="G227" s="9"/>
      <c r="H227" s="9"/>
      <c r="I227" s="9"/>
      <c r="J227" s="9"/>
      <c r="K227" s="227"/>
      <c r="L227" s="4" t="s">
        <v>16</v>
      </c>
      <c r="M227" s="9"/>
      <c r="N227" s="9"/>
      <c r="O227" s="9"/>
      <c r="P227" s="9"/>
      <c r="Q227" s="9"/>
      <c r="R227" s="9"/>
      <c r="S227" s="9"/>
      <c r="T227" s="53"/>
      <c r="U227" s="59">
        <f t="shared" si="34"/>
        <v>0</v>
      </c>
    </row>
    <row r="228" spans="1:21" ht="15">
      <c r="A228" s="230"/>
      <c r="B228" s="4" t="s">
        <v>17</v>
      </c>
      <c r="C228" s="9"/>
      <c r="D228" s="9"/>
      <c r="E228" s="9"/>
      <c r="F228" s="9"/>
      <c r="G228" s="9"/>
      <c r="H228" s="9"/>
      <c r="I228" s="9"/>
      <c r="J228" s="9"/>
      <c r="K228" s="227"/>
      <c r="L228" s="4" t="s">
        <v>17</v>
      </c>
      <c r="M228" s="9"/>
      <c r="N228" s="9"/>
      <c r="O228" s="9"/>
      <c r="P228" s="9"/>
      <c r="Q228" s="9"/>
      <c r="R228" s="9"/>
      <c r="S228" s="9"/>
      <c r="T228" s="53"/>
      <c r="U228" s="59">
        <f t="shared" si="34"/>
        <v>0</v>
      </c>
    </row>
    <row r="229" spans="1:21" ht="15">
      <c r="A229" s="231"/>
      <c r="B229" s="61" t="s">
        <v>18</v>
      </c>
      <c r="C229" s="75"/>
      <c r="D229" s="75"/>
      <c r="E229" s="75"/>
      <c r="F229" s="75"/>
      <c r="G229" s="75"/>
      <c r="H229" s="75"/>
      <c r="I229" s="75"/>
      <c r="J229" s="75"/>
      <c r="K229" s="232"/>
      <c r="L229" s="61" t="s">
        <v>18</v>
      </c>
      <c r="M229" s="75"/>
      <c r="N229" s="75"/>
      <c r="O229" s="75"/>
      <c r="P229" s="75"/>
      <c r="Q229" s="75"/>
      <c r="R229" s="75"/>
      <c r="S229" s="75"/>
      <c r="T229" s="76"/>
      <c r="U229" s="59">
        <f t="shared" si="34"/>
        <v>0</v>
      </c>
    </row>
  </sheetData>
  <mergeCells count="111">
    <mergeCell ref="A218:A223"/>
    <mergeCell ref="K218:K223"/>
    <mergeCell ref="A224:A229"/>
    <mergeCell ref="K224:K229"/>
    <mergeCell ref="A200:A205"/>
    <mergeCell ref="K200:K205"/>
    <mergeCell ref="A206:A211"/>
    <mergeCell ref="K206:K211"/>
    <mergeCell ref="A212:A217"/>
    <mergeCell ref="K212:K217"/>
    <mergeCell ref="P186:R186"/>
    <mergeCell ref="A188:A193"/>
    <mergeCell ref="K188:K193"/>
    <mergeCell ref="W188:X188"/>
    <mergeCell ref="AG188:AN188"/>
    <mergeCell ref="A194:A199"/>
    <mergeCell ref="K194:K199"/>
    <mergeCell ref="A178:A183"/>
    <mergeCell ref="K178:K183"/>
    <mergeCell ref="C185:G185"/>
    <mergeCell ref="B186:D186"/>
    <mergeCell ref="F186:H186"/>
    <mergeCell ref="L186:N186"/>
    <mergeCell ref="A160:A165"/>
    <mergeCell ref="K160:K165"/>
    <mergeCell ref="A166:A171"/>
    <mergeCell ref="K166:K171"/>
    <mergeCell ref="A172:A177"/>
    <mergeCell ref="K172:K177"/>
    <mergeCell ref="W142:X142"/>
    <mergeCell ref="AG142:AN142"/>
    <mergeCell ref="A148:A153"/>
    <mergeCell ref="K148:K153"/>
    <mergeCell ref="A154:A159"/>
    <mergeCell ref="K154:K159"/>
    <mergeCell ref="C139:G139"/>
    <mergeCell ref="B140:D140"/>
    <mergeCell ref="F140:H140"/>
    <mergeCell ref="L140:N140"/>
    <mergeCell ref="P140:R140"/>
    <mergeCell ref="A142:A147"/>
    <mergeCell ref="K142:K147"/>
    <mergeCell ref="A120:A125"/>
    <mergeCell ref="K120:K125"/>
    <mergeCell ref="A126:A131"/>
    <mergeCell ref="K126:K131"/>
    <mergeCell ref="A132:A137"/>
    <mergeCell ref="K132:K137"/>
    <mergeCell ref="A102:A107"/>
    <mergeCell ref="K102:K107"/>
    <mergeCell ref="A108:A113"/>
    <mergeCell ref="K108:K113"/>
    <mergeCell ref="A114:A119"/>
    <mergeCell ref="K114:K119"/>
    <mergeCell ref="L94:N94"/>
    <mergeCell ref="P94:R94"/>
    <mergeCell ref="A96:A101"/>
    <mergeCell ref="K96:K101"/>
    <mergeCell ref="W96:X96"/>
    <mergeCell ref="AG96:AN96"/>
    <mergeCell ref="A80:A85"/>
    <mergeCell ref="K80:K85"/>
    <mergeCell ref="A86:A91"/>
    <mergeCell ref="K86:K91"/>
    <mergeCell ref="C93:G93"/>
    <mergeCell ref="B94:D94"/>
    <mergeCell ref="F94:H94"/>
    <mergeCell ref="A62:A67"/>
    <mergeCell ref="K62:K67"/>
    <mergeCell ref="A68:A73"/>
    <mergeCell ref="K68:K73"/>
    <mergeCell ref="A74:A79"/>
    <mergeCell ref="K74:K79"/>
    <mergeCell ref="P48:R48"/>
    <mergeCell ref="A50:A55"/>
    <mergeCell ref="K50:K55"/>
    <mergeCell ref="W50:X50"/>
    <mergeCell ref="AG50:AN50"/>
    <mergeCell ref="A56:A61"/>
    <mergeCell ref="K56:K61"/>
    <mergeCell ref="A40:A45"/>
    <mergeCell ref="K40:K45"/>
    <mergeCell ref="C47:G47"/>
    <mergeCell ref="B48:D48"/>
    <mergeCell ref="F48:H48"/>
    <mergeCell ref="L48:N48"/>
    <mergeCell ref="A22:A27"/>
    <mergeCell ref="K22:K27"/>
    <mergeCell ref="A28:A33"/>
    <mergeCell ref="K28:K33"/>
    <mergeCell ref="A34:A39"/>
    <mergeCell ref="K34:K39"/>
    <mergeCell ref="Z8:AA8"/>
    <mergeCell ref="A10:A15"/>
    <mergeCell ref="K10:K15"/>
    <mergeCell ref="Z10:AA10"/>
    <mergeCell ref="A16:A21"/>
    <mergeCell ref="K16:K21"/>
    <mergeCell ref="A4:A9"/>
    <mergeCell ref="W4:X4"/>
    <mergeCell ref="Z4:AA4"/>
    <mergeCell ref="AD4:AE4"/>
    <mergeCell ref="AG4:AN4"/>
    <mergeCell ref="AP4:AW4"/>
    <mergeCell ref="Z6:AA6"/>
    <mergeCell ref="C1:G1"/>
    <mergeCell ref="B2:D2"/>
    <mergeCell ref="F2:H2"/>
    <mergeCell ref="L2:N2"/>
    <mergeCell ref="P2:R2"/>
    <mergeCell ref="K4:K9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78A0E-A7D3-4A2E-BE76-B2D173EC9C69}">
  <sheetPr>
    <outlinePr summaryBelow="0" summaryRight="0"/>
    <pageSetUpPr fitToPage="1"/>
  </sheetPr>
  <dimension ref="A1:AW229"/>
  <sheetViews>
    <sheetView workbookViewId="0"/>
  </sheetViews>
  <sheetFormatPr defaultColWidth="12.5703125" defaultRowHeight="15.75" customHeight="1"/>
  <cols>
    <col min="1" max="1" width="13.140625" bestFit="1" customWidth="1"/>
    <col min="2" max="2" width="16.140625" bestFit="1" customWidth="1"/>
    <col min="3" max="10" width="10.42578125" customWidth="1"/>
    <col min="11" max="11" width="13.140625" bestFit="1" customWidth="1"/>
    <col min="12" max="12" width="16.140625" bestFit="1" customWidth="1"/>
    <col min="13" max="20" width="10.42578125" customWidth="1"/>
    <col min="23" max="23" width="13" bestFit="1" customWidth="1"/>
    <col min="27" max="27" width="14.140625" customWidth="1"/>
  </cols>
  <sheetData>
    <row r="1" spans="1:49" ht="18.75" customHeight="1">
      <c r="A1" s="1"/>
      <c r="B1" s="1"/>
      <c r="C1" s="183" t="s">
        <v>0</v>
      </c>
      <c r="D1" s="225"/>
      <c r="E1" s="225"/>
      <c r="F1" s="225"/>
      <c r="G1" s="226"/>
      <c r="H1" s="2"/>
      <c r="I1" s="1"/>
    </row>
    <row r="2" spans="1:49" ht="18.75" customHeight="1">
      <c r="A2" s="1"/>
      <c r="B2" s="183" t="s">
        <v>1</v>
      </c>
      <c r="C2" s="225"/>
      <c r="D2" s="226"/>
      <c r="E2" s="1"/>
      <c r="F2" s="184" t="s">
        <v>39</v>
      </c>
      <c r="G2" s="225"/>
      <c r="H2" s="226"/>
      <c r="I2" s="1"/>
      <c r="K2" s="1"/>
      <c r="L2" s="183" t="s">
        <v>26</v>
      </c>
      <c r="M2" s="225"/>
      <c r="N2" s="226"/>
      <c r="O2" s="1"/>
      <c r="P2" s="184" t="s">
        <v>2</v>
      </c>
      <c r="Q2" s="225"/>
      <c r="R2" s="226"/>
      <c r="S2" s="1"/>
    </row>
    <row r="3" spans="1:49" ht="18.75" customHeight="1">
      <c r="A3" s="54" t="s">
        <v>35</v>
      </c>
      <c r="B3" s="54" t="s">
        <v>4</v>
      </c>
      <c r="C3" s="54" t="s">
        <v>12</v>
      </c>
      <c r="D3" s="54" t="s">
        <v>19</v>
      </c>
      <c r="E3" s="54" t="s">
        <v>20</v>
      </c>
      <c r="F3" s="54" t="s">
        <v>21</v>
      </c>
      <c r="G3" s="54" t="s">
        <v>22</v>
      </c>
      <c r="H3" s="54" t="s">
        <v>23</v>
      </c>
      <c r="I3" s="54" t="s">
        <v>24</v>
      </c>
      <c r="J3" s="54" t="s">
        <v>25</v>
      </c>
      <c r="K3" s="54" t="s">
        <v>35</v>
      </c>
      <c r="L3" s="54" t="s">
        <v>4</v>
      </c>
      <c r="M3" s="54" t="s">
        <v>27</v>
      </c>
      <c r="N3" s="54" t="s">
        <v>28</v>
      </c>
      <c r="O3" s="54" t="s">
        <v>29</v>
      </c>
      <c r="P3" s="54" t="s">
        <v>30</v>
      </c>
      <c r="Q3" s="54" t="s">
        <v>31</v>
      </c>
      <c r="R3" s="54" t="s">
        <v>32</v>
      </c>
      <c r="S3" s="54" t="s">
        <v>33</v>
      </c>
      <c r="T3" s="54" t="s">
        <v>34</v>
      </c>
      <c r="U3" s="54" t="s">
        <v>55</v>
      </c>
    </row>
    <row r="4" spans="1:49" ht="18.75" customHeight="1">
      <c r="A4" s="195" t="s">
        <v>5</v>
      </c>
      <c r="B4" s="56" t="s">
        <v>13</v>
      </c>
      <c r="C4" s="57"/>
      <c r="D4" s="57"/>
      <c r="E4" s="56"/>
      <c r="F4" s="56"/>
      <c r="G4" s="56"/>
      <c r="H4" s="56"/>
      <c r="I4" s="56"/>
      <c r="J4" s="56"/>
      <c r="K4" s="196" t="s">
        <v>5</v>
      </c>
      <c r="L4" s="56" t="s">
        <v>13</v>
      </c>
      <c r="M4" s="56"/>
      <c r="N4" s="56"/>
      <c r="O4" s="56"/>
      <c r="P4" s="56"/>
      <c r="Q4" s="56"/>
      <c r="R4" s="57"/>
      <c r="S4" s="57"/>
      <c r="T4" s="58"/>
      <c r="U4" s="59">
        <f>SUM(M4:T4,C4:J4)</f>
        <v>0</v>
      </c>
      <c r="W4" s="197" t="s">
        <v>2</v>
      </c>
      <c r="X4" s="198"/>
      <c r="Z4" s="197" t="s">
        <v>56</v>
      </c>
      <c r="AA4" s="203"/>
      <c r="AB4" s="83">
        <f>SUM(X12,X58,X104,X150,X196)</f>
        <v>0</v>
      </c>
      <c r="AD4" s="197" t="s">
        <v>57</v>
      </c>
      <c r="AE4" s="198"/>
      <c r="AG4" s="190" t="s">
        <v>58</v>
      </c>
      <c r="AH4" s="191"/>
      <c r="AI4" s="191"/>
      <c r="AJ4" s="191"/>
      <c r="AK4" s="191"/>
      <c r="AL4" s="191"/>
      <c r="AM4" s="191"/>
      <c r="AN4" s="192"/>
      <c r="AP4" s="190" t="s">
        <v>59</v>
      </c>
      <c r="AQ4" s="191"/>
      <c r="AR4" s="191"/>
      <c r="AS4" s="191"/>
      <c r="AT4" s="191"/>
      <c r="AU4" s="191"/>
      <c r="AV4" s="191"/>
      <c r="AW4" s="192"/>
    </row>
    <row r="5" spans="1:49" ht="18.75" customHeight="1">
      <c r="A5" s="230"/>
      <c r="B5" s="4" t="s">
        <v>14</v>
      </c>
      <c r="C5" s="5"/>
      <c r="D5" s="5"/>
      <c r="E5" s="4"/>
      <c r="F5" s="4"/>
      <c r="G5" s="4"/>
      <c r="H5" s="4"/>
      <c r="I5" s="4"/>
      <c r="J5" s="4"/>
      <c r="K5" s="227"/>
      <c r="L5" s="4" t="s">
        <v>14</v>
      </c>
      <c r="M5" s="4"/>
      <c r="N5" s="4"/>
      <c r="O5" s="4"/>
      <c r="P5" s="4"/>
      <c r="Q5" s="4"/>
      <c r="R5" s="5"/>
      <c r="S5" s="5"/>
      <c r="T5" s="49"/>
      <c r="U5" s="60">
        <f>SUM(C5:J5,M5:T5)</f>
        <v>0</v>
      </c>
      <c r="W5" s="55" t="s">
        <v>5</v>
      </c>
      <c r="X5" s="48">
        <f>SUM(U4:U9)</f>
        <v>0</v>
      </c>
      <c r="AD5" s="55" t="s">
        <v>5</v>
      </c>
      <c r="AE5" s="48">
        <f t="shared" ref="AE5:AE11" si="0">AVERAGE(X5,X51,X97,X143,X189)</f>
        <v>0</v>
      </c>
      <c r="AG5" s="98" t="s">
        <v>4</v>
      </c>
      <c r="AH5" s="98" t="s">
        <v>5</v>
      </c>
      <c r="AI5" s="98" t="s">
        <v>6</v>
      </c>
      <c r="AJ5" s="98" t="s">
        <v>7</v>
      </c>
      <c r="AK5" s="98" t="s">
        <v>8</v>
      </c>
      <c r="AL5" s="98" t="s">
        <v>9</v>
      </c>
      <c r="AM5" s="98" t="s">
        <v>10</v>
      </c>
      <c r="AN5" s="98" t="s">
        <v>11</v>
      </c>
      <c r="AP5" s="98" t="s">
        <v>4</v>
      </c>
      <c r="AQ5" s="98" t="s">
        <v>5</v>
      </c>
      <c r="AR5" s="98" t="s">
        <v>6</v>
      </c>
      <c r="AS5" s="98" t="s">
        <v>7</v>
      </c>
      <c r="AT5" s="98" t="s">
        <v>8</v>
      </c>
      <c r="AU5" s="98" t="s">
        <v>9</v>
      </c>
      <c r="AV5" s="98" t="s">
        <v>10</v>
      </c>
      <c r="AW5" s="98" t="s">
        <v>11</v>
      </c>
    </row>
    <row r="6" spans="1:49" ht="18.75" customHeight="1">
      <c r="A6" s="230"/>
      <c r="B6" s="4" t="s">
        <v>15</v>
      </c>
      <c r="C6" s="5"/>
      <c r="D6" s="5"/>
      <c r="E6" s="4"/>
      <c r="F6" s="4"/>
      <c r="G6" s="4"/>
      <c r="H6" s="4"/>
      <c r="I6" s="4"/>
      <c r="J6" s="4"/>
      <c r="K6" s="227"/>
      <c r="L6" s="4" t="s">
        <v>15</v>
      </c>
      <c r="M6" s="4"/>
      <c r="N6" s="4"/>
      <c r="O6" s="4"/>
      <c r="P6" s="4"/>
      <c r="Q6" s="4"/>
      <c r="R6" s="5"/>
      <c r="S6" s="5"/>
      <c r="T6" s="49"/>
      <c r="U6" s="60">
        <f t="shared" ref="U6:U45" si="1">SUM(C6:J6,M6:T6)</f>
        <v>0</v>
      </c>
      <c r="W6" s="55" t="s">
        <v>6</v>
      </c>
      <c r="X6" s="48">
        <f>SUM(U10:U15)</f>
        <v>0</v>
      </c>
      <c r="Z6" s="197" t="s">
        <v>60</v>
      </c>
      <c r="AA6" s="203"/>
      <c r="AB6" s="83"/>
      <c r="AD6" s="55" t="s">
        <v>6</v>
      </c>
      <c r="AE6" s="48">
        <f t="shared" si="0"/>
        <v>0</v>
      </c>
      <c r="AG6" s="79" t="s">
        <v>13</v>
      </c>
      <c r="AH6" s="79">
        <f t="shared" ref="AH6:AH11" si="2">U4</f>
        <v>0</v>
      </c>
      <c r="AI6" s="79">
        <f t="shared" ref="AI6:AI11" si="3">U10</f>
        <v>0</v>
      </c>
      <c r="AJ6" s="79">
        <f t="shared" ref="AJ6:AJ11" si="4">U16</f>
        <v>0</v>
      </c>
      <c r="AK6" s="79">
        <f t="shared" ref="AK6:AK11" si="5">U22</f>
        <v>0</v>
      </c>
      <c r="AL6" s="79">
        <f t="shared" ref="AL6:AL11" si="6">U28</f>
        <v>0</v>
      </c>
      <c r="AM6" s="79">
        <f t="shared" ref="AM6:AM11" si="7">U34</f>
        <v>0</v>
      </c>
      <c r="AN6" s="79">
        <f t="shared" ref="AN6:AN11" si="8">U40</f>
        <v>0</v>
      </c>
      <c r="AP6" s="79" t="s">
        <v>13</v>
      </c>
      <c r="AQ6" s="79">
        <f t="shared" ref="AQ6:AW11" si="9">SUM(AH6,AH52,AH98,AH144,AH190)</f>
        <v>0</v>
      </c>
      <c r="AR6" s="79">
        <f t="shared" si="9"/>
        <v>0</v>
      </c>
      <c r="AS6" s="79">
        <f t="shared" si="9"/>
        <v>0</v>
      </c>
      <c r="AT6" s="79">
        <f t="shared" si="9"/>
        <v>0</v>
      </c>
      <c r="AU6" s="79">
        <f t="shared" si="9"/>
        <v>0</v>
      </c>
      <c r="AV6" s="79">
        <f t="shared" si="9"/>
        <v>0</v>
      </c>
      <c r="AW6" s="79">
        <f t="shared" si="9"/>
        <v>0</v>
      </c>
    </row>
    <row r="7" spans="1:49" ht="18.75" customHeight="1">
      <c r="A7" s="230"/>
      <c r="B7" s="4" t="s">
        <v>16</v>
      </c>
      <c r="C7" s="5"/>
      <c r="D7" s="5"/>
      <c r="E7" s="4"/>
      <c r="F7" s="4"/>
      <c r="G7" s="4"/>
      <c r="H7" s="4"/>
      <c r="I7" s="4"/>
      <c r="J7" s="4"/>
      <c r="K7" s="227"/>
      <c r="L7" s="4" t="s">
        <v>16</v>
      </c>
      <c r="M7" s="4"/>
      <c r="N7" s="4"/>
      <c r="O7" s="4"/>
      <c r="P7" s="4"/>
      <c r="Q7" s="4"/>
      <c r="R7" s="5"/>
      <c r="S7" s="5"/>
      <c r="T7" s="49"/>
      <c r="U7" s="60">
        <f t="shared" si="1"/>
        <v>0</v>
      </c>
      <c r="W7" s="55" t="s">
        <v>7</v>
      </c>
      <c r="X7" s="48">
        <f>SUM(U16:U21)</f>
        <v>0</v>
      </c>
      <c r="AD7" s="55" t="s">
        <v>7</v>
      </c>
      <c r="AE7" s="48">
        <f t="shared" si="0"/>
        <v>0</v>
      </c>
      <c r="AG7" s="97" t="s">
        <v>14</v>
      </c>
      <c r="AH7" s="97">
        <f t="shared" si="2"/>
        <v>0</v>
      </c>
      <c r="AI7" s="97">
        <f t="shared" si="3"/>
        <v>0</v>
      </c>
      <c r="AJ7" s="97">
        <f t="shared" si="4"/>
        <v>0</v>
      </c>
      <c r="AK7" s="97">
        <f t="shared" si="5"/>
        <v>0</v>
      </c>
      <c r="AL7" s="97">
        <f t="shared" si="6"/>
        <v>0</v>
      </c>
      <c r="AM7" s="97">
        <f t="shared" si="7"/>
        <v>0</v>
      </c>
      <c r="AN7" s="97">
        <f t="shared" si="8"/>
        <v>0</v>
      </c>
      <c r="AP7" s="97" t="s">
        <v>14</v>
      </c>
      <c r="AQ7" s="97">
        <f t="shared" si="9"/>
        <v>0</v>
      </c>
      <c r="AR7" s="97">
        <f t="shared" si="9"/>
        <v>0</v>
      </c>
      <c r="AS7" s="97">
        <f t="shared" si="9"/>
        <v>0</v>
      </c>
      <c r="AT7" s="97">
        <f t="shared" si="9"/>
        <v>0</v>
      </c>
      <c r="AU7" s="97">
        <f t="shared" si="9"/>
        <v>0</v>
      </c>
      <c r="AV7" s="97">
        <f t="shared" si="9"/>
        <v>0</v>
      </c>
      <c r="AW7" s="97">
        <f t="shared" si="9"/>
        <v>0</v>
      </c>
    </row>
    <row r="8" spans="1:49" ht="18.75" customHeight="1">
      <c r="A8" s="230"/>
      <c r="B8" s="4" t="s">
        <v>17</v>
      </c>
      <c r="C8" s="5"/>
      <c r="D8" s="5"/>
      <c r="E8" s="4"/>
      <c r="F8" s="4"/>
      <c r="G8" s="4"/>
      <c r="H8" s="4"/>
      <c r="I8" s="4"/>
      <c r="J8" s="4"/>
      <c r="K8" s="227"/>
      <c r="L8" s="4" t="s">
        <v>17</v>
      </c>
      <c r="M8" s="4"/>
      <c r="N8" s="4"/>
      <c r="O8" s="4"/>
      <c r="P8" s="4"/>
      <c r="Q8" s="4"/>
      <c r="R8" s="5"/>
      <c r="S8" s="5"/>
      <c r="T8" s="49"/>
      <c r="U8" s="60">
        <f t="shared" si="1"/>
        <v>0</v>
      </c>
      <c r="W8" s="55" t="s">
        <v>61</v>
      </c>
      <c r="X8" s="48">
        <f>SUM(U22:U27)</f>
        <v>0</v>
      </c>
      <c r="Z8" s="197" t="s">
        <v>62</v>
      </c>
      <c r="AA8" s="203"/>
      <c r="AB8" s="83"/>
      <c r="AD8" s="55" t="s">
        <v>61</v>
      </c>
      <c r="AE8" s="48">
        <f t="shared" si="0"/>
        <v>0</v>
      </c>
      <c r="AG8" s="79" t="s">
        <v>15</v>
      </c>
      <c r="AH8" s="79">
        <f t="shared" si="2"/>
        <v>0</v>
      </c>
      <c r="AI8" s="79">
        <f t="shared" si="3"/>
        <v>0</v>
      </c>
      <c r="AJ8" s="79">
        <f t="shared" si="4"/>
        <v>0</v>
      </c>
      <c r="AK8" s="79">
        <f t="shared" si="5"/>
        <v>0</v>
      </c>
      <c r="AL8" s="79">
        <f t="shared" si="6"/>
        <v>0</v>
      </c>
      <c r="AM8" s="79">
        <f t="shared" si="7"/>
        <v>0</v>
      </c>
      <c r="AN8" s="79">
        <f t="shared" si="8"/>
        <v>0</v>
      </c>
      <c r="AP8" s="79" t="s">
        <v>15</v>
      </c>
      <c r="AQ8" s="79">
        <f t="shared" si="9"/>
        <v>0</v>
      </c>
      <c r="AR8" s="79">
        <f t="shared" si="9"/>
        <v>0</v>
      </c>
      <c r="AS8" s="79">
        <f t="shared" si="9"/>
        <v>0</v>
      </c>
      <c r="AT8" s="79">
        <f t="shared" si="9"/>
        <v>0</v>
      </c>
      <c r="AU8" s="79">
        <f t="shared" si="9"/>
        <v>0</v>
      </c>
      <c r="AV8" s="79">
        <f t="shared" si="9"/>
        <v>0</v>
      </c>
      <c r="AW8" s="79">
        <f t="shared" si="9"/>
        <v>0</v>
      </c>
    </row>
    <row r="9" spans="1:49" ht="18.75" customHeight="1">
      <c r="A9" s="230"/>
      <c r="B9" s="46" t="s">
        <v>18</v>
      </c>
      <c r="C9" s="64"/>
      <c r="D9" s="64"/>
      <c r="E9" s="46"/>
      <c r="F9" s="46"/>
      <c r="G9" s="46"/>
      <c r="H9" s="46"/>
      <c r="I9" s="46"/>
      <c r="J9" s="46"/>
      <c r="K9" s="227"/>
      <c r="L9" s="46" t="s">
        <v>18</v>
      </c>
      <c r="M9" s="46"/>
      <c r="N9" s="46"/>
      <c r="O9" s="46"/>
      <c r="P9" s="46"/>
      <c r="Q9" s="46"/>
      <c r="R9" s="64"/>
      <c r="S9" s="64"/>
      <c r="T9" s="65"/>
      <c r="U9" s="60">
        <f t="shared" si="1"/>
        <v>0</v>
      </c>
      <c r="W9" s="55" t="s">
        <v>9</v>
      </c>
      <c r="X9" s="48">
        <f>SUM(U28:U33)</f>
        <v>0</v>
      </c>
      <c r="AD9" s="55" t="s">
        <v>9</v>
      </c>
      <c r="AE9" s="48">
        <f t="shared" si="0"/>
        <v>0</v>
      </c>
      <c r="AG9" s="97" t="s">
        <v>16</v>
      </c>
      <c r="AH9" s="97">
        <f t="shared" si="2"/>
        <v>0</v>
      </c>
      <c r="AI9" s="97">
        <f t="shared" si="3"/>
        <v>0</v>
      </c>
      <c r="AJ9" s="97">
        <f t="shared" si="4"/>
        <v>0</v>
      </c>
      <c r="AK9" s="97">
        <f t="shared" si="5"/>
        <v>0</v>
      </c>
      <c r="AL9" s="97">
        <f t="shared" si="6"/>
        <v>0</v>
      </c>
      <c r="AM9" s="97">
        <f t="shared" si="7"/>
        <v>0</v>
      </c>
      <c r="AN9" s="97">
        <f t="shared" si="8"/>
        <v>0</v>
      </c>
      <c r="AP9" s="97" t="s">
        <v>16</v>
      </c>
      <c r="AQ9" s="97">
        <f t="shared" si="9"/>
        <v>0</v>
      </c>
      <c r="AR9" s="97">
        <f t="shared" si="9"/>
        <v>0</v>
      </c>
      <c r="AS9" s="97">
        <f t="shared" si="9"/>
        <v>0</v>
      </c>
      <c r="AT9" s="97">
        <f t="shared" si="9"/>
        <v>0</v>
      </c>
      <c r="AU9" s="97">
        <f t="shared" si="9"/>
        <v>0</v>
      </c>
      <c r="AV9" s="97">
        <f t="shared" si="9"/>
        <v>0</v>
      </c>
      <c r="AW9" s="97">
        <f t="shared" si="9"/>
        <v>0</v>
      </c>
    </row>
    <row r="10" spans="1:49" ht="18.75" customHeight="1">
      <c r="A10" s="193" t="s">
        <v>6</v>
      </c>
      <c r="B10" s="63" t="s">
        <v>13</v>
      </c>
      <c r="C10" s="57"/>
      <c r="D10" s="57"/>
      <c r="E10" s="57"/>
      <c r="F10" s="63"/>
      <c r="G10" s="63"/>
      <c r="H10" s="63"/>
      <c r="I10" s="63"/>
      <c r="J10" s="63"/>
      <c r="K10" s="194" t="s">
        <v>6</v>
      </c>
      <c r="L10" s="63" t="s">
        <v>13</v>
      </c>
      <c r="M10" s="63"/>
      <c r="N10" s="63"/>
      <c r="O10" s="63"/>
      <c r="P10" s="63"/>
      <c r="Q10" s="57"/>
      <c r="R10" s="57"/>
      <c r="S10" s="57"/>
      <c r="T10" s="58"/>
      <c r="U10" s="60">
        <f t="shared" si="1"/>
        <v>0</v>
      </c>
      <c r="W10" s="55" t="s">
        <v>10</v>
      </c>
      <c r="X10" s="48">
        <f>SUM(U34:U39)</f>
        <v>0</v>
      </c>
      <c r="Z10" s="197" t="s">
        <v>74</v>
      </c>
      <c r="AA10" s="203"/>
      <c r="AB10" s="83"/>
      <c r="AD10" s="55" t="s">
        <v>10</v>
      </c>
      <c r="AE10" s="48">
        <f t="shared" si="0"/>
        <v>0</v>
      </c>
      <c r="AG10" s="79" t="s">
        <v>17</v>
      </c>
      <c r="AH10" s="79">
        <f t="shared" si="2"/>
        <v>0</v>
      </c>
      <c r="AI10" s="79">
        <f t="shared" si="3"/>
        <v>0</v>
      </c>
      <c r="AJ10" s="79">
        <f t="shared" si="4"/>
        <v>0</v>
      </c>
      <c r="AK10" s="79">
        <f t="shared" si="5"/>
        <v>0</v>
      </c>
      <c r="AL10" s="79">
        <f t="shared" si="6"/>
        <v>0</v>
      </c>
      <c r="AM10" s="79">
        <f t="shared" si="7"/>
        <v>0</v>
      </c>
      <c r="AN10" s="79">
        <f t="shared" si="8"/>
        <v>0</v>
      </c>
      <c r="AP10" s="79" t="s">
        <v>17</v>
      </c>
      <c r="AQ10" s="79">
        <f t="shared" si="9"/>
        <v>0</v>
      </c>
      <c r="AR10" s="79">
        <f t="shared" si="9"/>
        <v>0</v>
      </c>
      <c r="AS10" s="79">
        <f t="shared" si="9"/>
        <v>0</v>
      </c>
      <c r="AT10" s="79">
        <f t="shared" si="9"/>
        <v>0</v>
      </c>
      <c r="AU10" s="79">
        <f t="shared" si="9"/>
        <v>0</v>
      </c>
      <c r="AV10" s="79">
        <f t="shared" si="9"/>
        <v>0</v>
      </c>
      <c r="AW10" s="79">
        <f t="shared" si="9"/>
        <v>0</v>
      </c>
    </row>
    <row r="11" spans="1:49" ht="18.75" customHeight="1">
      <c r="A11" s="230"/>
      <c r="B11" s="6" t="s">
        <v>14</v>
      </c>
      <c r="C11" s="5"/>
      <c r="D11" s="5"/>
      <c r="E11" s="5"/>
      <c r="F11" s="6"/>
      <c r="G11" s="6"/>
      <c r="H11" s="6"/>
      <c r="I11" s="6"/>
      <c r="J11" s="6"/>
      <c r="K11" s="227"/>
      <c r="L11" s="6" t="s">
        <v>14</v>
      </c>
      <c r="M11" s="6"/>
      <c r="N11" s="6"/>
      <c r="O11" s="6"/>
      <c r="P11" s="6"/>
      <c r="Q11" s="5"/>
      <c r="R11" s="5"/>
      <c r="S11" s="5"/>
      <c r="T11" s="49"/>
      <c r="U11" s="60">
        <f t="shared" si="1"/>
        <v>0</v>
      </c>
      <c r="W11" s="81" t="s">
        <v>11</v>
      </c>
      <c r="X11" s="80">
        <f>SUM(U40:U45)</f>
        <v>0</v>
      </c>
      <c r="AD11" s="81" t="s">
        <v>11</v>
      </c>
      <c r="AE11" s="48">
        <f t="shared" si="0"/>
        <v>0</v>
      </c>
      <c r="AG11" s="97" t="s">
        <v>18</v>
      </c>
      <c r="AH11" s="97">
        <f t="shared" si="2"/>
        <v>0</v>
      </c>
      <c r="AI11" s="97">
        <f t="shared" si="3"/>
        <v>0</v>
      </c>
      <c r="AJ11" s="97">
        <f t="shared" si="4"/>
        <v>0</v>
      </c>
      <c r="AK11" s="97">
        <f t="shared" si="5"/>
        <v>0</v>
      </c>
      <c r="AL11" s="97">
        <f t="shared" si="6"/>
        <v>0</v>
      </c>
      <c r="AM11" s="97">
        <f t="shared" si="7"/>
        <v>0</v>
      </c>
      <c r="AN11" s="97">
        <f t="shared" si="8"/>
        <v>0</v>
      </c>
      <c r="AP11" s="97" t="s">
        <v>18</v>
      </c>
      <c r="AQ11" s="97">
        <f t="shared" si="9"/>
        <v>0</v>
      </c>
      <c r="AR11" s="97">
        <f t="shared" si="9"/>
        <v>0</v>
      </c>
      <c r="AS11" s="97">
        <f t="shared" si="9"/>
        <v>0</v>
      </c>
      <c r="AT11" s="97">
        <f t="shared" si="9"/>
        <v>0</v>
      </c>
      <c r="AU11" s="97">
        <f t="shared" si="9"/>
        <v>0</v>
      </c>
      <c r="AV11" s="97">
        <f t="shared" si="9"/>
        <v>0</v>
      </c>
      <c r="AW11" s="97">
        <f t="shared" si="9"/>
        <v>0</v>
      </c>
    </row>
    <row r="12" spans="1:49" ht="18.75" customHeight="1">
      <c r="A12" s="230"/>
      <c r="B12" s="6" t="s">
        <v>15</v>
      </c>
      <c r="C12" s="5"/>
      <c r="D12" s="5"/>
      <c r="E12" s="5"/>
      <c r="F12" s="6"/>
      <c r="G12" s="6"/>
      <c r="H12" s="6"/>
      <c r="I12" s="6"/>
      <c r="J12" s="6"/>
      <c r="K12" s="227"/>
      <c r="L12" s="6" t="s">
        <v>15</v>
      </c>
      <c r="M12" s="6"/>
      <c r="N12" s="6"/>
      <c r="O12" s="6"/>
      <c r="P12" s="6"/>
      <c r="Q12" s="5"/>
      <c r="R12" s="5"/>
      <c r="S12" s="5"/>
      <c r="T12" s="49"/>
      <c r="U12" s="60">
        <f t="shared" si="1"/>
        <v>0</v>
      </c>
      <c r="W12" s="79" t="s">
        <v>63</v>
      </c>
      <c r="X12" s="82">
        <f>SUM(X5:X11)</f>
        <v>0</v>
      </c>
      <c r="AD12" s="79" t="s">
        <v>40</v>
      </c>
      <c r="AE12" s="82">
        <f>AVERAGE(AE5:AE11)</f>
        <v>0</v>
      </c>
    </row>
    <row r="13" spans="1:49" ht="18.75" customHeight="1">
      <c r="A13" s="230"/>
      <c r="B13" s="6" t="s">
        <v>16</v>
      </c>
      <c r="C13" s="5"/>
      <c r="D13" s="5"/>
      <c r="E13" s="5"/>
      <c r="F13" s="6"/>
      <c r="G13" s="6"/>
      <c r="H13" s="6"/>
      <c r="I13" s="6"/>
      <c r="J13" s="6"/>
      <c r="K13" s="227"/>
      <c r="L13" s="6" t="s">
        <v>16</v>
      </c>
      <c r="M13" s="6"/>
      <c r="N13" s="6"/>
      <c r="O13" s="6"/>
      <c r="P13" s="6"/>
      <c r="Q13" s="5"/>
      <c r="R13" s="5"/>
      <c r="S13" s="5"/>
      <c r="T13" s="49"/>
      <c r="U13" s="60">
        <f t="shared" si="1"/>
        <v>0</v>
      </c>
    </row>
    <row r="14" spans="1:49" ht="18.75" customHeight="1">
      <c r="A14" s="230"/>
      <c r="B14" s="6" t="s">
        <v>17</v>
      </c>
      <c r="C14" s="5"/>
      <c r="D14" s="5"/>
      <c r="E14" s="5"/>
      <c r="F14" s="6"/>
      <c r="G14" s="6"/>
      <c r="H14" s="6"/>
      <c r="I14" s="6"/>
      <c r="J14" s="6"/>
      <c r="K14" s="227"/>
      <c r="L14" s="6" t="s">
        <v>17</v>
      </c>
      <c r="M14" s="6"/>
      <c r="N14" s="6"/>
      <c r="O14" s="6"/>
      <c r="P14" s="6"/>
      <c r="Q14" s="5"/>
      <c r="R14" s="5"/>
      <c r="S14" s="5"/>
      <c r="T14" s="49"/>
      <c r="U14" s="60">
        <f t="shared" si="1"/>
        <v>0</v>
      </c>
    </row>
    <row r="15" spans="1:49" ht="18.75" customHeight="1">
      <c r="A15" s="230"/>
      <c r="B15" s="47" t="s">
        <v>18</v>
      </c>
      <c r="C15" s="64"/>
      <c r="D15" s="64"/>
      <c r="E15" s="64"/>
      <c r="F15" s="47"/>
      <c r="G15" s="47"/>
      <c r="H15" s="47"/>
      <c r="I15" s="47"/>
      <c r="J15" s="47"/>
      <c r="K15" s="227"/>
      <c r="L15" s="47" t="s">
        <v>18</v>
      </c>
      <c r="M15" s="47"/>
      <c r="N15" s="47"/>
      <c r="O15" s="47"/>
      <c r="P15" s="47"/>
      <c r="Q15" s="64"/>
      <c r="R15" s="64"/>
      <c r="S15" s="64"/>
      <c r="T15" s="65"/>
      <c r="U15" s="60">
        <f t="shared" si="1"/>
        <v>0</v>
      </c>
    </row>
    <row r="16" spans="1:49" ht="18.75" customHeight="1">
      <c r="A16" s="195" t="s">
        <v>7</v>
      </c>
      <c r="B16" s="56" t="s">
        <v>13</v>
      </c>
      <c r="C16" s="56"/>
      <c r="D16" s="56"/>
      <c r="E16" s="56"/>
      <c r="F16" s="56"/>
      <c r="G16" s="56"/>
      <c r="H16" s="56"/>
      <c r="I16" s="56"/>
      <c r="J16" s="56"/>
      <c r="K16" s="196" t="s">
        <v>7</v>
      </c>
      <c r="L16" s="56" t="s">
        <v>13</v>
      </c>
      <c r="M16" s="56"/>
      <c r="N16" s="56"/>
      <c r="O16" s="56"/>
      <c r="P16" s="56"/>
      <c r="Q16" s="56"/>
      <c r="R16" s="56"/>
      <c r="S16" s="56"/>
      <c r="T16" s="67"/>
      <c r="U16" s="60">
        <f t="shared" si="1"/>
        <v>0</v>
      </c>
    </row>
    <row r="17" spans="1:33" ht="18.75" customHeight="1">
      <c r="A17" s="230"/>
      <c r="B17" s="4" t="s">
        <v>14</v>
      </c>
      <c r="C17" s="4"/>
      <c r="D17" s="4"/>
      <c r="E17" s="4"/>
      <c r="F17" s="4"/>
      <c r="G17" s="4"/>
      <c r="H17" s="4"/>
      <c r="I17" s="4"/>
      <c r="J17" s="4"/>
      <c r="K17" s="227"/>
      <c r="L17" s="4" t="s">
        <v>14</v>
      </c>
      <c r="M17" s="4"/>
      <c r="N17" s="4"/>
      <c r="O17" s="4"/>
      <c r="P17" s="4"/>
      <c r="Q17" s="4"/>
      <c r="R17" s="4"/>
      <c r="S17" s="4"/>
      <c r="T17" s="50"/>
      <c r="U17" s="60">
        <f t="shared" si="1"/>
        <v>0</v>
      </c>
    </row>
    <row r="18" spans="1:33" ht="18.75" customHeight="1">
      <c r="A18" s="230"/>
      <c r="B18" s="4" t="s">
        <v>15</v>
      </c>
      <c r="C18" s="4"/>
      <c r="D18" s="4"/>
      <c r="E18" s="4"/>
      <c r="F18" s="4"/>
      <c r="G18" s="4"/>
      <c r="H18" s="4"/>
      <c r="I18" s="4"/>
      <c r="J18" s="4"/>
      <c r="K18" s="227"/>
      <c r="L18" s="4" t="s">
        <v>15</v>
      </c>
      <c r="M18" s="4"/>
      <c r="N18" s="4"/>
      <c r="O18" s="4"/>
      <c r="P18" s="4"/>
      <c r="Q18" s="4"/>
      <c r="R18" s="4"/>
      <c r="S18" s="4"/>
      <c r="T18" s="50"/>
      <c r="U18" s="60">
        <f t="shared" si="1"/>
        <v>0</v>
      </c>
    </row>
    <row r="19" spans="1:33" ht="18.75" customHeight="1">
      <c r="A19" s="230"/>
      <c r="B19" s="4" t="s">
        <v>16</v>
      </c>
      <c r="C19" s="4"/>
      <c r="D19" s="4"/>
      <c r="E19" s="4"/>
      <c r="F19" s="4"/>
      <c r="G19" s="4"/>
      <c r="H19" s="4"/>
      <c r="I19" s="4"/>
      <c r="J19" s="4"/>
      <c r="K19" s="227"/>
      <c r="L19" s="4" t="s">
        <v>16</v>
      </c>
      <c r="M19" s="4"/>
      <c r="N19" s="4"/>
      <c r="O19" s="4"/>
      <c r="P19" s="4"/>
      <c r="Q19" s="4"/>
      <c r="R19" s="4"/>
      <c r="S19" s="4"/>
      <c r="T19" s="50"/>
      <c r="U19" s="60">
        <f t="shared" si="1"/>
        <v>0</v>
      </c>
    </row>
    <row r="20" spans="1:33" ht="18.75" customHeight="1">
      <c r="A20" s="230"/>
      <c r="B20" s="4" t="s">
        <v>17</v>
      </c>
      <c r="C20" s="4"/>
      <c r="D20" s="4"/>
      <c r="E20" s="4"/>
      <c r="F20" s="4"/>
      <c r="G20" s="4"/>
      <c r="H20" s="4"/>
      <c r="I20" s="4"/>
      <c r="J20" s="4"/>
      <c r="K20" s="227"/>
      <c r="L20" s="4" t="s">
        <v>17</v>
      </c>
      <c r="M20" s="4"/>
      <c r="N20" s="4"/>
      <c r="O20" s="4"/>
      <c r="P20" s="4"/>
      <c r="Q20" s="4"/>
      <c r="R20" s="4"/>
      <c r="S20" s="4"/>
      <c r="T20" s="50"/>
      <c r="U20" s="60">
        <f t="shared" si="1"/>
        <v>0</v>
      </c>
    </row>
    <row r="21" spans="1:33" ht="18.75" customHeight="1">
      <c r="A21" s="230"/>
      <c r="B21" s="46" t="s">
        <v>18</v>
      </c>
      <c r="C21" s="46"/>
      <c r="D21" s="46"/>
      <c r="E21" s="46"/>
      <c r="F21" s="46"/>
      <c r="G21" s="46"/>
      <c r="H21" s="46"/>
      <c r="I21" s="46"/>
      <c r="J21" s="46"/>
      <c r="K21" s="227"/>
      <c r="L21" s="46" t="s">
        <v>18</v>
      </c>
      <c r="M21" s="46"/>
      <c r="N21" s="46"/>
      <c r="O21" s="46"/>
      <c r="P21" s="46"/>
      <c r="Q21" s="46"/>
      <c r="R21" s="46"/>
      <c r="S21" s="46"/>
      <c r="T21" s="69"/>
      <c r="U21" s="60">
        <f t="shared" si="1"/>
        <v>0</v>
      </c>
    </row>
    <row r="22" spans="1:33" ht="18.75" customHeight="1">
      <c r="A22" s="193" t="s">
        <v>8</v>
      </c>
      <c r="B22" s="63" t="s">
        <v>13</v>
      </c>
      <c r="C22" s="63"/>
      <c r="D22" s="63"/>
      <c r="E22" s="63"/>
      <c r="F22" s="63"/>
      <c r="G22" s="63"/>
      <c r="H22" s="63"/>
      <c r="I22" s="63"/>
      <c r="J22" s="63"/>
      <c r="K22" s="194" t="s">
        <v>8</v>
      </c>
      <c r="L22" s="63" t="s">
        <v>13</v>
      </c>
      <c r="M22" s="63"/>
      <c r="N22" s="63"/>
      <c r="O22" s="63"/>
      <c r="P22" s="63"/>
      <c r="Q22" s="63"/>
      <c r="R22" s="63"/>
      <c r="S22" s="63"/>
      <c r="T22" s="68"/>
      <c r="U22" s="60">
        <f t="shared" si="1"/>
        <v>0</v>
      </c>
    </row>
    <row r="23" spans="1:33" ht="18.75" customHeight="1">
      <c r="A23" s="230"/>
      <c r="B23" s="6" t="s">
        <v>14</v>
      </c>
      <c r="C23" s="6"/>
      <c r="D23" s="6"/>
      <c r="E23" s="6"/>
      <c r="F23" s="6"/>
      <c r="G23" s="6"/>
      <c r="H23" s="6"/>
      <c r="I23" s="6"/>
      <c r="J23" s="6"/>
      <c r="K23" s="227"/>
      <c r="L23" s="6" t="s">
        <v>14</v>
      </c>
      <c r="M23" s="6"/>
      <c r="N23" s="6"/>
      <c r="O23" s="6"/>
      <c r="P23" s="6"/>
      <c r="Q23" s="6"/>
      <c r="R23" s="6"/>
      <c r="S23" s="6"/>
      <c r="T23" s="51"/>
      <c r="U23" s="60">
        <f t="shared" si="1"/>
        <v>0</v>
      </c>
    </row>
    <row r="24" spans="1:33" ht="18.75" customHeight="1">
      <c r="A24" s="230"/>
      <c r="B24" s="6" t="s">
        <v>15</v>
      </c>
      <c r="C24" s="6"/>
      <c r="D24" s="6"/>
      <c r="E24" s="6"/>
      <c r="F24" s="6"/>
      <c r="G24" s="6"/>
      <c r="H24" s="6"/>
      <c r="I24" s="6"/>
      <c r="J24" s="6"/>
      <c r="K24" s="227"/>
      <c r="L24" s="6" t="s">
        <v>15</v>
      </c>
      <c r="M24" s="6"/>
      <c r="N24" s="6"/>
      <c r="O24" s="6"/>
      <c r="P24" s="6"/>
      <c r="Q24" s="6"/>
      <c r="R24" s="6"/>
      <c r="S24" s="6"/>
      <c r="T24" s="51"/>
      <c r="U24" s="60">
        <f t="shared" si="1"/>
        <v>0</v>
      </c>
    </row>
    <row r="25" spans="1:33" ht="18.75" customHeight="1">
      <c r="A25" s="230"/>
      <c r="B25" s="6" t="s">
        <v>16</v>
      </c>
      <c r="C25" s="6"/>
      <c r="D25" s="6"/>
      <c r="E25" s="6"/>
      <c r="F25" s="6"/>
      <c r="G25" s="6"/>
      <c r="H25" s="6"/>
      <c r="I25" s="6"/>
      <c r="J25" s="6"/>
      <c r="K25" s="227"/>
      <c r="L25" s="6" t="s">
        <v>16</v>
      </c>
      <c r="M25" s="6"/>
      <c r="N25" s="6"/>
      <c r="O25" s="6"/>
      <c r="P25" s="6"/>
      <c r="Q25" s="6"/>
      <c r="R25" s="6"/>
      <c r="S25" s="6"/>
      <c r="T25" s="51"/>
      <c r="U25" s="60">
        <f t="shared" si="1"/>
        <v>0</v>
      </c>
    </row>
    <row r="26" spans="1:33" ht="18.75" customHeight="1">
      <c r="A26" s="230"/>
      <c r="B26" s="6" t="s">
        <v>17</v>
      </c>
      <c r="C26" s="6"/>
      <c r="D26" s="6"/>
      <c r="E26" s="6"/>
      <c r="F26" s="6"/>
      <c r="G26" s="6"/>
      <c r="H26" s="6"/>
      <c r="I26" s="6"/>
      <c r="J26" s="6"/>
      <c r="K26" s="227"/>
      <c r="L26" s="6" t="s">
        <v>17</v>
      </c>
      <c r="M26" s="6"/>
      <c r="N26" s="6"/>
      <c r="O26" s="6"/>
      <c r="P26" s="6"/>
      <c r="Q26" s="6"/>
      <c r="R26" s="6"/>
      <c r="S26" s="6"/>
      <c r="T26" s="51"/>
      <c r="U26" s="60">
        <f t="shared" si="1"/>
        <v>0</v>
      </c>
      <c r="AG26" s="95"/>
    </row>
    <row r="27" spans="1:33" ht="18.75" customHeight="1">
      <c r="A27" s="230"/>
      <c r="B27" s="47" t="s">
        <v>18</v>
      </c>
      <c r="C27" s="47"/>
      <c r="D27" s="47"/>
      <c r="E27" s="47"/>
      <c r="F27" s="47"/>
      <c r="G27" s="47"/>
      <c r="H27" s="47"/>
      <c r="I27" s="47"/>
      <c r="J27" s="47"/>
      <c r="K27" s="227"/>
      <c r="L27" s="47" t="s">
        <v>18</v>
      </c>
      <c r="M27" s="47"/>
      <c r="N27" s="47"/>
      <c r="O27" s="47"/>
      <c r="P27" s="47"/>
      <c r="Q27" s="47"/>
      <c r="R27" s="47"/>
      <c r="S27" s="47"/>
      <c r="T27" s="70"/>
      <c r="U27" s="60">
        <f t="shared" si="1"/>
        <v>0</v>
      </c>
      <c r="AG27" s="96"/>
    </row>
    <row r="28" spans="1:33" ht="18.75" customHeight="1">
      <c r="A28" s="195" t="s">
        <v>9</v>
      </c>
      <c r="B28" s="56" t="s">
        <v>13</v>
      </c>
      <c r="C28" s="56"/>
      <c r="D28" s="56"/>
      <c r="E28" s="56"/>
      <c r="F28" s="56"/>
      <c r="G28" s="56"/>
      <c r="H28" s="56"/>
      <c r="I28" s="56"/>
      <c r="J28" s="56"/>
      <c r="K28" s="196" t="s">
        <v>9</v>
      </c>
      <c r="L28" s="56" t="s">
        <v>13</v>
      </c>
      <c r="M28" s="56"/>
      <c r="N28" s="56"/>
      <c r="O28" s="56"/>
      <c r="P28" s="56"/>
      <c r="Q28" s="56"/>
      <c r="R28" s="56"/>
      <c r="S28" s="56"/>
      <c r="T28" s="67"/>
      <c r="U28" s="60">
        <f t="shared" si="1"/>
        <v>0</v>
      </c>
      <c r="AG28" s="96"/>
    </row>
    <row r="29" spans="1:33" ht="18.75" customHeight="1">
      <c r="A29" s="230"/>
      <c r="B29" s="4" t="s">
        <v>14</v>
      </c>
      <c r="C29" s="4"/>
      <c r="D29" s="4"/>
      <c r="E29" s="4"/>
      <c r="F29" s="4"/>
      <c r="G29" s="4"/>
      <c r="H29" s="4"/>
      <c r="I29" s="4"/>
      <c r="J29" s="4"/>
      <c r="K29" s="227"/>
      <c r="L29" s="4" t="s">
        <v>14</v>
      </c>
      <c r="M29" s="4"/>
      <c r="N29" s="4"/>
      <c r="O29" s="4"/>
      <c r="P29" s="4"/>
      <c r="Q29" s="4"/>
      <c r="R29" s="4"/>
      <c r="S29" s="4"/>
      <c r="T29" s="50"/>
      <c r="U29" s="60">
        <f t="shared" si="1"/>
        <v>0</v>
      </c>
      <c r="AG29" s="96"/>
    </row>
    <row r="30" spans="1:33" ht="18.75" customHeight="1">
      <c r="A30" s="230"/>
      <c r="B30" s="4" t="s">
        <v>15</v>
      </c>
      <c r="C30" s="4"/>
      <c r="D30" s="4"/>
      <c r="E30" s="4"/>
      <c r="F30" s="4"/>
      <c r="G30" s="4"/>
      <c r="H30" s="4"/>
      <c r="I30" s="4"/>
      <c r="J30" s="4"/>
      <c r="K30" s="227"/>
      <c r="L30" s="4" t="s">
        <v>15</v>
      </c>
      <c r="M30" s="4"/>
      <c r="N30" s="4"/>
      <c r="O30" s="4"/>
      <c r="P30" s="4"/>
      <c r="Q30" s="4"/>
      <c r="R30" s="4"/>
      <c r="S30" s="4"/>
      <c r="T30" s="50"/>
      <c r="U30" s="60">
        <f t="shared" si="1"/>
        <v>0</v>
      </c>
      <c r="AG30" s="96"/>
    </row>
    <row r="31" spans="1:33" ht="18.75" customHeight="1">
      <c r="A31" s="230"/>
      <c r="B31" s="4" t="s">
        <v>16</v>
      </c>
      <c r="C31" s="4"/>
      <c r="D31" s="4"/>
      <c r="E31" s="4"/>
      <c r="F31" s="4"/>
      <c r="G31" s="4"/>
      <c r="H31" s="4"/>
      <c r="I31" s="4"/>
      <c r="J31" s="4"/>
      <c r="K31" s="227"/>
      <c r="L31" s="4" t="s">
        <v>16</v>
      </c>
      <c r="M31" s="4"/>
      <c r="N31" s="4"/>
      <c r="O31" s="4"/>
      <c r="P31" s="4"/>
      <c r="Q31" s="4"/>
      <c r="R31" s="4"/>
      <c r="S31" s="4"/>
      <c r="T31" s="50"/>
      <c r="U31" s="60">
        <f t="shared" si="1"/>
        <v>0</v>
      </c>
      <c r="AG31" s="96"/>
    </row>
    <row r="32" spans="1:33" ht="18.75" customHeight="1">
      <c r="A32" s="230"/>
      <c r="B32" s="4" t="s">
        <v>17</v>
      </c>
      <c r="C32" s="4"/>
      <c r="D32" s="4"/>
      <c r="E32" s="4"/>
      <c r="F32" s="4"/>
      <c r="G32" s="4"/>
      <c r="H32" s="4"/>
      <c r="I32" s="4"/>
      <c r="J32" s="4"/>
      <c r="K32" s="227"/>
      <c r="L32" s="4" t="s">
        <v>17</v>
      </c>
      <c r="M32" s="4"/>
      <c r="N32" s="4"/>
      <c r="O32" s="4"/>
      <c r="P32" s="4"/>
      <c r="Q32" s="4"/>
      <c r="R32" s="4"/>
      <c r="S32" s="4"/>
      <c r="T32" s="50"/>
      <c r="U32" s="60">
        <f t="shared" si="1"/>
        <v>0</v>
      </c>
      <c r="AG32" s="96"/>
    </row>
    <row r="33" spans="1:33" ht="18.75" customHeight="1">
      <c r="A33" s="230"/>
      <c r="B33" s="46" t="s">
        <v>18</v>
      </c>
      <c r="C33" s="46"/>
      <c r="D33" s="46"/>
      <c r="E33" s="46"/>
      <c r="F33" s="46"/>
      <c r="G33" s="46"/>
      <c r="H33" s="46"/>
      <c r="I33" s="46"/>
      <c r="J33" s="46"/>
      <c r="K33" s="227"/>
      <c r="L33" s="46" t="s">
        <v>18</v>
      </c>
      <c r="M33" s="46"/>
      <c r="N33" s="46"/>
      <c r="O33" s="46"/>
      <c r="P33" s="46"/>
      <c r="Q33" s="46"/>
      <c r="R33" s="46"/>
      <c r="S33" s="46"/>
      <c r="T33" s="69"/>
      <c r="U33" s="60">
        <f t="shared" si="1"/>
        <v>0</v>
      </c>
      <c r="AG33" s="95"/>
    </row>
    <row r="34" spans="1:33" ht="18.75" customHeight="1">
      <c r="A34" s="193" t="s">
        <v>10</v>
      </c>
      <c r="B34" s="63" t="s">
        <v>13</v>
      </c>
      <c r="C34" s="71"/>
      <c r="D34" s="71"/>
      <c r="E34" s="71"/>
      <c r="F34" s="71"/>
      <c r="G34" s="71"/>
      <c r="H34" s="71"/>
      <c r="I34" s="71"/>
      <c r="J34" s="71"/>
      <c r="K34" s="194" t="s">
        <v>10</v>
      </c>
      <c r="L34" s="63" t="s">
        <v>13</v>
      </c>
      <c r="M34" s="71"/>
      <c r="N34" s="71"/>
      <c r="O34" s="71"/>
      <c r="P34" s="71"/>
      <c r="Q34" s="71"/>
      <c r="R34" s="71"/>
      <c r="S34" s="71"/>
      <c r="T34" s="72"/>
      <c r="U34" s="60">
        <f t="shared" si="1"/>
        <v>0</v>
      </c>
      <c r="AG34" s="96"/>
    </row>
    <row r="35" spans="1:33" ht="18.75" customHeight="1">
      <c r="A35" s="230"/>
      <c r="B35" s="6" t="s">
        <v>14</v>
      </c>
      <c r="C35" s="8"/>
      <c r="D35" s="8"/>
      <c r="E35" s="8"/>
      <c r="F35" s="8"/>
      <c r="G35" s="8"/>
      <c r="H35" s="8"/>
      <c r="I35" s="8"/>
      <c r="J35" s="8"/>
      <c r="K35" s="227"/>
      <c r="L35" s="6" t="s">
        <v>14</v>
      </c>
      <c r="M35" s="8"/>
      <c r="N35" s="8"/>
      <c r="O35" s="8"/>
      <c r="P35" s="8"/>
      <c r="Q35" s="8"/>
      <c r="R35" s="8"/>
      <c r="S35" s="8"/>
      <c r="T35" s="52"/>
      <c r="U35" s="60">
        <f t="shared" si="1"/>
        <v>0</v>
      </c>
      <c r="AG35" s="96"/>
    </row>
    <row r="36" spans="1:33" ht="18.75" customHeight="1">
      <c r="A36" s="230"/>
      <c r="B36" s="6" t="s">
        <v>15</v>
      </c>
      <c r="C36" s="8"/>
      <c r="D36" s="8"/>
      <c r="E36" s="8"/>
      <c r="F36" s="8"/>
      <c r="G36" s="8"/>
      <c r="H36" s="8"/>
      <c r="I36" s="8"/>
      <c r="J36" s="8"/>
      <c r="K36" s="227"/>
      <c r="L36" s="6" t="s">
        <v>15</v>
      </c>
      <c r="M36" s="8"/>
      <c r="N36" s="8"/>
      <c r="O36" s="8"/>
      <c r="P36" s="8"/>
      <c r="Q36" s="8"/>
      <c r="R36" s="8"/>
      <c r="S36" s="8"/>
      <c r="T36" s="52"/>
      <c r="U36" s="60">
        <f t="shared" si="1"/>
        <v>0</v>
      </c>
      <c r="AG36" s="96"/>
    </row>
    <row r="37" spans="1:33" ht="18.75" customHeight="1">
      <c r="A37" s="230"/>
      <c r="B37" s="6" t="s">
        <v>16</v>
      </c>
      <c r="C37" s="8"/>
      <c r="D37" s="8"/>
      <c r="E37" s="8"/>
      <c r="F37" s="8"/>
      <c r="G37" s="8"/>
      <c r="H37" s="8"/>
      <c r="I37" s="8"/>
      <c r="J37" s="8"/>
      <c r="K37" s="227"/>
      <c r="L37" s="6" t="s">
        <v>16</v>
      </c>
      <c r="M37" s="8"/>
      <c r="N37" s="8"/>
      <c r="O37" s="8"/>
      <c r="P37" s="8"/>
      <c r="Q37" s="8"/>
      <c r="R37" s="8"/>
      <c r="S37" s="8"/>
      <c r="T37" s="52"/>
      <c r="U37" s="60">
        <f t="shared" si="1"/>
        <v>0</v>
      </c>
      <c r="AG37" s="96"/>
    </row>
    <row r="38" spans="1:33" ht="18.75" customHeight="1">
      <c r="A38" s="230"/>
      <c r="B38" s="6" t="s">
        <v>17</v>
      </c>
      <c r="C38" s="8"/>
      <c r="D38" s="8"/>
      <c r="E38" s="8"/>
      <c r="F38" s="8"/>
      <c r="G38" s="8"/>
      <c r="H38" s="8"/>
      <c r="I38" s="8"/>
      <c r="J38" s="8"/>
      <c r="K38" s="227"/>
      <c r="L38" s="6" t="s">
        <v>17</v>
      </c>
      <c r="M38" s="8"/>
      <c r="N38" s="8"/>
      <c r="O38" s="8"/>
      <c r="P38" s="8"/>
      <c r="Q38" s="8"/>
      <c r="R38" s="8"/>
      <c r="S38" s="8"/>
      <c r="T38" s="52"/>
      <c r="U38" s="60">
        <f t="shared" si="1"/>
        <v>0</v>
      </c>
      <c r="AG38" s="96"/>
    </row>
    <row r="39" spans="1:33" ht="18.75" customHeight="1">
      <c r="A39" s="230"/>
      <c r="B39" s="47" t="s">
        <v>18</v>
      </c>
      <c r="C39" s="77"/>
      <c r="D39" s="77"/>
      <c r="E39" s="77"/>
      <c r="F39" s="77"/>
      <c r="G39" s="77"/>
      <c r="H39" s="77"/>
      <c r="I39" s="77"/>
      <c r="J39" s="77"/>
      <c r="K39" s="227"/>
      <c r="L39" s="47" t="s">
        <v>18</v>
      </c>
      <c r="M39" s="77"/>
      <c r="N39" s="77"/>
      <c r="O39" s="77"/>
      <c r="P39" s="77"/>
      <c r="Q39" s="77"/>
      <c r="R39" s="77"/>
      <c r="S39" s="77"/>
      <c r="T39" s="78"/>
      <c r="U39" s="60">
        <f t="shared" si="1"/>
        <v>0</v>
      </c>
      <c r="AG39" s="96"/>
    </row>
    <row r="40" spans="1:33" ht="18.75" customHeight="1">
      <c r="A40" s="195" t="s">
        <v>11</v>
      </c>
      <c r="B40" s="56" t="s">
        <v>13</v>
      </c>
      <c r="C40" s="73"/>
      <c r="D40" s="73"/>
      <c r="E40" s="73"/>
      <c r="F40" s="73"/>
      <c r="G40" s="73"/>
      <c r="H40" s="73"/>
      <c r="I40" s="73"/>
      <c r="J40" s="73"/>
      <c r="K40" s="196" t="s">
        <v>11</v>
      </c>
      <c r="L40" s="56" t="s">
        <v>13</v>
      </c>
      <c r="M40" s="73"/>
      <c r="N40" s="73"/>
      <c r="O40" s="73"/>
      <c r="P40" s="73"/>
      <c r="Q40" s="73"/>
      <c r="R40" s="73"/>
      <c r="S40" s="73"/>
      <c r="T40" s="74"/>
      <c r="U40" s="60">
        <f t="shared" si="1"/>
        <v>0</v>
      </c>
      <c r="AG40" s="95"/>
    </row>
    <row r="41" spans="1:33" ht="18.75" customHeight="1">
      <c r="A41" s="230"/>
      <c r="B41" s="4" t="s">
        <v>14</v>
      </c>
      <c r="C41" s="9"/>
      <c r="D41" s="9"/>
      <c r="E41" s="9"/>
      <c r="F41" s="9"/>
      <c r="G41" s="9"/>
      <c r="H41" s="9"/>
      <c r="I41" s="9"/>
      <c r="J41" s="9"/>
      <c r="K41" s="227"/>
      <c r="L41" s="4" t="s">
        <v>14</v>
      </c>
      <c r="M41" s="9"/>
      <c r="N41" s="9"/>
      <c r="O41" s="9"/>
      <c r="P41" s="9"/>
      <c r="Q41" s="9"/>
      <c r="R41" s="9"/>
      <c r="S41" s="9"/>
      <c r="T41" s="53"/>
      <c r="U41" s="60">
        <f t="shared" si="1"/>
        <v>0</v>
      </c>
      <c r="AG41" s="96"/>
    </row>
    <row r="42" spans="1:33" ht="18.75" customHeight="1">
      <c r="A42" s="230"/>
      <c r="B42" s="4" t="s">
        <v>15</v>
      </c>
      <c r="C42" s="9"/>
      <c r="D42" s="9"/>
      <c r="E42" s="9"/>
      <c r="F42" s="9"/>
      <c r="G42" s="9"/>
      <c r="H42" s="9"/>
      <c r="I42" s="9"/>
      <c r="J42" s="9"/>
      <c r="K42" s="227"/>
      <c r="L42" s="4" t="s">
        <v>15</v>
      </c>
      <c r="M42" s="9"/>
      <c r="N42" s="9"/>
      <c r="O42" s="9"/>
      <c r="P42" s="9"/>
      <c r="Q42" s="9"/>
      <c r="R42" s="9"/>
      <c r="S42" s="9"/>
      <c r="T42" s="53"/>
      <c r="U42" s="60">
        <f t="shared" si="1"/>
        <v>0</v>
      </c>
      <c r="AG42" s="96"/>
    </row>
    <row r="43" spans="1:33" ht="18.75" customHeight="1">
      <c r="A43" s="230"/>
      <c r="B43" s="4" t="s">
        <v>16</v>
      </c>
      <c r="C43" s="9"/>
      <c r="D43" s="9"/>
      <c r="E43" s="9"/>
      <c r="F43" s="9"/>
      <c r="G43" s="9"/>
      <c r="H43" s="9"/>
      <c r="I43" s="9"/>
      <c r="J43" s="9"/>
      <c r="K43" s="227"/>
      <c r="L43" s="4" t="s">
        <v>16</v>
      </c>
      <c r="M43" s="9"/>
      <c r="N43" s="9"/>
      <c r="O43" s="9"/>
      <c r="P43" s="9"/>
      <c r="Q43" s="9"/>
      <c r="R43" s="9"/>
      <c r="S43" s="9"/>
      <c r="T43" s="53"/>
      <c r="U43" s="60">
        <f t="shared" si="1"/>
        <v>0</v>
      </c>
      <c r="AG43" s="96"/>
    </row>
    <row r="44" spans="1:33" ht="18.75" customHeight="1">
      <c r="A44" s="230"/>
      <c r="B44" s="4" t="s">
        <v>17</v>
      </c>
      <c r="C44" s="9"/>
      <c r="D44" s="9"/>
      <c r="E44" s="9"/>
      <c r="F44" s="9"/>
      <c r="G44" s="9"/>
      <c r="H44" s="9"/>
      <c r="I44" s="9"/>
      <c r="J44" s="9"/>
      <c r="K44" s="227"/>
      <c r="L44" s="4" t="s">
        <v>17</v>
      </c>
      <c r="M44" s="9"/>
      <c r="N44" s="9"/>
      <c r="O44" s="9"/>
      <c r="P44" s="9"/>
      <c r="Q44" s="9"/>
      <c r="R44" s="9"/>
      <c r="S44" s="9"/>
      <c r="T44" s="53"/>
      <c r="U44" s="60">
        <f t="shared" si="1"/>
        <v>0</v>
      </c>
      <c r="AG44" s="96"/>
    </row>
    <row r="45" spans="1:33" ht="18.75" customHeight="1">
      <c r="A45" s="231"/>
      <c r="B45" s="61" t="s">
        <v>18</v>
      </c>
      <c r="C45" s="75"/>
      <c r="D45" s="75"/>
      <c r="E45" s="75"/>
      <c r="F45" s="75"/>
      <c r="G45" s="75"/>
      <c r="H45" s="75"/>
      <c r="I45" s="75"/>
      <c r="J45" s="75"/>
      <c r="K45" s="232"/>
      <c r="L45" s="61" t="s">
        <v>18</v>
      </c>
      <c r="M45" s="75"/>
      <c r="N45" s="75"/>
      <c r="O45" s="75"/>
      <c r="P45" s="75"/>
      <c r="Q45" s="75"/>
      <c r="R45" s="75"/>
      <c r="S45" s="75"/>
      <c r="T45" s="76"/>
      <c r="U45" s="60">
        <f t="shared" si="1"/>
        <v>0</v>
      </c>
      <c r="AG45" s="96"/>
    </row>
    <row r="46" spans="1:33" ht="18.75" customHeight="1">
      <c r="AG46" s="96"/>
    </row>
    <row r="47" spans="1:33" ht="18.75" customHeight="1">
      <c r="A47" s="1"/>
      <c r="B47" s="1"/>
      <c r="C47" s="183" t="s">
        <v>0</v>
      </c>
      <c r="D47" s="225"/>
      <c r="E47" s="225"/>
      <c r="F47" s="225"/>
      <c r="G47" s="226"/>
      <c r="H47" s="2"/>
      <c r="I47" s="1"/>
    </row>
    <row r="48" spans="1:33" ht="18.75" customHeight="1">
      <c r="A48" s="1"/>
      <c r="B48" s="183" t="s">
        <v>1</v>
      </c>
      <c r="C48" s="225"/>
      <c r="D48" s="226"/>
      <c r="E48" s="1"/>
      <c r="F48" s="184" t="s">
        <v>2</v>
      </c>
      <c r="G48" s="225"/>
      <c r="H48" s="226"/>
      <c r="I48" s="1"/>
      <c r="K48" s="1"/>
      <c r="L48" s="183" t="s">
        <v>26</v>
      </c>
      <c r="M48" s="225"/>
      <c r="N48" s="226"/>
      <c r="O48" s="1"/>
      <c r="P48" s="184" t="s">
        <v>2</v>
      </c>
      <c r="Q48" s="225"/>
      <c r="R48" s="226"/>
      <c r="S48" s="1"/>
    </row>
    <row r="49" spans="1:40" ht="18.75" customHeight="1">
      <c r="A49" s="54" t="s">
        <v>35</v>
      </c>
      <c r="B49" s="54" t="s">
        <v>4</v>
      </c>
      <c r="C49" s="54" t="s">
        <v>12</v>
      </c>
      <c r="D49" s="54" t="s">
        <v>19</v>
      </c>
      <c r="E49" s="54" t="s">
        <v>20</v>
      </c>
      <c r="F49" s="54" t="s">
        <v>21</v>
      </c>
      <c r="G49" s="54" t="s">
        <v>22</v>
      </c>
      <c r="H49" s="54" t="s">
        <v>23</v>
      </c>
      <c r="I49" s="54" t="s">
        <v>24</v>
      </c>
      <c r="J49" s="54" t="s">
        <v>25</v>
      </c>
      <c r="K49" s="54" t="s">
        <v>35</v>
      </c>
      <c r="L49" s="54" t="s">
        <v>4</v>
      </c>
      <c r="M49" s="54" t="s">
        <v>27</v>
      </c>
      <c r="N49" s="54" t="s">
        <v>28</v>
      </c>
      <c r="O49" s="54" t="s">
        <v>29</v>
      </c>
      <c r="P49" s="54" t="s">
        <v>30</v>
      </c>
      <c r="Q49" s="54" t="s">
        <v>31</v>
      </c>
      <c r="R49" s="54" t="s">
        <v>32</v>
      </c>
      <c r="S49" s="54" t="s">
        <v>33</v>
      </c>
      <c r="T49" s="54" t="s">
        <v>34</v>
      </c>
      <c r="U49" s="54" t="s">
        <v>55</v>
      </c>
    </row>
    <row r="50" spans="1:40" ht="18.75" customHeight="1">
      <c r="A50" s="195" t="s">
        <v>5</v>
      </c>
      <c r="B50" s="56" t="s">
        <v>13</v>
      </c>
      <c r="C50" s="57"/>
      <c r="D50" s="57"/>
      <c r="E50" s="56"/>
      <c r="F50" s="56"/>
      <c r="G50" s="56"/>
      <c r="H50" s="56"/>
      <c r="I50" s="56"/>
      <c r="J50" s="56"/>
      <c r="K50" s="196" t="s">
        <v>5</v>
      </c>
      <c r="L50" s="56" t="s">
        <v>13</v>
      </c>
      <c r="M50" s="56"/>
      <c r="N50" s="56"/>
      <c r="O50" s="56"/>
      <c r="P50" s="56"/>
      <c r="Q50" s="56"/>
      <c r="R50" s="57"/>
      <c r="S50" s="57"/>
      <c r="T50" s="58"/>
      <c r="U50" s="59">
        <f>SUM(M50:T50,C50:J50)</f>
        <v>0</v>
      </c>
      <c r="W50" s="197" t="s">
        <v>2</v>
      </c>
      <c r="X50" s="198"/>
      <c r="AG50" s="190" t="s">
        <v>58</v>
      </c>
      <c r="AH50" s="191"/>
      <c r="AI50" s="191"/>
      <c r="AJ50" s="191"/>
      <c r="AK50" s="191"/>
      <c r="AL50" s="191"/>
      <c r="AM50" s="191"/>
      <c r="AN50" s="192"/>
    </row>
    <row r="51" spans="1:40" ht="18.75" customHeight="1">
      <c r="A51" s="230"/>
      <c r="B51" s="4" t="s">
        <v>14</v>
      </c>
      <c r="C51" s="5"/>
      <c r="D51" s="5"/>
      <c r="E51" s="4"/>
      <c r="F51" s="4"/>
      <c r="G51" s="4"/>
      <c r="H51" s="4"/>
      <c r="I51" s="4"/>
      <c r="J51" s="4"/>
      <c r="K51" s="227"/>
      <c r="L51" s="4" t="s">
        <v>14</v>
      </c>
      <c r="M51" s="4"/>
      <c r="N51" s="4"/>
      <c r="O51" s="4"/>
      <c r="P51" s="4"/>
      <c r="Q51" s="4"/>
      <c r="R51" s="5"/>
      <c r="S51" s="5"/>
      <c r="T51" s="49"/>
      <c r="U51" s="59">
        <f t="shared" ref="U51:U91" si="10">SUM(M51:T51,C51:J51)</f>
        <v>0</v>
      </c>
      <c r="W51" s="55" t="s">
        <v>5</v>
      </c>
      <c r="X51" s="48">
        <f>SUM(U50:U55)</f>
        <v>0</v>
      </c>
      <c r="AG51" s="98" t="s">
        <v>4</v>
      </c>
      <c r="AH51" s="98" t="s">
        <v>5</v>
      </c>
      <c r="AI51" s="98" t="s">
        <v>6</v>
      </c>
      <c r="AJ51" s="98" t="s">
        <v>7</v>
      </c>
      <c r="AK51" s="98" t="s">
        <v>8</v>
      </c>
      <c r="AL51" s="98" t="s">
        <v>9</v>
      </c>
      <c r="AM51" s="98" t="s">
        <v>10</v>
      </c>
      <c r="AN51" s="98" t="s">
        <v>11</v>
      </c>
    </row>
    <row r="52" spans="1:40" ht="18.75" customHeight="1">
      <c r="A52" s="230"/>
      <c r="B52" s="4" t="s">
        <v>15</v>
      </c>
      <c r="C52" s="5"/>
      <c r="D52" s="5"/>
      <c r="E52" s="4"/>
      <c r="F52" s="4"/>
      <c r="G52" s="4"/>
      <c r="H52" s="4"/>
      <c r="I52" s="4"/>
      <c r="J52" s="4"/>
      <c r="K52" s="227"/>
      <c r="L52" s="4" t="s">
        <v>15</v>
      </c>
      <c r="M52" s="4"/>
      <c r="N52" s="4"/>
      <c r="O52" s="4"/>
      <c r="P52" s="4"/>
      <c r="Q52" s="4"/>
      <c r="R52" s="5"/>
      <c r="S52" s="5"/>
      <c r="T52" s="49"/>
      <c r="U52" s="59">
        <f t="shared" si="10"/>
        <v>0</v>
      </c>
      <c r="W52" s="55" t="s">
        <v>6</v>
      </c>
      <c r="X52" s="48">
        <f>SUM(U56:U61)</f>
        <v>0</v>
      </c>
      <c r="AG52" s="79" t="s">
        <v>13</v>
      </c>
      <c r="AH52" s="79">
        <f t="shared" ref="AH52:AH57" si="11">U50</f>
        <v>0</v>
      </c>
      <c r="AI52" s="79">
        <f t="shared" ref="AI52:AI57" si="12">U56</f>
        <v>0</v>
      </c>
      <c r="AJ52" s="79">
        <f t="shared" ref="AJ52:AJ57" si="13">U62</f>
        <v>0</v>
      </c>
      <c r="AK52" s="79">
        <f t="shared" ref="AK52:AK57" si="14">U68</f>
        <v>0</v>
      </c>
      <c r="AL52" s="79">
        <f t="shared" ref="AL52:AL57" si="15">U74</f>
        <v>0</v>
      </c>
      <c r="AM52" s="79">
        <f t="shared" ref="AM52:AM57" si="16">U80</f>
        <v>0</v>
      </c>
      <c r="AN52" s="79">
        <f t="shared" ref="AN52:AN57" si="17">U86</f>
        <v>0</v>
      </c>
    </row>
    <row r="53" spans="1:40" ht="18.75" customHeight="1">
      <c r="A53" s="230"/>
      <c r="B53" s="4" t="s">
        <v>16</v>
      </c>
      <c r="C53" s="5"/>
      <c r="D53" s="5"/>
      <c r="E53" s="4"/>
      <c r="F53" s="4"/>
      <c r="G53" s="4"/>
      <c r="H53" s="4"/>
      <c r="I53" s="4"/>
      <c r="J53" s="4"/>
      <c r="K53" s="227"/>
      <c r="L53" s="4" t="s">
        <v>16</v>
      </c>
      <c r="M53" s="4"/>
      <c r="N53" s="4"/>
      <c r="O53" s="4"/>
      <c r="P53" s="4"/>
      <c r="Q53" s="4"/>
      <c r="R53" s="5"/>
      <c r="S53" s="5"/>
      <c r="T53" s="49"/>
      <c r="U53" s="59">
        <f t="shared" si="10"/>
        <v>0</v>
      </c>
      <c r="W53" s="55" t="s">
        <v>7</v>
      </c>
      <c r="X53" s="48">
        <f>SUM(U62:U67)</f>
        <v>0</v>
      </c>
      <c r="AG53" s="97" t="s">
        <v>14</v>
      </c>
      <c r="AH53" s="97">
        <f t="shared" si="11"/>
        <v>0</v>
      </c>
      <c r="AI53" s="97">
        <f t="shared" si="12"/>
        <v>0</v>
      </c>
      <c r="AJ53" s="97">
        <f t="shared" si="13"/>
        <v>0</v>
      </c>
      <c r="AK53" s="97">
        <f t="shared" si="14"/>
        <v>0</v>
      </c>
      <c r="AL53" s="97">
        <f t="shared" si="15"/>
        <v>0</v>
      </c>
      <c r="AM53" s="97">
        <f t="shared" si="16"/>
        <v>0</v>
      </c>
      <c r="AN53" s="97">
        <f t="shared" si="17"/>
        <v>0</v>
      </c>
    </row>
    <row r="54" spans="1:40" ht="18.75" customHeight="1">
      <c r="A54" s="230"/>
      <c r="B54" s="4" t="s">
        <v>17</v>
      </c>
      <c r="C54" s="5"/>
      <c r="D54" s="5"/>
      <c r="E54" s="4"/>
      <c r="F54" s="4"/>
      <c r="G54" s="4"/>
      <c r="H54" s="4"/>
      <c r="I54" s="4"/>
      <c r="J54" s="4"/>
      <c r="K54" s="227"/>
      <c r="L54" s="4" t="s">
        <v>17</v>
      </c>
      <c r="M54" s="4"/>
      <c r="N54" s="4"/>
      <c r="O54" s="4"/>
      <c r="P54" s="4"/>
      <c r="Q54" s="4"/>
      <c r="R54" s="5"/>
      <c r="S54" s="5"/>
      <c r="T54" s="49"/>
      <c r="U54" s="59">
        <f t="shared" si="10"/>
        <v>0</v>
      </c>
      <c r="W54" s="55" t="s">
        <v>61</v>
      </c>
      <c r="X54" s="48">
        <f>SUM(U68:U73)</f>
        <v>0</v>
      </c>
      <c r="AG54" s="79" t="s">
        <v>15</v>
      </c>
      <c r="AH54" s="79">
        <f t="shared" si="11"/>
        <v>0</v>
      </c>
      <c r="AI54" s="79">
        <f t="shared" si="12"/>
        <v>0</v>
      </c>
      <c r="AJ54" s="79">
        <f t="shared" si="13"/>
        <v>0</v>
      </c>
      <c r="AK54" s="79">
        <f t="shared" si="14"/>
        <v>0</v>
      </c>
      <c r="AL54" s="79">
        <f t="shared" si="15"/>
        <v>0</v>
      </c>
      <c r="AM54" s="79">
        <f t="shared" si="16"/>
        <v>0</v>
      </c>
      <c r="AN54" s="79">
        <f t="shared" si="17"/>
        <v>0</v>
      </c>
    </row>
    <row r="55" spans="1:40" ht="18.75" customHeight="1">
      <c r="A55" s="230"/>
      <c r="B55" s="46" t="s">
        <v>18</v>
      </c>
      <c r="C55" s="64"/>
      <c r="D55" s="64"/>
      <c r="E55" s="46"/>
      <c r="F55" s="46"/>
      <c r="G55" s="46"/>
      <c r="H55" s="46"/>
      <c r="I55" s="46"/>
      <c r="J55" s="46"/>
      <c r="K55" s="227"/>
      <c r="L55" s="46" t="s">
        <v>18</v>
      </c>
      <c r="M55" s="46"/>
      <c r="N55" s="46"/>
      <c r="O55" s="46"/>
      <c r="P55" s="46"/>
      <c r="Q55" s="46"/>
      <c r="R55" s="64"/>
      <c r="S55" s="64"/>
      <c r="T55" s="65"/>
      <c r="U55" s="59">
        <f t="shared" si="10"/>
        <v>0</v>
      </c>
      <c r="W55" s="55" t="s">
        <v>9</v>
      </c>
      <c r="X55" s="48">
        <f>SUM(U74:U79)</f>
        <v>0</v>
      </c>
      <c r="AG55" s="97" t="s">
        <v>16</v>
      </c>
      <c r="AH55" s="97">
        <f t="shared" si="11"/>
        <v>0</v>
      </c>
      <c r="AI55" s="97">
        <f t="shared" si="12"/>
        <v>0</v>
      </c>
      <c r="AJ55" s="97">
        <f t="shared" si="13"/>
        <v>0</v>
      </c>
      <c r="AK55" s="97">
        <f t="shared" si="14"/>
        <v>0</v>
      </c>
      <c r="AL55" s="97">
        <f t="shared" si="15"/>
        <v>0</v>
      </c>
      <c r="AM55" s="97">
        <f t="shared" si="16"/>
        <v>0</v>
      </c>
      <c r="AN55" s="97">
        <f t="shared" si="17"/>
        <v>0</v>
      </c>
    </row>
    <row r="56" spans="1:40" ht="18.75" customHeight="1">
      <c r="A56" s="193" t="s">
        <v>6</v>
      </c>
      <c r="B56" s="63" t="s">
        <v>13</v>
      </c>
      <c r="C56" s="57"/>
      <c r="D56" s="57"/>
      <c r="E56" s="57"/>
      <c r="F56" s="63"/>
      <c r="G56" s="63"/>
      <c r="H56" s="63"/>
      <c r="I56" s="63"/>
      <c r="J56" s="63"/>
      <c r="K56" s="194" t="s">
        <v>6</v>
      </c>
      <c r="L56" s="63" t="s">
        <v>13</v>
      </c>
      <c r="M56" s="63"/>
      <c r="N56" s="63"/>
      <c r="O56" s="63"/>
      <c r="P56" s="63"/>
      <c r="Q56" s="57"/>
      <c r="R56" s="57"/>
      <c r="S56" s="57"/>
      <c r="T56" s="58"/>
      <c r="U56" s="59">
        <f t="shared" si="10"/>
        <v>0</v>
      </c>
      <c r="W56" s="55" t="s">
        <v>10</v>
      </c>
      <c r="X56" s="48">
        <f>SUM(U80:U85)</f>
        <v>0</v>
      </c>
      <c r="AG56" s="79" t="s">
        <v>17</v>
      </c>
      <c r="AH56" s="79">
        <f t="shared" si="11"/>
        <v>0</v>
      </c>
      <c r="AI56" s="79">
        <f t="shared" si="12"/>
        <v>0</v>
      </c>
      <c r="AJ56" s="79">
        <f t="shared" si="13"/>
        <v>0</v>
      </c>
      <c r="AK56" s="79">
        <f t="shared" si="14"/>
        <v>0</v>
      </c>
      <c r="AL56" s="79">
        <f t="shared" si="15"/>
        <v>0</v>
      </c>
      <c r="AM56" s="79">
        <f t="shared" si="16"/>
        <v>0</v>
      </c>
      <c r="AN56" s="79">
        <f t="shared" si="17"/>
        <v>0</v>
      </c>
    </row>
    <row r="57" spans="1:40" ht="18.75" customHeight="1">
      <c r="A57" s="230"/>
      <c r="B57" s="6" t="s">
        <v>14</v>
      </c>
      <c r="C57" s="5"/>
      <c r="D57" s="5"/>
      <c r="E57" s="5"/>
      <c r="F57" s="6"/>
      <c r="G57" s="6"/>
      <c r="H57" s="6"/>
      <c r="I57" s="6"/>
      <c r="J57" s="6"/>
      <c r="K57" s="227"/>
      <c r="L57" s="6" t="s">
        <v>14</v>
      </c>
      <c r="M57" s="6"/>
      <c r="N57" s="6"/>
      <c r="O57" s="6"/>
      <c r="P57" s="6"/>
      <c r="Q57" s="5"/>
      <c r="R57" s="5"/>
      <c r="S57" s="5"/>
      <c r="T57" s="49"/>
      <c r="U57" s="59">
        <f t="shared" si="10"/>
        <v>0</v>
      </c>
      <c r="W57" s="81" t="s">
        <v>11</v>
      </c>
      <c r="X57" s="80">
        <f>SUM(U86:U91)</f>
        <v>0</v>
      </c>
      <c r="AG57" s="97" t="s">
        <v>18</v>
      </c>
      <c r="AH57" s="97">
        <f t="shared" si="11"/>
        <v>0</v>
      </c>
      <c r="AI57" s="97">
        <f t="shared" si="12"/>
        <v>0</v>
      </c>
      <c r="AJ57" s="97">
        <f t="shared" si="13"/>
        <v>0</v>
      </c>
      <c r="AK57" s="97">
        <f t="shared" si="14"/>
        <v>0</v>
      </c>
      <c r="AL57" s="97">
        <f t="shared" si="15"/>
        <v>0</v>
      </c>
      <c r="AM57" s="97">
        <f t="shared" si="16"/>
        <v>0</v>
      </c>
      <c r="AN57" s="97">
        <f t="shared" si="17"/>
        <v>0</v>
      </c>
    </row>
    <row r="58" spans="1:40" ht="18.75" customHeight="1">
      <c r="A58" s="230"/>
      <c r="B58" s="6" t="s">
        <v>15</v>
      </c>
      <c r="C58" s="5"/>
      <c r="D58" s="5"/>
      <c r="E58" s="5"/>
      <c r="F58" s="6"/>
      <c r="G58" s="6"/>
      <c r="H58" s="6"/>
      <c r="I58" s="6"/>
      <c r="J58" s="6"/>
      <c r="K58" s="227"/>
      <c r="L58" s="6" t="s">
        <v>15</v>
      </c>
      <c r="M58" s="6"/>
      <c r="N58" s="6"/>
      <c r="O58" s="6"/>
      <c r="P58" s="6"/>
      <c r="Q58" s="5"/>
      <c r="R58" s="5"/>
      <c r="S58" s="5"/>
      <c r="T58" s="49"/>
      <c r="U58" s="59">
        <f t="shared" si="10"/>
        <v>0</v>
      </c>
      <c r="W58" s="79" t="s">
        <v>63</v>
      </c>
      <c r="X58" s="82">
        <f>SUM(X51:X57)</f>
        <v>0</v>
      </c>
    </row>
    <row r="59" spans="1:40" ht="18.75" customHeight="1">
      <c r="A59" s="230"/>
      <c r="B59" s="6" t="s">
        <v>16</v>
      </c>
      <c r="C59" s="5"/>
      <c r="D59" s="5"/>
      <c r="E59" s="5"/>
      <c r="F59" s="6"/>
      <c r="G59" s="6"/>
      <c r="H59" s="6"/>
      <c r="I59" s="6"/>
      <c r="J59" s="6"/>
      <c r="K59" s="227"/>
      <c r="L59" s="6" t="s">
        <v>16</v>
      </c>
      <c r="M59" s="6"/>
      <c r="N59" s="6"/>
      <c r="O59" s="6"/>
      <c r="P59" s="6"/>
      <c r="Q59" s="5"/>
      <c r="R59" s="5"/>
      <c r="S59" s="5"/>
      <c r="T59" s="49"/>
      <c r="U59" s="59">
        <f t="shared" si="10"/>
        <v>0</v>
      </c>
    </row>
    <row r="60" spans="1:40" ht="18.75" customHeight="1">
      <c r="A60" s="230"/>
      <c r="B60" s="6" t="s">
        <v>17</v>
      </c>
      <c r="C60" s="5"/>
      <c r="D60" s="5"/>
      <c r="E60" s="5"/>
      <c r="F60" s="6"/>
      <c r="G60" s="6"/>
      <c r="H60" s="6"/>
      <c r="I60" s="6"/>
      <c r="J60" s="6"/>
      <c r="K60" s="227"/>
      <c r="L60" s="6" t="s">
        <v>17</v>
      </c>
      <c r="M60" s="6"/>
      <c r="N60" s="6"/>
      <c r="O60" s="6"/>
      <c r="P60" s="6"/>
      <c r="Q60" s="5"/>
      <c r="R60" s="5"/>
      <c r="S60" s="5"/>
      <c r="T60" s="49"/>
      <c r="U60" s="59">
        <f t="shared" si="10"/>
        <v>0</v>
      </c>
    </row>
    <row r="61" spans="1:40" ht="18.75" customHeight="1">
      <c r="A61" s="230"/>
      <c r="B61" s="47" t="s">
        <v>18</v>
      </c>
      <c r="C61" s="64"/>
      <c r="D61" s="64"/>
      <c r="E61" s="64"/>
      <c r="F61" s="47"/>
      <c r="G61" s="47"/>
      <c r="H61" s="47"/>
      <c r="I61" s="47"/>
      <c r="J61" s="47"/>
      <c r="K61" s="227"/>
      <c r="L61" s="47" t="s">
        <v>18</v>
      </c>
      <c r="M61" s="47"/>
      <c r="N61" s="47"/>
      <c r="O61" s="47"/>
      <c r="P61" s="47"/>
      <c r="Q61" s="64"/>
      <c r="R61" s="64"/>
      <c r="S61" s="64"/>
      <c r="T61" s="65"/>
      <c r="U61" s="59">
        <f t="shared" si="10"/>
        <v>0</v>
      </c>
    </row>
    <row r="62" spans="1:40" ht="18.75" customHeight="1">
      <c r="A62" s="195" t="s">
        <v>7</v>
      </c>
      <c r="B62" s="56" t="s">
        <v>13</v>
      </c>
      <c r="C62" s="56"/>
      <c r="D62" s="56"/>
      <c r="E62" s="56"/>
      <c r="F62" s="56"/>
      <c r="G62" s="56"/>
      <c r="H62" s="56"/>
      <c r="I62" s="56"/>
      <c r="J62" s="56"/>
      <c r="K62" s="196" t="s">
        <v>7</v>
      </c>
      <c r="L62" s="56" t="s">
        <v>13</v>
      </c>
      <c r="M62" s="56"/>
      <c r="N62" s="56"/>
      <c r="O62" s="56"/>
      <c r="P62" s="56"/>
      <c r="Q62" s="56"/>
      <c r="R62" s="56"/>
      <c r="S62" s="56"/>
      <c r="T62" s="67"/>
      <c r="U62" s="59">
        <f t="shared" si="10"/>
        <v>0</v>
      </c>
    </row>
    <row r="63" spans="1:40" ht="18.75" customHeight="1">
      <c r="A63" s="230"/>
      <c r="B63" s="4" t="s">
        <v>14</v>
      </c>
      <c r="C63" s="4"/>
      <c r="D63" s="4"/>
      <c r="E63" s="4"/>
      <c r="F63" s="4"/>
      <c r="G63" s="4"/>
      <c r="H63" s="4"/>
      <c r="I63" s="4"/>
      <c r="J63" s="4"/>
      <c r="K63" s="227"/>
      <c r="L63" s="4" t="s">
        <v>14</v>
      </c>
      <c r="M63" s="4"/>
      <c r="N63" s="4"/>
      <c r="O63" s="4"/>
      <c r="P63" s="4"/>
      <c r="Q63" s="4"/>
      <c r="R63" s="4"/>
      <c r="S63" s="4"/>
      <c r="T63" s="50"/>
      <c r="U63" s="59">
        <f t="shared" si="10"/>
        <v>0</v>
      </c>
    </row>
    <row r="64" spans="1:40" ht="18.75" customHeight="1">
      <c r="A64" s="230"/>
      <c r="B64" s="4" t="s">
        <v>15</v>
      </c>
      <c r="C64" s="4"/>
      <c r="D64" s="4"/>
      <c r="E64" s="4"/>
      <c r="F64" s="4"/>
      <c r="G64" s="4"/>
      <c r="H64" s="4"/>
      <c r="I64" s="4"/>
      <c r="J64" s="4"/>
      <c r="K64" s="227"/>
      <c r="L64" s="4" t="s">
        <v>15</v>
      </c>
      <c r="M64" s="4"/>
      <c r="N64" s="4"/>
      <c r="O64" s="4"/>
      <c r="P64" s="4"/>
      <c r="Q64" s="4"/>
      <c r="R64" s="4"/>
      <c r="S64" s="4"/>
      <c r="T64" s="50"/>
      <c r="U64" s="59">
        <f t="shared" si="10"/>
        <v>0</v>
      </c>
    </row>
    <row r="65" spans="1:21" ht="18.75" customHeight="1">
      <c r="A65" s="230"/>
      <c r="B65" s="4" t="s">
        <v>16</v>
      </c>
      <c r="C65" s="4"/>
      <c r="D65" s="4"/>
      <c r="E65" s="4"/>
      <c r="F65" s="4"/>
      <c r="G65" s="4"/>
      <c r="H65" s="4"/>
      <c r="I65" s="4"/>
      <c r="J65" s="4"/>
      <c r="K65" s="227"/>
      <c r="L65" s="4" t="s">
        <v>16</v>
      </c>
      <c r="M65" s="4"/>
      <c r="N65" s="4"/>
      <c r="O65" s="4"/>
      <c r="P65" s="4"/>
      <c r="Q65" s="4"/>
      <c r="R65" s="4"/>
      <c r="S65" s="4"/>
      <c r="T65" s="50"/>
      <c r="U65" s="59">
        <f t="shared" si="10"/>
        <v>0</v>
      </c>
    </row>
    <row r="66" spans="1:21" ht="18.75" customHeight="1">
      <c r="A66" s="230"/>
      <c r="B66" s="4" t="s">
        <v>17</v>
      </c>
      <c r="C66" s="4"/>
      <c r="D66" s="4"/>
      <c r="E66" s="4"/>
      <c r="F66" s="4"/>
      <c r="G66" s="4"/>
      <c r="H66" s="4"/>
      <c r="I66" s="4"/>
      <c r="J66" s="4"/>
      <c r="K66" s="227"/>
      <c r="L66" s="4" t="s">
        <v>17</v>
      </c>
      <c r="M66" s="4"/>
      <c r="N66" s="4"/>
      <c r="O66" s="4"/>
      <c r="P66" s="4"/>
      <c r="Q66" s="4"/>
      <c r="R66" s="4"/>
      <c r="S66" s="4"/>
      <c r="T66" s="50"/>
      <c r="U66" s="59">
        <f t="shared" si="10"/>
        <v>0</v>
      </c>
    </row>
    <row r="67" spans="1:21" ht="18.75" customHeight="1">
      <c r="A67" s="230"/>
      <c r="B67" s="46" t="s">
        <v>18</v>
      </c>
      <c r="C67" s="46"/>
      <c r="D67" s="46"/>
      <c r="E67" s="46"/>
      <c r="F67" s="46"/>
      <c r="G67" s="46"/>
      <c r="H67" s="46"/>
      <c r="I67" s="46"/>
      <c r="J67" s="46"/>
      <c r="K67" s="227"/>
      <c r="L67" s="46" t="s">
        <v>18</v>
      </c>
      <c r="M67" s="46"/>
      <c r="N67" s="46"/>
      <c r="O67" s="46"/>
      <c r="P67" s="46"/>
      <c r="Q67" s="46"/>
      <c r="R67" s="46"/>
      <c r="S67" s="46"/>
      <c r="T67" s="69"/>
      <c r="U67" s="59">
        <f t="shared" si="10"/>
        <v>0</v>
      </c>
    </row>
    <row r="68" spans="1:21" ht="18.75" customHeight="1">
      <c r="A68" s="193" t="s">
        <v>8</v>
      </c>
      <c r="B68" s="63" t="s">
        <v>13</v>
      </c>
      <c r="C68" s="63"/>
      <c r="D68" s="63"/>
      <c r="E68" s="63"/>
      <c r="F68" s="63"/>
      <c r="G68" s="63"/>
      <c r="H68" s="63"/>
      <c r="I68" s="63"/>
      <c r="J68" s="63"/>
      <c r="K68" s="194" t="s">
        <v>8</v>
      </c>
      <c r="L68" s="63" t="s">
        <v>13</v>
      </c>
      <c r="M68" s="63"/>
      <c r="N68" s="63"/>
      <c r="O68" s="63"/>
      <c r="P68" s="63"/>
      <c r="Q68" s="63"/>
      <c r="R68" s="63"/>
      <c r="S68" s="63"/>
      <c r="T68" s="68"/>
      <c r="U68" s="59">
        <f t="shared" si="10"/>
        <v>0</v>
      </c>
    </row>
    <row r="69" spans="1:21" ht="18.75" customHeight="1">
      <c r="A69" s="230"/>
      <c r="B69" s="6" t="s">
        <v>14</v>
      </c>
      <c r="C69" s="6"/>
      <c r="D69" s="6"/>
      <c r="E69" s="6"/>
      <c r="F69" s="6"/>
      <c r="G69" s="6"/>
      <c r="H69" s="6"/>
      <c r="I69" s="6"/>
      <c r="J69" s="6"/>
      <c r="K69" s="227"/>
      <c r="L69" s="6" t="s">
        <v>14</v>
      </c>
      <c r="M69" s="6"/>
      <c r="N69" s="6"/>
      <c r="O69" s="6"/>
      <c r="P69" s="6"/>
      <c r="Q69" s="6"/>
      <c r="R69" s="6"/>
      <c r="S69" s="6"/>
      <c r="T69" s="51"/>
      <c r="U69" s="59">
        <f t="shared" si="10"/>
        <v>0</v>
      </c>
    </row>
    <row r="70" spans="1:21" ht="18.75" customHeight="1">
      <c r="A70" s="230"/>
      <c r="B70" s="6" t="s">
        <v>15</v>
      </c>
      <c r="C70" s="6"/>
      <c r="D70" s="6"/>
      <c r="E70" s="6"/>
      <c r="F70" s="6"/>
      <c r="G70" s="6"/>
      <c r="H70" s="6"/>
      <c r="I70" s="6"/>
      <c r="J70" s="6"/>
      <c r="K70" s="227"/>
      <c r="L70" s="6" t="s">
        <v>15</v>
      </c>
      <c r="M70" s="6"/>
      <c r="N70" s="6"/>
      <c r="O70" s="6"/>
      <c r="P70" s="6"/>
      <c r="Q70" s="6"/>
      <c r="R70" s="6"/>
      <c r="S70" s="6"/>
      <c r="T70" s="51"/>
      <c r="U70" s="59">
        <f t="shared" si="10"/>
        <v>0</v>
      </c>
    </row>
    <row r="71" spans="1:21" ht="18.75" customHeight="1">
      <c r="A71" s="230"/>
      <c r="B71" s="6" t="s">
        <v>16</v>
      </c>
      <c r="C71" s="6"/>
      <c r="D71" s="6"/>
      <c r="E71" s="6"/>
      <c r="F71" s="6"/>
      <c r="G71" s="6"/>
      <c r="H71" s="6"/>
      <c r="I71" s="6"/>
      <c r="J71" s="6"/>
      <c r="K71" s="227"/>
      <c r="L71" s="6" t="s">
        <v>16</v>
      </c>
      <c r="M71" s="6"/>
      <c r="N71" s="6"/>
      <c r="O71" s="6"/>
      <c r="P71" s="6"/>
      <c r="Q71" s="6"/>
      <c r="R71" s="6"/>
      <c r="S71" s="6"/>
      <c r="T71" s="51"/>
      <c r="U71" s="59">
        <f t="shared" si="10"/>
        <v>0</v>
      </c>
    </row>
    <row r="72" spans="1:21" ht="18.75" customHeight="1">
      <c r="A72" s="230"/>
      <c r="B72" s="6" t="s">
        <v>17</v>
      </c>
      <c r="C72" s="6"/>
      <c r="D72" s="6"/>
      <c r="E72" s="6"/>
      <c r="F72" s="6"/>
      <c r="G72" s="6"/>
      <c r="H72" s="6"/>
      <c r="I72" s="6"/>
      <c r="J72" s="6"/>
      <c r="K72" s="227"/>
      <c r="L72" s="6" t="s">
        <v>17</v>
      </c>
      <c r="M72" s="6"/>
      <c r="N72" s="6"/>
      <c r="O72" s="6"/>
      <c r="P72" s="6"/>
      <c r="Q72" s="6"/>
      <c r="R72" s="6"/>
      <c r="S72" s="6"/>
      <c r="T72" s="51"/>
      <c r="U72" s="59">
        <f t="shared" si="10"/>
        <v>0</v>
      </c>
    </row>
    <row r="73" spans="1:21" ht="18.75" customHeight="1">
      <c r="A73" s="230"/>
      <c r="B73" s="47" t="s">
        <v>18</v>
      </c>
      <c r="C73" s="47"/>
      <c r="D73" s="47"/>
      <c r="E73" s="47"/>
      <c r="F73" s="47"/>
      <c r="G73" s="47"/>
      <c r="H73" s="47"/>
      <c r="I73" s="47"/>
      <c r="J73" s="47"/>
      <c r="K73" s="227"/>
      <c r="L73" s="47" t="s">
        <v>18</v>
      </c>
      <c r="M73" s="47"/>
      <c r="N73" s="47"/>
      <c r="O73" s="47"/>
      <c r="P73" s="47"/>
      <c r="Q73" s="47"/>
      <c r="R73" s="47"/>
      <c r="S73" s="47"/>
      <c r="T73" s="70"/>
      <c r="U73" s="59">
        <f t="shared" si="10"/>
        <v>0</v>
      </c>
    </row>
    <row r="74" spans="1:21" ht="18.75" customHeight="1">
      <c r="A74" s="195" t="s">
        <v>9</v>
      </c>
      <c r="B74" s="56" t="s">
        <v>13</v>
      </c>
      <c r="C74" s="56"/>
      <c r="D74" s="56"/>
      <c r="E74" s="56"/>
      <c r="F74" s="56"/>
      <c r="G74" s="56"/>
      <c r="H74" s="56"/>
      <c r="I74" s="56"/>
      <c r="J74" s="56"/>
      <c r="K74" s="196" t="s">
        <v>9</v>
      </c>
      <c r="L74" s="56" t="s">
        <v>13</v>
      </c>
      <c r="M74" s="56"/>
      <c r="N74" s="56"/>
      <c r="O74" s="56"/>
      <c r="P74" s="56"/>
      <c r="Q74" s="56"/>
      <c r="R74" s="56"/>
      <c r="S74" s="56"/>
      <c r="T74" s="67"/>
      <c r="U74" s="59">
        <f t="shared" si="10"/>
        <v>0</v>
      </c>
    </row>
    <row r="75" spans="1:21" ht="18.75" customHeight="1">
      <c r="A75" s="230"/>
      <c r="B75" s="4" t="s">
        <v>14</v>
      </c>
      <c r="C75" s="4"/>
      <c r="D75" s="4"/>
      <c r="E75" s="4"/>
      <c r="F75" s="4"/>
      <c r="G75" s="4"/>
      <c r="H75" s="4"/>
      <c r="I75" s="4"/>
      <c r="J75" s="4"/>
      <c r="K75" s="227"/>
      <c r="L75" s="4" t="s">
        <v>14</v>
      </c>
      <c r="M75" s="4"/>
      <c r="N75" s="4"/>
      <c r="O75" s="4"/>
      <c r="P75" s="4"/>
      <c r="Q75" s="4"/>
      <c r="R75" s="4"/>
      <c r="S75" s="4"/>
      <c r="T75" s="50"/>
      <c r="U75" s="59">
        <f t="shared" si="10"/>
        <v>0</v>
      </c>
    </row>
    <row r="76" spans="1:21" ht="18.75" customHeight="1">
      <c r="A76" s="230"/>
      <c r="B76" s="4" t="s">
        <v>15</v>
      </c>
      <c r="C76" s="4"/>
      <c r="D76" s="4"/>
      <c r="E76" s="4"/>
      <c r="F76" s="4"/>
      <c r="G76" s="4"/>
      <c r="H76" s="4"/>
      <c r="I76" s="4"/>
      <c r="J76" s="4"/>
      <c r="K76" s="227"/>
      <c r="L76" s="4" t="s">
        <v>15</v>
      </c>
      <c r="M76" s="4"/>
      <c r="N76" s="4"/>
      <c r="O76" s="4"/>
      <c r="P76" s="4"/>
      <c r="Q76" s="4"/>
      <c r="R76" s="4"/>
      <c r="S76" s="4"/>
      <c r="T76" s="50"/>
      <c r="U76" s="59">
        <f t="shared" si="10"/>
        <v>0</v>
      </c>
    </row>
    <row r="77" spans="1:21" ht="18.75" customHeight="1">
      <c r="A77" s="230"/>
      <c r="B77" s="4" t="s">
        <v>16</v>
      </c>
      <c r="C77" s="4"/>
      <c r="D77" s="4"/>
      <c r="E77" s="4"/>
      <c r="F77" s="4"/>
      <c r="G77" s="4"/>
      <c r="H77" s="4"/>
      <c r="I77" s="4"/>
      <c r="J77" s="4"/>
      <c r="K77" s="227"/>
      <c r="L77" s="4" t="s">
        <v>16</v>
      </c>
      <c r="M77" s="4"/>
      <c r="N77" s="4"/>
      <c r="O77" s="4"/>
      <c r="P77" s="4"/>
      <c r="Q77" s="4"/>
      <c r="R77" s="4"/>
      <c r="S77" s="4"/>
      <c r="T77" s="50"/>
      <c r="U77" s="59">
        <f t="shared" si="10"/>
        <v>0</v>
      </c>
    </row>
    <row r="78" spans="1:21" ht="18.75" customHeight="1">
      <c r="A78" s="230"/>
      <c r="B78" s="4" t="s">
        <v>17</v>
      </c>
      <c r="C78" s="4"/>
      <c r="D78" s="4"/>
      <c r="E78" s="4"/>
      <c r="F78" s="4"/>
      <c r="G78" s="4"/>
      <c r="H78" s="4"/>
      <c r="I78" s="4"/>
      <c r="J78" s="4"/>
      <c r="K78" s="227"/>
      <c r="L78" s="4" t="s">
        <v>17</v>
      </c>
      <c r="M78" s="4"/>
      <c r="N78" s="4"/>
      <c r="O78" s="4"/>
      <c r="P78" s="4"/>
      <c r="Q78" s="4"/>
      <c r="R78" s="4"/>
      <c r="S78" s="4"/>
      <c r="T78" s="50"/>
      <c r="U78" s="59">
        <f t="shared" si="10"/>
        <v>0</v>
      </c>
    </row>
    <row r="79" spans="1:21" ht="18.75" customHeight="1">
      <c r="A79" s="230"/>
      <c r="B79" s="46" t="s">
        <v>18</v>
      </c>
      <c r="C79" s="46"/>
      <c r="D79" s="46"/>
      <c r="E79" s="46"/>
      <c r="F79" s="46"/>
      <c r="G79" s="46"/>
      <c r="H79" s="46"/>
      <c r="I79" s="46"/>
      <c r="J79" s="46"/>
      <c r="K79" s="227"/>
      <c r="L79" s="46" t="s">
        <v>18</v>
      </c>
      <c r="M79" s="46"/>
      <c r="N79" s="46"/>
      <c r="O79" s="46"/>
      <c r="P79" s="46"/>
      <c r="Q79" s="46"/>
      <c r="R79" s="46"/>
      <c r="S79" s="46"/>
      <c r="T79" s="69"/>
      <c r="U79" s="59">
        <f t="shared" si="10"/>
        <v>0</v>
      </c>
    </row>
    <row r="80" spans="1:21" ht="18.75" customHeight="1">
      <c r="A80" s="193" t="s">
        <v>10</v>
      </c>
      <c r="B80" s="63" t="s">
        <v>13</v>
      </c>
      <c r="C80" s="71"/>
      <c r="D80" s="71"/>
      <c r="E80" s="71"/>
      <c r="F80" s="71"/>
      <c r="G80" s="71"/>
      <c r="H80" s="71"/>
      <c r="I80" s="71"/>
      <c r="J80" s="71"/>
      <c r="K80" s="194" t="s">
        <v>10</v>
      </c>
      <c r="L80" s="63" t="s">
        <v>13</v>
      </c>
      <c r="M80" s="71"/>
      <c r="N80" s="71"/>
      <c r="O80" s="71"/>
      <c r="P80" s="71"/>
      <c r="Q80" s="71"/>
      <c r="R80" s="71"/>
      <c r="S80" s="71"/>
      <c r="T80" s="72"/>
      <c r="U80" s="59">
        <f t="shared" si="10"/>
        <v>0</v>
      </c>
    </row>
    <row r="81" spans="1:40" ht="18.75" customHeight="1">
      <c r="A81" s="230"/>
      <c r="B81" s="6" t="s">
        <v>14</v>
      </c>
      <c r="C81" s="8"/>
      <c r="D81" s="8"/>
      <c r="E81" s="8"/>
      <c r="F81" s="8"/>
      <c r="G81" s="8"/>
      <c r="H81" s="8"/>
      <c r="I81" s="8"/>
      <c r="J81" s="8"/>
      <c r="K81" s="227"/>
      <c r="L81" s="6" t="s">
        <v>14</v>
      </c>
      <c r="M81" s="8"/>
      <c r="N81" s="8"/>
      <c r="O81" s="8"/>
      <c r="P81" s="8"/>
      <c r="Q81" s="8"/>
      <c r="R81" s="8"/>
      <c r="S81" s="8"/>
      <c r="T81" s="52"/>
      <c r="U81" s="59">
        <f t="shared" si="10"/>
        <v>0</v>
      </c>
    </row>
    <row r="82" spans="1:40" ht="18.75" customHeight="1">
      <c r="A82" s="230"/>
      <c r="B82" s="6" t="s">
        <v>15</v>
      </c>
      <c r="C82" s="8"/>
      <c r="D82" s="8"/>
      <c r="E82" s="8"/>
      <c r="F82" s="8"/>
      <c r="G82" s="8"/>
      <c r="H82" s="8"/>
      <c r="I82" s="8"/>
      <c r="J82" s="8"/>
      <c r="K82" s="227"/>
      <c r="L82" s="6" t="s">
        <v>15</v>
      </c>
      <c r="M82" s="8"/>
      <c r="N82" s="8"/>
      <c r="O82" s="8"/>
      <c r="P82" s="8"/>
      <c r="Q82" s="8"/>
      <c r="R82" s="8"/>
      <c r="S82" s="8"/>
      <c r="T82" s="52"/>
      <c r="U82" s="59">
        <f t="shared" si="10"/>
        <v>0</v>
      </c>
    </row>
    <row r="83" spans="1:40" ht="18.75" customHeight="1">
      <c r="A83" s="230"/>
      <c r="B83" s="6" t="s">
        <v>16</v>
      </c>
      <c r="C83" s="8"/>
      <c r="D83" s="8"/>
      <c r="E83" s="8"/>
      <c r="F83" s="8"/>
      <c r="G83" s="8"/>
      <c r="H83" s="8"/>
      <c r="I83" s="8"/>
      <c r="J83" s="8"/>
      <c r="K83" s="227"/>
      <c r="L83" s="6" t="s">
        <v>16</v>
      </c>
      <c r="M83" s="8"/>
      <c r="N83" s="8"/>
      <c r="O83" s="8"/>
      <c r="P83" s="8"/>
      <c r="Q83" s="8"/>
      <c r="R83" s="8"/>
      <c r="S83" s="8"/>
      <c r="T83" s="52"/>
      <c r="U83" s="59">
        <f t="shared" si="10"/>
        <v>0</v>
      </c>
    </row>
    <row r="84" spans="1:40" ht="18.75" customHeight="1">
      <c r="A84" s="230"/>
      <c r="B84" s="6" t="s">
        <v>17</v>
      </c>
      <c r="C84" s="8"/>
      <c r="D84" s="8"/>
      <c r="E84" s="8"/>
      <c r="F84" s="8"/>
      <c r="G84" s="8"/>
      <c r="H84" s="8"/>
      <c r="I84" s="8"/>
      <c r="J84" s="8"/>
      <c r="K84" s="227"/>
      <c r="L84" s="6" t="s">
        <v>17</v>
      </c>
      <c r="M84" s="8"/>
      <c r="N84" s="8"/>
      <c r="O84" s="8"/>
      <c r="P84" s="8"/>
      <c r="Q84" s="8"/>
      <c r="R84" s="8"/>
      <c r="S84" s="8"/>
      <c r="T84" s="52"/>
      <c r="U84" s="59">
        <f t="shared" si="10"/>
        <v>0</v>
      </c>
    </row>
    <row r="85" spans="1:40" ht="18.75" customHeight="1">
      <c r="A85" s="230"/>
      <c r="B85" s="47" t="s">
        <v>18</v>
      </c>
      <c r="C85" s="77"/>
      <c r="D85" s="77"/>
      <c r="E85" s="77"/>
      <c r="F85" s="77"/>
      <c r="G85" s="77"/>
      <c r="H85" s="77"/>
      <c r="I85" s="77"/>
      <c r="J85" s="77"/>
      <c r="K85" s="227"/>
      <c r="L85" s="47" t="s">
        <v>18</v>
      </c>
      <c r="M85" s="77"/>
      <c r="N85" s="77"/>
      <c r="O85" s="77"/>
      <c r="P85" s="77"/>
      <c r="Q85" s="77"/>
      <c r="R85" s="77"/>
      <c r="S85" s="77"/>
      <c r="T85" s="78"/>
      <c r="U85" s="59">
        <f t="shared" si="10"/>
        <v>0</v>
      </c>
    </row>
    <row r="86" spans="1:40" ht="18.75" customHeight="1">
      <c r="A86" s="195" t="s">
        <v>11</v>
      </c>
      <c r="B86" s="56" t="s">
        <v>13</v>
      </c>
      <c r="C86" s="73"/>
      <c r="D86" s="73"/>
      <c r="E86" s="73"/>
      <c r="F86" s="73"/>
      <c r="G86" s="73"/>
      <c r="H86" s="73"/>
      <c r="I86" s="73"/>
      <c r="J86" s="73"/>
      <c r="K86" s="196" t="s">
        <v>11</v>
      </c>
      <c r="L86" s="56" t="s">
        <v>13</v>
      </c>
      <c r="M86" s="73"/>
      <c r="N86" s="73"/>
      <c r="O86" s="73"/>
      <c r="P86" s="73"/>
      <c r="Q86" s="73"/>
      <c r="R86" s="73"/>
      <c r="S86" s="73"/>
      <c r="T86" s="74"/>
      <c r="U86" s="59">
        <f t="shared" si="10"/>
        <v>0</v>
      </c>
    </row>
    <row r="87" spans="1:40" ht="18.75" customHeight="1">
      <c r="A87" s="230"/>
      <c r="B87" s="4" t="s">
        <v>14</v>
      </c>
      <c r="C87" s="9"/>
      <c r="D87" s="9"/>
      <c r="E87" s="9"/>
      <c r="F87" s="9"/>
      <c r="G87" s="9"/>
      <c r="H87" s="9"/>
      <c r="I87" s="9"/>
      <c r="J87" s="9"/>
      <c r="K87" s="227"/>
      <c r="L87" s="4" t="s">
        <v>14</v>
      </c>
      <c r="M87" s="9"/>
      <c r="N87" s="9"/>
      <c r="O87" s="9"/>
      <c r="P87" s="9"/>
      <c r="Q87" s="9"/>
      <c r="R87" s="9"/>
      <c r="S87" s="9"/>
      <c r="T87" s="53"/>
      <c r="U87" s="59">
        <f t="shared" si="10"/>
        <v>0</v>
      </c>
    </row>
    <row r="88" spans="1:40" ht="18.75" customHeight="1">
      <c r="A88" s="230"/>
      <c r="B88" s="4" t="s">
        <v>15</v>
      </c>
      <c r="C88" s="9"/>
      <c r="D88" s="9"/>
      <c r="E88" s="9"/>
      <c r="F88" s="9"/>
      <c r="G88" s="9"/>
      <c r="H88" s="9"/>
      <c r="I88" s="9"/>
      <c r="J88" s="9"/>
      <c r="K88" s="227"/>
      <c r="L88" s="4" t="s">
        <v>15</v>
      </c>
      <c r="M88" s="9"/>
      <c r="N88" s="9"/>
      <c r="O88" s="9"/>
      <c r="P88" s="9"/>
      <c r="Q88" s="9"/>
      <c r="R88" s="9"/>
      <c r="S88" s="9"/>
      <c r="T88" s="53"/>
      <c r="U88" s="59">
        <f t="shared" si="10"/>
        <v>0</v>
      </c>
    </row>
    <row r="89" spans="1:40" ht="18.75" customHeight="1">
      <c r="A89" s="230"/>
      <c r="B89" s="4" t="s">
        <v>16</v>
      </c>
      <c r="C89" s="9"/>
      <c r="D89" s="9"/>
      <c r="E89" s="9"/>
      <c r="F89" s="9"/>
      <c r="G89" s="9"/>
      <c r="H89" s="9"/>
      <c r="I89" s="9"/>
      <c r="J89" s="9"/>
      <c r="K89" s="227"/>
      <c r="L89" s="4" t="s">
        <v>16</v>
      </c>
      <c r="M89" s="9"/>
      <c r="N89" s="9"/>
      <c r="O89" s="9"/>
      <c r="P89" s="9"/>
      <c r="Q89" s="9"/>
      <c r="R89" s="9"/>
      <c r="S89" s="9"/>
      <c r="T89" s="53"/>
      <c r="U89" s="59">
        <f t="shared" si="10"/>
        <v>0</v>
      </c>
    </row>
    <row r="90" spans="1:40" ht="15.75" customHeight="1">
      <c r="A90" s="230"/>
      <c r="B90" s="4" t="s">
        <v>17</v>
      </c>
      <c r="C90" s="9"/>
      <c r="D90" s="9"/>
      <c r="E90" s="9"/>
      <c r="F90" s="9"/>
      <c r="G90" s="9"/>
      <c r="H90" s="9"/>
      <c r="I90" s="9"/>
      <c r="J90" s="9"/>
      <c r="K90" s="227"/>
      <c r="L90" s="4" t="s">
        <v>17</v>
      </c>
      <c r="M90" s="9"/>
      <c r="N90" s="9"/>
      <c r="O90" s="9"/>
      <c r="P90" s="9"/>
      <c r="Q90" s="9"/>
      <c r="R90" s="9"/>
      <c r="S90" s="9"/>
      <c r="T90" s="53"/>
      <c r="U90" s="59">
        <f t="shared" si="10"/>
        <v>0</v>
      </c>
    </row>
    <row r="91" spans="1:40" ht="15.75" customHeight="1">
      <c r="A91" s="231"/>
      <c r="B91" s="61" t="s">
        <v>18</v>
      </c>
      <c r="C91" s="75"/>
      <c r="D91" s="75"/>
      <c r="E91" s="75"/>
      <c r="F91" s="75"/>
      <c r="G91" s="75"/>
      <c r="H91" s="75"/>
      <c r="I91" s="75"/>
      <c r="J91" s="75"/>
      <c r="K91" s="232"/>
      <c r="L91" s="61" t="s">
        <v>18</v>
      </c>
      <c r="M91" s="75"/>
      <c r="N91" s="75"/>
      <c r="O91" s="75"/>
      <c r="P91" s="75"/>
      <c r="Q91" s="75"/>
      <c r="R91" s="75"/>
      <c r="S91" s="75"/>
      <c r="T91" s="76"/>
      <c r="U91" s="59">
        <f t="shared" si="10"/>
        <v>0</v>
      </c>
    </row>
    <row r="93" spans="1:40" ht="15.75" customHeight="1">
      <c r="A93" s="1"/>
      <c r="B93" s="1"/>
      <c r="C93" s="183" t="s">
        <v>0</v>
      </c>
      <c r="D93" s="225"/>
      <c r="E93" s="225"/>
      <c r="F93" s="225"/>
      <c r="G93" s="226"/>
      <c r="H93" s="2"/>
      <c r="I93" s="1"/>
    </row>
    <row r="94" spans="1:40" ht="15.75" customHeight="1">
      <c r="A94" s="1"/>
      <c r="B94" s="183" t="s">
        <v>1</v>
      </c>
      <c r="C94" s="225"/>
      <c r="D94" s="226"/>
      <c r="E94" s="1"/>
      <c r="F94" s="184" t="s">
        <v>2</v>
      </c>
      <c r="G94" s="225"/>
      <c r="H94" s="226"/>
      <c r="I94" s="1"/>
      <c r="K94" s="1"/>
      <c r="L94" s="183" t="s">
        <v>26</v>
      </c>
      <c r="M94" s="225"/>
      <c r="N94" s="226"/>
      <c r="O94" s="1"/>
      <c r="P94" s="184" t="s">
        <v>2</v>
      </c>
      <c r="Q94" s="225"/>
      <c r="R94" s="226"/>
      <c r="S94" s="1"/>
    </row>
    <row r="95" spans="1:40" ht="15.75" customHeight="1">
      <c r="A95" s="54" t="s">
        <v>35</v>
      </c>
      <c r="B95" s="54" t="s">
        <v>4</v>
      </c>
      <c r="C95" s="54" t="s">
        <v>12</v>
      </c>
      <c r="D95" s="54" t="s">
        <v>19</v>
      </c>
      <c r="E95" s="54" t="s">
        <v>20</v>
      </c>
      <c r="F95" s="54" t="s">
        <v>21</v>
      </c>
      <c r="G95" s="54" t="s">
        <v>22</v>
      </c>
      <c r="H95" s="54" t="s">
        <v>23</v>
      </c>
      <c r="I95" s="54" t="s">
        <v>24</v>
      </c>
      <c r="J95" s="54" t="s">
        <v>25</v>
      </c>
      <c r="K95" s="54" t="s">
        <v>35</v>
      </c>
      <c r="L95" s="54" t="s">
        <v>4</v>
      </c>
      <c r="M95" s="54" t="s">
        <v>27</v>
      </c>
      <c r="N95" s="54" t="s">
        <v>28</v>
      </c>
      <c r="O95" s="54" t="s">
        <v>29</v>
      </c>
      <c r="P95" s="54" t="s">
        <v>30</v>
      </c>
      <c r="Q95" s="54" t="s">
        <v>31</v>
      </c>
      <c r="R95" s="54" t="s">
        <v>32</v>
      </c>
      <c r="S95" s="54" t="s">
        <v>33</v>
      </c>
      <c r="T95" s="54" t="s">
        <v>34</v>
      </c>
      <c r="U95" s="54" t="s">
        <v>55</v>
      </c>
    </row>
    <row r="96" spans="1:40" ht="15.75" customHeight="1">
      <c r="A96" s="195" t="s">
        <v>5</v>
      </c>
      <c r="B96" s="56" t="s">
        <v>13</v>
      </c>
      <c r="C96" s="57"/>
      <c r="D96" s="57"/>
      <c r="E96" s="56"/>
      <c r="F96" s="56"/>
      <c r="G96" s="56"/>
      <c r="H96" s="56"/>
      <c r="I96" s="56"/>
      <c r="J96" s="56"/>
      <c r="K96" s="196" t="s">
        <v>5</v>
      </c>
      <c r="L96" s="56" t="s">
        <v>13</v>
      </c>
      <c r="M96" s="56"/>
      <c r="N96" s="56"/>
      <c r="O96" s="56"/>
      <c r="P96" s="56"/>
      <c r="Q96" s="56"/>
      <c r="R96" s="57"/>
      <c r="S96" s="57"/>
      <c r="T96" s="58"/>
      <c r="U96" s="59">
        <f>SUM(M96:T96,C96:J96)</f>
        <v>0</v>
      </c>
      <c r="W96" s="197" t="s">
        <v>2</v>
      </c>
      <c r="X96" s="198"/>
      <c r="AG96" s="190" t="s">
        <v>58</v>
      </c>
      <c r="AH96" s="191"/>
      <c r="AI96" s="191"/>
      <c r="AJ96" s="191"/>
      <c r="AK96" s="191"/>
      <c r="AL96" s="191"/>
      <c r="AM96" s="191"/>
      <c r="AN96" s="192"/>
    </row>
    <row r="97" spans="1:40" ht="15.75" customHeight="1">
      <c r="A97" s="230"/>
      <c r="B97" s="4" t="s">
        <v>14</v>
      </c>
      <c r="C97" s="5"/>
      <c r="D97" s="5"/>
      <c r="E97" s="4"/>
      <c r="F97" s="4"/>
      <c r="G97" s="4"/>
      <c r="H97" s="4"/>
      <c r="I97" s="4"/>
      <c r="J97" s="4"/>
      <c r="K97" s="227"/>
      <c r="L97" s="4" t="s">
        <v>14</v>
      </c>
      <c r="M97" s="4"/>
      <c r="N97" s="4"/>
      <c r="O97" s="4"/>
      <c r="P97" s="4"/>
      <c r="Q97" s="4"/>
      <c r="R97" s="5"/>
      <c r="S97" s="5"/>
      <c r="T97" s="49"/>
      <c r="U97" s="59">
        <f t="shared" ref="U97:U137" si="18">SUM(M97:T97,C97:J97)</f>
        <v>0</v>
      </c>
      <c r="W97" s="55" t="s">
        <v>5</v>
      </c>
      <c r="X97" s="48">
        <f>SUM(U96:U101)</f>
        <v>0</v>
      </c>
      <c r="AG97" s="98" t="s">
        <v>4</v>
      </c>
      <c r="AH97" s="98" t="s">
        <v>5</v>
      </c>
      <c r="AI97" s="98" t="s">
        <v>6</v>
      </c>
      <c r="AJ97" s="98" t="s">
        <v>7</v>
      </c>
      <c r="AK97" s="98" t="s">
        <v>8</v>
      </c>
      <c r="AL97" s="98" t="s">
        <v>9</v>
      </c>
      <c r="AM97" s="98" t="s">
        <v>10</v>
      </c>
      <c r="AN97" s="98" t="s">
        <v>11</v>
      </c>
    </row>
    <row r="98" spans="1:40" ht="15.75" customHeight="1">
      <c r="A98" s="230"/>
      <c r="B98" s="4" t="s">
        <v>15</v>
      </c>
      <c r="C98" s="5"/>
      <c r="D98" s="5"/>
      <c r="E98" s="4"/>
      <c r="F98" s="4"/>
      <c r="G98" s="4"/>
      <c r="H98" s="4"/>
      <c r="I98" s="4"/>
      <c r="J98" s="4"/>
      <c r="K98" s="227"/>
      <c r="L98" s="4" t="s">
        <v>15</v>
      </c>
      <c r="M98" s="4"/>
      <c r="N98" s="4"/>
      <c r="O98" s="4"/>
      <c r="P98" s="4"/>
      <c r="Q98" s="4"/>
      <c r="R98" s="5"/>
      <c r="S98" s="5"/>
      <c r="T98" s="49"/>
      <c r="U98" s="59">
        <f t="shared" si="18"/>
        <v>0</v>
      </c>
      <c r="W98" s="55" t="s">
        <v>6</v>
      </c>
      <c r="X98" s="48">
        <f>SUM(U102:U107)</f>
        <v>0</v>
      </c>
      <c r="AG98" s="79" t="s">
        <v>13</v>
      </c>
      <c r="AH98" s="79">
        <f t="shared" ref="AH98:AH103" si="19">U96</f>
        <v>0</v>
      </c>
      <c r="AI98" s="79">
        <f t="shared" ref="AI98:AI103" si="20">U102</f>
        <v>0</v>
      </c>
      <c r="AJ98" s="79">
        <f t="shared" ref="AJ98:AJ103" si="21">U108</f>
        <v>0</v>
      </c>
      <c r="AK98" s="79">
        <f t="shared" ref="AK98:AK103" si="22">U114</f>
        <v>0</v>
      </c>
      <c r="AL98" s="79">
        <f t="shared" ref="AL98:AL103" si="23">U120</f>
        <v>0</v>
      </c>
      <c r="AM98" s="79">
        <f t="shared" ref="AM98:AM103" si="24">U126</f>
        <v>0</v>
      </c>
      <c r="AN98" s="79">
        <f t="shared" ref="AN98:AN103" si="25">U132</f>
        <v>0</v>
      </c>
    </row>
    <row r="99" spans="1:40" ht="15.75" customHeight="1">
      <c r="A99" s="230"/>
      <c r="B99" s="4" t="s">
        <v>16</v>
      </c>
      <c r="C99" s="5"/>
      <c r="D99" s="5"/>
      <c r="E99" s="4"/>
      <c r="F99" s="4"/>
      <c r="G99" s="4"/>
      <c r="H99" s="4"/>
      <c r="I99" s="4"/>
      <c r="J99" s="4"/>
      <c r="K99" s="227"/>
      <c r="L99" s="4" t="s">
        <v>16</v>
      </c>
      <c r="M99" s="4"/>
      <c r="N99" s="4"/>
      <c r="O99" s="4"/>
      <c r="P99" s="4"/>
      <c r="Q99" s="4"/>
      <c r="R99" s="5"/>
      <c r="S99" s="5"/>
      <c r="T99" s="49"/>
      <c r="U99" s="59">
        <f t="shared" si="18"/>
        <v>0</v>
      </c>
      <c r="W99" s="55" t="s">
        <v>7</v>
      </c>
      <c r="X99" s="48">
        <f>SUM(U108:U113)</f>
        <v>0</v>
      </c>
      <c r="AG99" s="97" t="s">
        <v>14</v>
      </c>
      <c r="AH99" s="97">
        <f t="shared" si="19"/>
        <v>0</v>
      </c>
      <c r="AI99" s="97">
        <f t="shared" si="20"/>
        <v>0</v>
      </c>
      <c r="AJ99" s="97">
        <f t="shared" si="21"/>
        <v>0</v>
      </c>
      <c r="AK99" s="97">
        <f t="shared" si="22"/>
        <v>0</v>
      </c>
      <c r="AL99" s="97">
        <f t="shared" si="23"/>
        <v>0</v>
      </c>
      <c r="AM99" s="97">
        <f t="shared" si="24"/>
        <v>0</v>
      </c>
      <c r="AN99" s="97">
        <f t="shared" si="25"/>
        <v>0</v>
      </c>
    </row>
    <row r="100" spans="1:40" ht="15.75" customHeight="1">
      <c r="A100" s="230"/>
      <c r="B100" s="4" t="s">
        <v>17</v>
      </c>
      <c r="C100" s="5"/>
      <c r="D100" s="5"/>
      <c r="E100" s="4"/>
      <c r="F100" s="4"/>
      <c r="G100" s="4"/>
      <c r="H100" s="4"/>
      <c r="I100" s="4"/>
      <c r="J100" s="4"/>
      <c r="K100" s="227"/>
      <c r="L100" s="4" t="s">
        <v>17</v>
      </c>
      <c r="M100" s="4"/>
      <c r="N100" s="4"/>
      <c r="O100" s="4"/>
      <c r="P100" s="4"/>
      <c r="Q100" s="4"/>
      <c r="R100" s="5"/>
      <c r="S100" s="5"/>
      <c r="T100" s="49"/>
      <c r="U100" s="59">
        <f t="shared" si="18"/>
        <v>0</v>
      </c>
      <c r="W100" s="55" t="s">
        <v>61</v>
      </c>
      <c r="X100" s="48">
        <f>SUM(U114:U119)</f>
        <v>0</v>
      </c>
      <c r="AG100" s="79" t="s">
        <v>15</v>
      </c>
      <c r="AH100" s="79">
        <f t="shared" si="19"/>
        <v>0</v>
      </c>
      <c r="AI100" s="79">
        <f t="shared" si="20"/>
        <v>0</v>
      </c>
      <c r="AJ100" s="79">
        <f t="shared" si="21"/>
        <v>0</v>
      </c>
      <c r="AK100" s="79">
        <f t="shared" si="22"/>
        <v>0</v>
      </c>
      <c r="AL100" s="79">
        <f t="shared" si="23"/>
        <v>0</v>
      </c>
      <c r="AM100" s="79">
        <f t="shared" si="24"/>
        <v>0</v>
      </c>
      <c r="AN100" s="79">
        <f t="shared" si="25"/>
        <v>0</v>
      </c>
    </row>
    <row r="101" spans="1:40" ht="15.75" customHeight="1">
      <c r="A101" s="230"/>
      <c r="B101" s="46" t="s">
        <v>18</v>
      </c>
      <c r="C101" s="64"/>
      <c r="D101" s="64"/>
      <c r="E101" s="46"/>
      <c r="F101" s="46"/>
      <c r="G101" s="46"/>
      <c r="H101" s="46"/>
      <c r="I101" s="46"/>
      <c r="J101" s="46"/>
      <c r="K101" s="227"/>
      <c r="L101" s="46" t="s">
        <v>18</v>
      </c>
      <c r="M101" s="46"/>
      <c r="N101" s="46"/>
      <c r="O101" s="46"/>
      <c r="P101" s="46"/>
      <c r="Q101" s="46"/>
      <c r="R101" s="64"/>
      <c r="S101" s="64"/>
      <c r="T101" s="65"/>
      <c r="U101" s="59">
        <f t="shared" si="18"/>
        <v>0</v>
      </c>
      <c r="W101" s="55" t="s">
        <v>9</v>
      </c>
      <c r="X101" s="48">
        <f>SUM(U120:U125)</f>
        <v>0</v>
      </c>
      <c r="AG101" s="97" t="s">
        <v>16</v>
      </c>
      <c r="AH101" s="97">
        <f t="shared" si="19"/>
        <v>0</v>
      </c>
      <c r="AI101" s="97">
        <f t="shared" si="20"/>
        <v>0</v>
      </c>
      <c r="AJ101" s="97">
        <f t="shared" si="21"/>
        <v>0</v>
      </c>
      <c r="AK101" s="97">
        <f t="shared" si="22"/>
        <v>0</v>
      </c>
      <c r="AL101" s="97">
        <f t="shared" si="23"/>
        <v>0</v>
      </c>
      <c r="AM101" s="97">
        <f t="shared" si="24"/>
        <v>0</v>
      </c>
      <c r="AN101" s="97">
        <f t="shared" si="25"/>
        <v>0</v>
      </c>
    </row>
    <row r="102" spans="1:40" ht="15.75" customHeight="1">
      <c r="A102" s="193" t="s">
        <v>6</v>
      </c>
      <c r="B102" s="63" t="s">
        <v>13</v>
      </c>
      <c r="C102" s="57"/>
      <c r="D102" s="57"/>
      <c r="E102" s="57"/>
      <c r="F102" s="63"/>
      <c r="G102" s="63"/>
      <c r="H102" s="63"/>
      <c r="I102" s="63"/>
      <c r="J102" s="63"/>
      <c r="K102" s="194" t="s">
        <v>6</v>
      </c>
      <c r="L102" s="63" t="s">
        <v>13</v>
      </c>
      <c r="M102" s="63"/>
      <c r="N102" s="63"/>
      <c r="O102" s="63"/>
      <c r="P102" s="63"/>
      <c r="Q102" s="57"/>
      <c r="R102" s="57"/>
      <c r="S102" s="57"/>
      <c r="T102" s="58"/>
      <c r="U102" s="59">
        <f t="shared" si="18"/>
        <v>0</v>
      </c>
      <c r="W102" s="55" t="s">
        <v>10</v>
      </c>
      <c r="X102" s="48">
        <f>SUM(U126:U131)</f>
        <v>0</v>
      </c>
      <c r="AG102" s="79" t="s">
        <v>17</v>
      </c>
      <c r="AH102" s="79">
        <f t="shared" si="19"/>
        <v>0</v>
      </c>
      <c r="AI102" s="79">
        <f t="shared" si="20"/>
        <v>0</v>
      </c>
      <c r="AJ102" s="79">
        <f t="shared" si="21"/>
        <v>0</v>
      </c>
      <c r="AK102" s="79">
        <f t="shared" si="22"/>
        <v>0</v>
      </c>
      <c r="AL102" s="79">
        <f t="shared" si="23"/>
        <v>0</v>
      </c>
      <c r="AM102" s="79">
        <f t="shared" si="24"/>
        <v>0</v>
      </c>
      <c r="AN102" s="79">
        <f t="shared" si="25"/>
        <v>0</v>
      </c>
    </row>
    <row r="103" spans="1:40" ht="15.75" customHeight="1">
      <c r="A103" s="230"/>
      <c r="B103" s="6" t="s">
        <v>14</v>
      </c>
      <c r="C103" s="5"/>
      <c r="D103" s="5"/>
      <c r="E103" s="5"/>
      <c r="F103" s="6"/>
      <c r="G103" s="6"/>
      <c r="H103" s="6"/>
      <c r="I103" s="6"/>
      <c r="J103" s="6"/>
      <c r="K103" s="227"/>
      <c r="L103" s="6" t="s">
        <v>14</v>
      </c>
      <c r="M103" s="6"/>
      <c r="N103" s="6"/>
      <c r="O103" s="6"/>
      <c r="P103" s="6"/>
      <c r="Q103" s="5"/>
      <c r="R103" s="5"/>
      <c r="S103" s="5"/>
      <c r="T103" s="49"/>
      <c r="U103" s="59">
        <f t="shared" si="18"/>
        <v>0</v>
      </c>
      <c r="W103" s="81" t="s">
        <v>11</v>
      </c>
      <c r="X103" s="80">
        <f>SUM(U132:U137)</f>
        <v>0</v>
      </c>
      <c r="AG103" s="97" t="s">
        <v>18</v>
      </c>
      <c r="AH103" s="97">
        <f t="shared" si="19"/>
        <v>0</v>
      </c>
      <c r="AI103" s="97">
        <f t="shared" si="20"/>
        <v>0</v>
      </c>
      <c r="AJ103" s="97">
        <f t="shared" si="21"/>
        <v>0</v>
      </c>
      <c r="AK103" s="97">
        <f t="shared" si="22"/>
        <v>0</v>
      </c>
      <c r="AL103" s="97">
        <f t="shared" si="23"/>
        <v>0</v>
      </c>
      <c r="AM103" s="97">
        <f t="shared" si="24"/>
        <v>0</v>
      </c>
      <c r="AN103" s="97">
        <f t="shared" si="25"/>
        <v>0</v>
      </c>
    </row>
    <row r="104" spans="1:40" ht="15.75" customHeight="1">
      <c r="A104" s="230"/>
      <c r="B104" s="6" t="s">
        <v>15</v>
      </c>
      <c r="C104" s="5"/>
      <c r="D104" s="5"/>
      <c r="E104" s="5"/>
      <c r="F104" s="6"/>
      <c r="G104" s="6"/>
      <c r="H104" s="6"/>
      <c r="I104" s="6"/>
      <c r="J104" s="6"/>
      <c r="K104" s="227"/>
      <c r="L104" s="6" t="s">
        <v>15</v>
      </c>
      <c r="M104" s="6"/>
      <c r="N104" s="6"/>
      <c r="O104" s="6"/>
      <c r="P104" s="6"/>
      <c r="Q104" s="5"/>
      <c r="R104" s="5"/>
      <c r="S104" s="5"/>
      <c r="T104" s="49"/>
      <c r="U104" s="59">
        <f t="shared" si="18"/>
        <v>0</v>
      </c>
      <c r="W104" s="79" t="s">
        <v>63</v>
      </c>
      <c r="X104" s="82">
        <f>SUM(X97:X103)</f>
        <v>0</v>
      </c>
    </row>
    <row r="105" spans="1:40" ht="15.75" customHeight="1">
      <c r="A105" s="230"/>
      <c r="B105" s="6" t="s">
        <v>16</v>
      </c>
      <c r="C105" s="5"/>
      <c r="D105" s="5"/>
      <c r="E105" s="5"/>
      <c r="F105" s="6"/>
      <c r="G105" s="6"/>
      <c r="H105" s="6"/>
      <c r="I105" s="6"/>
      <c r="J105" s="6"/>
      <c r="K105" s="227"/>
      <c r="L105" s="6" t="s">
        <v>16</v>
      </c>
      <c r="M105" s="6"/>
      <c r="N105" s="6"/>
      <c r="O105" s="6"/>
      <c r="P105" s="6"/>
      <c r="Q105" s="5"/>
      <c r="R105" s="5"/>
      <c r="S105" s="5"/>
      <c r="T105" s="49"/>
      <c r="U105" s="59">
        <f t="shared" si="18"/>
        <v>0</v>
      </c>
    </row>
    <row r="106" spans="1:40" ht="15.75" customHeight="1">
      <c r="A106" s="230"/>
      <c r="B106" s="6" t="s">
        <v>17</v>
      </c>
      <c r="C106" s="5"/>
      <c r="D106" s="5"/>
      <c r="E106" s="5"/>
      <c r="F106" s="6"/>
      <c r="G106" s="6"/>
      <c r="H106" s="6"/>
      <c r="I106" s="6"/>
      <c r="J106" s="6"/>
      <c r="K106" s="227"/>
      <c r="L106" s="6" t="s">
        <v>17</v>
      </c>
      <c r="M106" s="6"/>
      <c r="N106" s="6"/>
      <c r="O106" s="6"/>
      <c r="P106" s="6"/>
      <c r="Q106" s="5"/>
      <c r="R106" s="5"/>
      <c r="S106" s="5"/>
      <c r="T106" s="49"/>
      <c r="U106" s="59">
        <f t="shared" si="18"/>
        <v>0</v>
      </c>
    </row>
    <row r="107" spans="1:40" ht="15.75" customHeight="1">
      <c r="A107" s="230"/>
      <c r="B107" s="47" t="s">
        <v>18</v>
      </c>
      <c r="C107" s="64"/>
      <c r="D107" s="64"/>
      <c r="E107" s="64"/>
      <c r="F107" s="47"/>
      <c r="G107" s="47"/>
      <c r="H107" s="47"/>
      <c r="I107" s="47"/>
      <c r="J107" s="47"/>
      <c r="K107" s="227"/>
      <c r="L107" s="47" t="s">
        <v>18</v>
      </c>
      <c r="M107" s="47"/>
      <c r="N107" s="47"/>
      <c r="O107" s="47"/>
      <c r="P107" s="47"/>
      <c r="Q107" s="64"/>
      <c r="R107" s="64"/>
      <c r="S107" s="64"/>
      <c r="T107" s="65"/>
      <c r="U107" s="59">
        <f t="shared" si="18"/>
        <v>0</v>
      </c>
    </row>
    <row r="108" spans="1:40" ht="15.75" customHeight="1">
      <c r="A108" s="195" t="s">
        <v>7</v>
      </c>
      <c r="B108" s="56" t="s">
        <v>13</v>
      </c>
      <c r="C108" s="56"/>
      <c r="D108" s="56"/>
      <c r="E108" s="56"/>
      <c r="F108" s="56"/>
      <c r="G108" s="56"/>
      <c r="H108" s="56"/>
      <c r="I108" s="56"/>
      <c r="J108" s="56"/>
      <c r="K108" s="196" t="s">
        <v>7</v>
      </c>
      <c r="L108" s="56" t="s">
        <v>13</v>
      </c>
      <c r="M108" s="56"/>
      <c r="N108" s="56"/>
      <c r="O108" s="56"/>
      <c r="P108" s="56"/>
      <c r="Q108" s="56"/>
      <c r="R108" s="56"/>
      <c r="S108" s="56"/>
      <c r="T108" s="67"/>
      <c r="U108" s="59">
        <f t="shared" si="18"/>
        <v>0</v>
      </c>
    </row>
    <row r="109" spans="1:40" ht="15.75" customHeight="1">
      <c r="A109" s="230"/>
      <c r="B109" s="4" t="s">
        <v>14</v>
      </c>
      <c r="C109" s="4"/>
      <c r="D109" s="4"/>
      <c r="E109" s="4"/>
      <c r="F109" s="4"/>
      <c r="G109" s="4"/>
      <c r="H109" s="4"/>
      <c r="I109" s="4"/>
      <c r="J109" s="4"/>
      <c r="K109" s="227"/>
      <c r="L109" s="4" t="s">
        <v>14</v>
      </c>
      <c r="M109" s="4"/>
      <c r="N109" s="4"/>
      <c r="O109" s="4"/>
      <c r="P109" s="4"/>
      <c r="Q109" s="4"/>
      <c r="R109" s="4"/>
      <c r="S109" s="4"/>
      <c r="T109" s="50"/>
      <c r="U109" s="59">
        <f t="shared" si="18"/>
        <v>0</v>
      </c>
    </row>
    <row r="110" spans="1:40" ht="15.75" customHeight="1">
      <c r="A110" s="230"/>
      <c r="B110" s="4" t="s">
        <v>15</v>
      </c>
      <c r="C110" s="4"/>
      <c r="D110" s="4"/>
      <c r="E110" s="4"/>
      <c r="F110" s="4"/>
      <c r="G110" s="4"/>
      <c r="H110" s="4"/>
      <c r="I110" s="4"/>
      <c r="J110" s="4"/>
      <c r="K110" s="227"/>
      <c r="L110" s="4" t="s">
        <v>15</v>
      </c>
      <c r="M110" s="4"/>
      <c r="N110" s="4"/>
      <c r="O110" s="4"/>
      <c r="P110" s="4"/>
      <c r="Q110" s="4"/>
      <c r="R110" s="4"/>
      <c r="S110" s="4"/>
      <c r="T110" s="50"/>
      <c r="U110" s="59">
        <f t="shared" si="18"/>
        <v>0</v>
      </c>
    </row>
    <row r="111" spans="1:40" ht="15.75" customHeight="1">
      <c r="A111" s="230"/>
      <c r="B111" s="4" t="s">
        <v>16</v>
      </c>
      <c r="C111" s="4"/>
      <c r="D111" s="4"/>
      <c r="E111" s="4"/>
      <c r="F111" s="4"/>
      <c r="G111" s="4"/>
      <c r="H111" s="4"/>
      <c r="I111" s="4"/>
      <c r="J111" s="4"/>
      <c r="K111" s="227"/>
      <c r="L111" s="4" t="s">
        <v>16</v>
      </c>
      <c r="M111" s="4"/>
      <c r="N111" s="4"/>
      <c r="O111" s="4"/>
      <c r="P111" s="4"/>
      <c r="Q111" s="4"/>
      <c r="R111" s="4"/>
      <c r="S111" s="4"/>
      <c r="T111" s="50"/>
      <c r="U111" s="59">
        <f t="shared" si="18"/>
        <v>0</v>
      </c>
    </row>
    <row r="112" spans="1:40" ht="15.75" customHeight="1">
      <c r="A112" s="230"/>
      <c r="B112" s="4" t="s">
        <v>17</v>
      </c>
      <c r="C112" s="4"/>
      <c r="D112" s="4"/>
      <c r="E112" s="4"/>
      <c r="F112" s="4"/>
      <c r="G112" s="4"/>
      <c r="H112" s="4"/>
      <c r="I112" s="4"/>
      <c r="J112" s="4"/>
      <c r="K112" s="227"/>
      <c r="L112" s="4" t="s">
        <v>17</v>
      </c>
      <c r="M112" s="4"/>
      <c r="N112" s="4"/>
      <c r="O112" s="4"/>
      <c r="P112" s="4"/>
      <c r="Q112" s="4"/>
      <c r="R112" s="4"/>
      <c r="S112" s="4"/>
      <c r="T112" s="50"/>
      <c r="U112" s="59">
        <f t="shared" si="18"/>
        <v>0</v>
      </c>
    </row>
    <row r="113" spans="1:21" ht="15.75" customHeight="1">
      <c r="A113" s="230"/>
      <c r="B113" s="46" t="s">
        <v>18</v>
      </c>
      <c r="C113" s="46"/>
      <c r="D113" s="46"/>
      <c r="E113" s="46"/>
      <c r="F113" s="46"/>
      <c r="G113" s="46"/>
      <c r="H113" s="46"/>
      <c r="I113" s="46"/>
      <c r="J113" s="46"/>
      <c r="K113" s="227"/>
      <c r="L113" s="46" t="s">
        <v>18</v>
      </c>
      <c r="M113" s="46"/>
      <c r="N113" s="46"/>
      <c r="O113" s="46"/>
      <c r="P113" s="46"/>
      <c r="Q113" s="46"/>
      <c r="R113" s="46"/>
      <c r="S113" s="46"/>
      <c r="T113" s="69"/>
      <c r="U113" s="59">
        <f t="shared" si="18"/>
        <v>0</v>
      </c>
    </row>
    <row r="114" spans="1:21" ht="15.75" customHeight="1">
      <c r="A114" s="193" t="s">
        <v>8</v>
      </c>
      <c r="B114" s="63" t="s">
        <v>13</v>
      </c>
      <c r="C114" s="63"/>
      <c r="D114" s="63"/>
      <c r="E114" s="63"/>
      <c r="F114" s="63"/>
      <c r="G114" s="63"/>
      <c r="H114" s="63"/>
      <c r="I114" s="63"/>
      <c r="J114" s="63"/>
      <c r="K114" s="194" t="s">
        <v>8</v>
      </c>
      <c r="L114" s="63" t="s">
        <v>13</v>
      </c>
      <c r="M114" s="63"/>
      <c r="N114" s="63"/>
      <c r="O114" s="63"/>
      <c r="P114" s="63"/>
      <c r="Q114" s="63"/>
      <c r="R114" s="63"/>
      <c r="S114" s="63"/>
      <c r="T114" s="68"/>
      <c r="U114" s="59">
        <f t="shared" si="18"/>
        <v>0</v>
      </c>
    </row>
    <row r="115" spans="1:21" ht="15.75" customHeight="1">
      <c r="A115" s="230"/>
      <c r="B115" s="6" t="s">
        <v>14</v>
      </c>
      <c r="C115" s="6"/>
      <c r="D115" s="6"/>
      <c r="E115" s="6"/>
      <c r="F115" s="6"/>
      <c r="G115" s="6"/>
      <c r="H115" s="6"/>
      <c r="I115" s="6"/>
      <c r="J115" s="6"/>
      <c r="K115" s="227"/>
      <c r="L115" s="6" t="s">
        <v>14</v>
      </c>
      <c r="M115" s="6"/>
      <c r="N115" s="6"/>
      <c r="O115" s="6"/>
      <c r="P115" s="6"/>
      <c r="Q115" s="6"/>
      <c r="R115" s="6"/>
      <c r="S115" s="6"/>
      <c r="T115" s="51"/>
      <c r="U115" s="59">
        <f t="shared" si="18"/>
        <v>0</v>
      </c>
    </row>
    <row r="116" spans="1:21" ht="15.75" customHeight="1">
      <c r="A116" s="230"/>
      <c r="B116" s="6" t="s">
        <v>15</v>
      </c>
      <c r="C116" s="6"/>
      <c r="D116" s="6"/>
      <c r="E116" s="6"/>
      <c r="F116" s="6"/>
      <c r="G116" s="6"/>
      <c r="H116" s="6"/>
      <c r="I116" s="6"/>
      <c r="J116" s="6"/>
      <c r="K116" s="227"/>
      <c r="L116" s="6" t="s">
        <v>15</v>
      </c>
      <c r="M116" s="6"/>
      <c r="N116" s="6"/>
      <c r="O116" s="6"/>
      <c r="P116" s="6"/>
      <c r="Q116" s="6"/>
      <c r="R116" s="6"/>
      <c r="S116" s="6"/>
      <c r="T116" s="51"/>
      <c r="U116" s="59">
        <f t="shared" si="18"/>
        <v>0</v>
      </c>
    </row>
    <row r="117" spans="1:21" ht="15.75" customHeight="1">
      <c r="A117" s="230"/>
      <c r="B117" s="6" t="s">
        <v>16</v>
      </c>
      <c r="C117" s="6"/>
      <c r="D117" s="6"/>
      <c r="E117" s="6"/>
      <c r="F117" s="6"/>
      <c r="G117" s="6"/>
      <c r="H117" s="6"/>
      <c r="I117" s="6"/>
      <c r="J117" s="6"/>
      <c r="K117" s="227"/>
      <c r="L117" s="6" t="s">
        <v>16</v>
      </c>
      <c r="M117" s="6"/>
      <c r="N117" s="6"/>
      <c r="O117" s="6"/>
      <c r="P117" s="6"/>
      <c r="Q117" s="6"/>
      <c r="R117" s="6"/>
      <c r="S117" s="6"/>
      <c r="T117" s="51"/>
      <c r="U117" s="59">
        <f t="shared" si="18"/>
        <v>0</v>
      </c>
    </row>
    <row r="118" spans="1:21" ht="15.75" customHeight="1">
      <c r="A118" s="230"/>
      <c r="B118" s="6" t="s">
        <v>17</v>
      </c>
      <c r="C118" s="6"/>
      <c r="D118" s="6"/>
      <c r="E118" s="6"/>
      <c r="F118" s="6"/>
      <c r="G118" s="6"/>
      <c r="H118" s="6"/>
      <c r="I118" s="6"/>
      <c r="J118" s="6"/>
      <c r="K118" s="227"/>
      <c r="L118" s="6" t="s">
        <v>17</v>
      </c>
      <c r="M118" s="6"/>
      <c r="N118" s="6"/>
      <c r="O118" s="6"/>
      <c r="P118" s="6"/>
      <c r="Q118" s="6"/>
      <c r="R118" s="6"/>
      <c r="S118" s="6"/>
      <c r="T118" s="51"/>
      <c r="U118" s="59">
        <f t="shared" si="18"/>
        <v>0</v>
      </c>
    </row>
    <row r="119" spans="1:21" ht="15.75" customHeight="1">
      <c r="A119" s="230"/>
      <c r="B119" s="47" t="s">
        <v>18</v>
      </c>
      <c r="C119" s="47"/>
      <c r="D119" s="47"/>
      <c r="E119" s="47"/>
      <c r="F119" s="47"/>
      <c r="G119" s="47"/>
      <c r="H119" s="47"/>
      <c r="I119" s="47"/>
      <c r="J119" s="47"/>
      <c r="K119" s="227"/>
      <c r="L119" s="47" t="s">
        <v>18</v>
      </c>
      <c r="M119" s="47"/>
      <c r="N119" s="47"/>
      <c r="O119" s="47"/>
      <c r="P119" s="47"/>
      <c r="Q119" s="47"/>
      <c r="R119" s="47"/>
      <c r="S119" s="47"/>
      <c r="T119" s="70"/>
      <c r="U119" s="59">
        <f t="shared" si="18"/>
        <v>0</v>
      </c>
    </row>
    <row r="120" spans="1:21" ht="15.75" customHeight="1">
      <c r="A120" s="195" t="s">
        <v>9</v>
      </c>
      <c r="B120" s="56" t="s">
        <v>13</v>
      </c>
      <c r="C120" s="56"/>
      <c r="D120" s="56"/>
      <c r="E120" s="56"/>
      <c r="F120" s="56"/>
      <c r="G120" s="56"/>
      <c r="H120" s="56"/>
      <c r="I120" s="56"/>
      <c r="J120" s="56"/>
      <c r="K120" s="196" t="s">
        <v>9</v>
      </c>
      <c r="L120" s="56" t="s">
        <v>13</v>
      </c>
      <c r="M120" s="56"/>
      <c r="N120" s="56"/>
      <c r="O120" s="56"/>
      <c r="P120" s="56"/>
      <c r="Q120" s="56"/>
      <c r="R120" s="56"/>
      <c r="S120" s="56"/>
      <c r="T120" s="67"/>
      <c r="U120" s="59">
        <f t="shared" si="18"/>
        <v>0</v>
      </c>
    </row>
    <row r="121" spans="1:21" ht="15.75" customHeight="1">
      <c r="A121" s="230"/>
      <c r="B121" s="4" t="s">
        <v>14</v>
      </c>
      <c r="C121" s="4"/>
      <c r="D121" s="4"/>
      <c r="E121" s="4"/>
      <c r="F121" s="4"/>
      <c r="G121" s="4"/>
      <c r="H121" s="4"/>
      <c r="I121" s="4"/>
      <c r="J121" s="4"/>
      <c r="K121" s="227"/>
      <c r="L121" s="4" t="s">
        <v>14</v>
      </c>
      <c r="M121" s="4"/>
      <c r="N121" s="4"/>
      <c r="O121" s="4"/>
      <c r="P121" s="4"/>
      <c r="Q121" s="4"/>
      <c r="R121" s="4"/>
      <c r="S121" s="4"/>
      <c r="T121" s="50"/>
      <c r="U121" s="59">
        <f t="shared" si="18"/>
        <v>0</v>
      </c>
    </row>
    <row r="122" spans="1:21" ht="15.75" customHeight="1">
      <c r="A122" s="230"/>
      <c r="B122" s="4" t="s">
        <v>15</v>
      </c>
      <c r="C122" s="4"/>
      <c r="D122" s="4"/>
      <c r="E122" s="4"/>
      <c r="F122" s="4"/>
      <c r="G122" s="4"/>
      <c r="H122" s="4"/>
      <c r="I122" s="4"/>
      <c r="J122" s="4"/>
      <c r="K122" s="227"/>
      <c r="L122" s="4" t="s">
        <v>15</v>
      </c>
      <c r="M122" s="4"/>
      <c r="N122" s="4"/>
      <c r="O122" s="4"/>
      <c r="P122" s="4"/>
      <c r="Q122" s="4"/>
      <c r="R122" s="4"/>
      <c r="S122" s="4"/>
      <c r="T122" s="50"/>
      <c r="U122" s="59">
        <f t="shared" si="18"/>
        <v>0</v>
      </c>
    </row>
    <row r="123" spans="1:21" ht="15.75" customHeight="1">
      <c r="A123" s="230"/>
      <c r="B123" s="4" t="s">
        <v>16</v>
      </c>
      <c r="C123" s="4"/>
      <c r="D123" s="4"/>
      <c r="E123" s="4"/>
      <c r="F123" s="4"/>
      <c r="G123" s="4"/>
      <c r="H123" s="4"/>
      <c r="I123" s="4"/>
      <c r="J123" s="4"/>
      <c r="K123" s="227"/>
      <c r="L123" s="4" t="s">
        <v>16</v>
      </c>
      <c r="M123" s="4"/>
      <c r="N123" s="4"/>
      <c r="O123" s="4"/>
      <c r="P123" s="4"/>
      <c r="Q123" s="4"/>
      <c r="R123" s="4"/>
      <c r="S123" s="4"/>
      <c r="T123" s="50"/>
      <c r="U123" s="59">
        <f t="shared" si="18"/>
        <v>0</v>
      </c>
    </row>
    <row r="124" spans="1:21" ht="15.75" customHeight="1">
      <c r="A124" s="230"/>
      <c r="B124" s="4" t="s">
        <v>17</v>
      </c>
      <c r="C124" s="4"/>
      <c r="D124" s="4"/>
      <c r="E124" s="4"/>
      <c r="F124" s="4"/>
      <c r="G124" s="4"/>
      <c r="H124" s="4"/>
      <c r="I124" s="4"/>
      <c r="J124" s="4"/>
      <c r="K124" s="227"/>
      <c r="L124" s="4" t="s">
        <v>17</v>
      </c>
      <c r="M124" s="4"/>
      <c r="N124" s="4"/>
      <c r="O124" s="4"/>
      <c r="P124" s="4"/>
      <c r="Q124" s="4"/>
      <c r="R124" s="4"/>
      <c r="S124" s="4"/>
      <c r="T124" s="50"/>
      <c r="U124" s="59">
        <f t="shared" si="18"/>
        <v>0</v>
      </c>
    </row>
    <row r="125" spans="1:21" ht="15.75" customHeight="1">
      <c r="A125" s="230"/>
      <c r="B125" s="46" t="s">
        <v>18</v>
      </c>
      <c r="C125" s="46"/>
      <c r="D125" s="46"/>
      <c r="E125" s="46"/>
      <c r="F125" s="46"/>
      <c r="G125" s="46"/>
      <c r="H125" s="46"/>
      <c r="I125" s="46"/>
      <c r="J125" s="46"/>
      <c r="K125" s="227"/>
      <c r="L125" s="46" t="s">
        <v>18</v>
      </c>
      <c r="M125" s="46"/>
      <c r="N125" s="46"/>
      <c r="O125" s="46"/>
      <c r="P125" s="46"/>
      <c r="Q125" s="46"/>
      <c r="R125" s="46"/>
      <c r="S125" s="46"/>
      <c r="T125" s="69"/>
      <c r="U125" s="59">
        <f t="shared" si="18"/>
        <v>0</v>
      </c>
    </row>
    <row r="126" spans="1:21" ht="15.75" customHeight="1">
      <c r="A126" s="193" t="s">
        <v>10</v>
      </c>
      <c r="B126" s="63" t="s">
        <v>13</v>
      </c>
      <c r="C126" s="71"/>
      <c r="D126" s="71"/>
      <c r="E126" s="71"/>
      <c r="F126" s="71"/>
      <c r="G126" s="71"/>
      <c r="H126" s="71"/>
      <c r="I126" s="71"/>
      <c r="J126" s="71"/>
      <c r="K126" s="194" t="s">
        <v>10</v>
      </c>
      <c r="L126" s="63" t="s">
        <v>13</v>
      </c>
      <c r="M126" s="71"/>
      <c r="N126" s="71"/>
      <c r="O126" s="71"/>
      <c r="P126" s="71"/>
      <c r="Q126" s="71"/>
      <c r="R126" s="71"/>
      <c r="S126" s="71"/>
      <c r="T126" s="72"/>
      <c r="U126" s="59">
        <f t="shared" si="18"/>
        <v>0</v>
      </c>
    </row>
    <row r="127" spans="1:21" ht="15.75" customHeight="1">
      <c r="A127" s="230"/>
      <c r="B127" s="6" t="s">
        <v>14</v>
      </c>
      <c r="C127" s="8"/>
      <c r="D127" s="8"/>
      <c r="E127" s="8"/>
      <c r="F127" s="8"/>
      <c r="G127" s="8"/>
      <c r="H127" s="8"/>
      <c r="I127" s="8"/>
      <c r="J127" s="8"/>
      <c r="K127" s="227"/>
      <c r="L127" s="6" t="s">
        <v>14</v>
      </c>
      <c r="M127" s="8"/>
      <c r="N127" s="8"/>
      <c r="O127" s="8"/>
      <c r="P127" s="8"/>
      <c r="Q127" s="8"/>
      <c r="R127" s="8"/>
      <c r="S127" s="8"/>
      <c r="T127" s="52"/>
      <c r="U127" s="59">
        <f t="shared" si="18"/>
        <v>0</v>
      </c>
    </row>
    <row r="128" spans="1:21" ht="15.75" customHeight="1">
      <c r="A128" s="230"/>
      <c r="B128" s="6" t="s">
        <v>15</v>
      </c>
      <c r="C128" s="8"/>
      <c r="D128" s="8"/>
      <c r="E128" s="8"/>
      <c r="F128" s="8"/>
      <c r="G128" s="8"/>
      <c r="H128" s="8"/>
      <c r="I128" s="8"/>
      <c r="J128" s="8"/>
      <c r="K128" s="227"/>
      <c r="L128" s="6" t="s">
        <v>15</v>
      </c>
      <c r="M128" s="8"/>
      <c r="N128" s="8"/>
      <c r="O128" s="8"/>
      <c r="P128" s="8"/>
      <c r="Q128" s="8"/>
      <c r="R128" s="8"/>
      <c r="S128" s="8"/>
      <c r="T128" s="52"/>
      <c r="U128" s="59">
        <f t="shared" si="18"/>
        <v>0</v>
      </c>
    </row>
    <row r="129" spans="1:40" ht="15.75" customHeight="1">
      <c r="A129" s="230"/>
      <c r="B129" s="6" t="s">
        <v>16</v>
      </c>
      <c r="C129" s="8"/>
      <c r="D129" s="8"/>
      <c r="E129" s="8"/>
      <c r="F129" s="8"/>
      <c r="G129" s="8"/>
      <c r="H129" s="8"/>
      <c r="I129" s="8"/>
      <c r="J129" s="8"/>
      <c r="K129" s="227"/>
      <c r="L129" s="6" t="s">
        <v>16</v>
      </c>
      <c r="M129" s="8"/>
      <c r="N129" s="8"/>
      <c r="O129" s="8"/>
      <c r="P129" s="8"/>
      <c r="Q129" s="8"/>
      <c r="R129" s="8"/>
      <c r="S129" s="8"/>
      <c r="T129" s="52"/>
      <c r="U129" s="59">
        <f t="shared" si="18"/>
        <v>0</v>
      </c>
    </row>
    <row r="130" spans="1:40" ht="15.75" customHeight="1">
      <c r="A130" s="230"/>
      <c r="B130" s="6" t="s">
        <v>17</v>
      </c>
      <c r="C130" s="8"/>
      <c r="D130" s="8"/>
      <c r="E130" s="8"/>
      <c r="F130" s="8"/>
      <c r="G130" s="8"/>
      <c r="H130" s="8"/>
      <c r="I130" s="8"/>
      <c r="J130" s="8"/>
      <c r="K130" s="227"/>
      <c r="L130" s="6" t="s">
        <v>17</v>
      </c>
      <c r="M130" s="8"/>
      <c r="N130" s="8"/>
      <c r="O130" s="8"/>
      <c r="P130" s="8"/>
      <c r="Q130" s="8"/>
      <c r="R130" s="8"/>
      <c r="S130" s="8"/>
      <c r="T130" s="52"/>
      <c r="U130" s="59">
        <f t="shared" si="18"/>
        <v>0</v>
      </c>
    </row>
    <row r="131" spans="1:40" ht="15.75" customHeight="1">
      <c r="A131" s="230"/>
      <c r="B131" s="47" t="s">
        <v>18</v>
      </c>
      <c r="C131" s="77"/>
      <c r="D131" s="77"/>
      <c r="E131" s="77"/>
      <c r="F131" s="77"/>
      <c r="G131" s="77"/>
      <c r="H131" s="77"/>
      <c r="I131" s="77"/>
      <c r="J131" s="77"/>
      <c r="K131" s="227"/>
      <c r="L131" s="47" t="s">
        <v>18</v>
      </c>
      <c r="M131" s="77"/>
      <c r="N131" s="77"/>
      <c r="O131" s="77"/>
      <c r="P131" s="77"/>
      <c r="Q131" s="77"/>
      <c r="R131" s="77"/>
      <c r="S131" s="77"/>
      <c r="T131" s="78"/>
      <c r="U131" s="59">
        <f t="shared" si="18"/>
        <v>0</v>
      </c>
    </row>
    <row r="132" spans="1:40" ht="15.75" customHeight="1">
      <c r="A132" s="195" t="s">
        <v>11</v>
      </c>
      <c r="B132" s="56" t="s">
        <v>13</v>
      </c>
      <c r="C132" s="73"/>
      <c r="D132" s="73"/>
      <c r="E132" s="73"/>
      <c r="F132" s="73"/>
      <c r="G132" s="73"/>
      <c r="H132" s="73"/>
      <c r="I132" s="73"/>
      <c r="J132" s="73"/>
      <c r="K132" s="196" t="s">
        <v>11</v>
      </c>
      <c r="L132" s="56" t="s">
        <v>13</v>
      </c>
      <c r="M132" s="73"/>
      <c r="N132" s="73"/>
      <c r="O132" s="73"/>
      <c r="P132" s="73"/>
      <c r="Q132" s="73"/>
      <c r="R132" s="73"/>
      <c r="S132" s="73"/>
      <c r="T132" s="74"/>
      <c r="U132" s="59">
        <f t="shared" si="18"/>
        <v>0</v>
      </c>
    </row>
    <row r="133" spans="1:40" ht="15.75" customHeight="1">
      <c r="A133" s="230"/>
      <c r="B133" s="4" t="s">
        <v>14</v>
      </c>
      <c r="C133" s="9"/>
      <c r="D133" s="9"/>
      <c r="E133" s="9"/>
      <c r="F133" s="9"/>
      <c r="G133" s="9"/>
      <c r="H133" s="9"/>
      <c r="I133" s="9"/>
      <c r="J133" s="9"/>
      <c r="K133" s="227"/>
      <c r="L133" s="4" t="s">
        <v>14</v>
      </c>
      <c r="M133" s="9"/>
      <c r="N133" s="9"/>
      <c r="O133" s="9"/>
      <c r="P133" s="9"/>
      <c r="Q133" s="9"/>
      <c r="R133" s="9"/>
      <c r="S133" s="9"/>
      <c r="T133" s="53"/>
      <c r="U133" s="59">
        <f t="shared" si="18"/>
        <v>0</v>
      </c>
    </row>
    <row r="134" spans="1:40" ht="15.75" customHeight="1">
      <c r="A134" s="230"/>
      <c r="B134" s="4" t="s">
        <v>15</v>
      </c>
      <c r="C134" s="9"/>
      <c r="D134" s="9"/>
      <c r="E134" s="9"/>
      <c r="F134" s="9"/>
      <c r="G134" s="9"/>
      <c r="H134" s="9"/>
      <c r="I134" s="9"/>
      <c r="J134" s="9"/>
      <c r="K134" s="227"/>
      <c r="L134" s="4" t="s">
        <v>15</v>
      </c>
      <c r="M134" s="9"/>
      <c r="N134" s="9"/>
      <c r="O134" s="9"/>
      <c r="P134" s="9"/>
      <c r="Q134" s="9"/>
      <c r="R134" s="9"/>
      <c r="S134" s="9"/>
      <c r="T134" s="53"/>
      <c r="U134" s="59">
        <f t="shared" si="18"/>
        <v>0</v>
      </c>
    </row>
    <row r="135" spans="1:40" ht="15.75" customHeight="1">
      <c r="A135" s="230"/>
      <c r="B135" s="4" t="s">
        <v>16</v>
      </c>
      <c r="C135" s="9"/>
      <c r="D135" s="9"/>
      <c r="E135" s="9"/>
      <c r="F135" s="9"/>
      <c r="G135" s="9"/>
      <c r="H135" s="9"/>
      <c r="I135" s="9"/>
      <c r="J135" s="9"/>
      <c r="K135" s="227"/>
      <c r="L135" s="4" t="s">
        <v>16</v>
      </c>
      <c r="M135" s="9"/>
      <c r="N135" s="9"/>
      <c r="O135" s="9"/>
      <c r="P135" s="9"/>
      <c r="Q135" s="9"/>
      <c r="R135" s="9"/>
      <c r="S135" s="9"/>
      <c r="T135" s="53"/>
      <c r="U135" s="59">
        <f t="shared" si="18"/>
        <v>0</v>
      </c>
    </row>
    <row r="136" spans="1:40" ht="15.75" customHeight="1">
      <c r="A136" s="230"/>
      <c r="B136" s="4" t="s">
        <v>17</v>
      </c>
      <c r="C136" s="9"/>
      <c r="D136" s="9"/>
      <c r="E136" s="9"/>
      <c r="F136" s="9"/>
      <c r="G136" s="9"/>
      <c r="H136" s="9"/>
      <c r="I136" s="9"/>
      <c r="J136" s="9"/>
      <c r="K136" s="227"/>
      <c r="L136" s="4" t="s">
        <v>17</v>
      </c>
      <c r="M136" s="9"/>
      <c r="N136" s="9"/>
      <c r="O136" s="9"/>
      <c r="P136" s="9"/>
      <c r="Q136" s="9"/>
      <c r="R136" s="9"/>
      <c r="S136" s="9"/>
      <c r="T136" s="53"/>
      <c r="U136" s="59">
        <f t="shared" si="18"/>
        <v>0</v>
      </c>
    </row>
    <row r="137" spans="1:40" ht="15.75" customHeight="1">
      <c r="A137" s="231"/>
      <c r="B137" s="61" t="s">
        <v>18</v>
      </c>
      <c r="C137" s="75"/>
      <c r="D137" s="75"/>
      <c r="E137" s="75"/>
      <c r="F137" s="75"/>
      <c r="G137" s="75"/>
      <c r="H137" s="75"/>
      <c r="I137" s="75"/>
      <c r="J137" s="75"/>
      <c r="K137" s="232"/>
      <c r="L137" s="61" t="s">
        <v>18</v>
      </c>
      <c r="M137" s="75"/>
      <c r="N137" s="75"/>
      <c r="O137" s="75"/>
      <c r="P137" s="75"/>
      <c r="Q137" s="75"/>
      <c r="R137" s="75"/>
      <c r="S137" s="75"/>
      <c r="T137" s="76"/>
      <c r="U137" s="59">
        <f t="shared" si="18"/>
        <v>0</v>
      </c>
    </row>
    <row r="139" spans="1:40" ht="15.75" customHeight="1">
      <c r="A139" s="1"/>
      <c r="B139" s="1"/>
      <c r="C139" s="183" t="s">
        <v>0</v>
      </c>
      <c r="D139" s="225"/>
      <c r="E139" s="225"/>
      <c r="F139" s="225"/>
      <c r="G139" s="226"/>
      <c r="H139" s="2"/>
      <c r="I139" s="1"/>
    </row>
    <row r="140" spans="1:40" ht="15.75" customHeight="1">
      <c r="A140" s="1"/>
      <c r="B140" s="183" t="s">
        <v>1</v>
      </c>
      <c r="C140" s="225"/>
      <c r="D140" s="226"/>
      <c r="E140" s="1"/>
      <c r="F140" s="184" t="s">
        <v>2</v>
      </c>
      <c r="G140" s="225"/>
      <c r="H140" s="226"/>
      <c r="I140" s="1"/>
      <c r="K140" s="1"/>
      <c r="L140" s="183" t="s">
        <v>26</v>
      </c>
      <c r="M140" s="225"/>
      <c r="N140" s="226"/>
      <c r="O140" s="1"/>
      <c r="P140" s="184" t="s">
        <v>2</v>
      </c>
      <c r="Q140" s="225"/>
      <c r="R140" s="226"/>
      <c r="S140" s="1"/>
    </row>
    <row r="141" spans="1:40" ht="15.75" customHeight="1">
      <c r="A141" s="54" t="s">
        <v>35</v>
      </c>
      <c r="B141" s="54" t="s">
        <v>4</v>
      </c>
      <c r="C141" s="54" t="s">
        <v>12</v>
      </c>
      <c r="D141" s="54" t="s">
        <v>19</v>
      </c>
      <c r="E141" s="54" t="s">
        <v>20</v>
      </c>
      <c r="F141" s="54" t="s">
        <v>21</v>
      </c>
      <c r="G141" s="54" t="s">
        <v>22</v>
      </c>
      <c r="H141" s="54" t="s">
        <v>23</v>
      </c>
      <c r="I141" s="54" t="s">
        <v>24</v>
      </c>
      <c r="J141" s="54" t="s">
        <v>25</v>
      </c>
      <c r="K141" s="54" t="s">
        <v>35</v>
      </c>
      <c r="L141" s="54" t="s">
        <v>4</v>
      </c>
      <c r="M141" s="54" t="s">
        <v>27</v>
      </c>
      <c r="N141" s="54" t="s">
        <v>28</v>
      </c>
      <c r="O141" s="54" t="s">
        <v>29</v>
      </c>
      <c r="P141" s="54" t="s">
        <v>30</v>
      </c>
      <c r="Q141" s="54" t="s">
        <v>31</v>
      </c>
      <c r="R141" s="54" t="s">
        <v>32</v>
      </c>
      <c r="S141" s="54" t="s">
        <v>33</v>
      </c>
      <c r="T141" s="54" t="s">
        <v>34</v>
      </c>
      <c r="U141" s="54" t="s">
        <v>55</v>
      </c>
    </row>
    <row r="142" spans="1:40" ht="15.75" customHeight="1">
      <c r="A142" s="195" t="s">
        <v>5</v>
      </c>
      <c r="B142" s="56" t="s">
        <v>13</v>
      </c>
      <c r="C142" s="57"/>
      <c r="D142" s="57"/>
      <c r="E142" s="56"/>
      <c r="F142" s="56"/>
      <c r="G142" s="56"/>
      <c r="H142" s="56"/>
      <c r="I142" s="56"/>
      <c r="J142" s="56"/>
      <c r="K142" s="196" t="s">
        <v>5</v>
      </c>
      <c r="L142" s="56" t="s">
        <v>13</v>
      </c>
      <c r="M142" s="56"/>
      <c r="N142" s="56"/>
      <c r="O142" s="56"/>
      <c r="P142" s="56"/>
      <c r="Q142" s="56"/>
      <c r="R142" s="57"/>
      <c r="S142" s="57"/>
      <c r="T142" s="58"/>
      <c r="U142" s="59">
        <f>SUM(M142:T142,C142:J142)</f>
        <v>0</v>
      </c>
      <c r="W142" s="197" t="s">
        <v>2</v>
      </c>
      <c r="X142" s="198"/>
      <c r="AG142" s="190" t="s">
        <v>58</v>
      </c>
      <c r="AH142" s="191"/>
      <c r="AI142" s="191"/>
      <c r="AJ142" s="191"/>
      <c r="AK142" s="191"/>
      <c r="AL142" s="191"/>
      <c r="AM142" s="191"/>
      <c r="AN142" s="192"/>
    </row>
    <row r="143" spans="1:40" ht="15.75" customHeight="1">
      <c r="A143" s="230"/>
      <c r="B143" s="4" t="s">
        <v>14</v>
      </c>
      <c r="C143" s="5"/>
      <c r="D143" s="5"/>
      <c r="E143" s="4"/>
      <c r="F143" s="4"/>
      <c r="G143" s="4"/>
      <c r="H143" s="4"/>
      <c r="I143" s="4"/>
      <c r="J143" s="4"/>
      <c r="K143" s="227"/>
      <c r="L143" s="4" t="s">
        <v>14</v>
      </c>
      <c r="M143" s="4"/>
      <c r="N143" s="4"/>
      <c r="O143" s="4"/>
      <c r="P143" s="4"/>
      <c r="Q143" s="4"/>
      <c r="R143" s="5"/>
      <c r="S143" s="5"/>
      <c r="T143" s="49"/>
      <c r="U143" s="59">
        <f t="shared" ref="U143:U183" si="26">SUM(M143:T143,C143:J143)</f>
        <v>0</v>
      </c>
      <c r="W143" s="55" t="s">
        <v>5</v>
      </c>
      <c r="X143" s="48">
        <f>SUM(U142:U147)</f>
        <v>0</v>
      </c>
      <c r="AG143" s="98" t="s">
        <v>4</v>
      </c>
      <c r="AH143" s="98" t="s">
        <v>5</v>
      </c>
      <c r="AI143" s="98" t="s">
        <v>6</v>
      </c>
      <c r="AJ143" s="98" t="s">
        <v>7</v>
      </c>
      <c r="AK143" s="98" t="s">
        <v>8</v>
      </c>
      <c r="AL143" s="98" t="s">
        <v>9</v>
      </c>
      <c r="AM143" s="98" t="s">
        <v>10</v>
      </c>
      <c r="AN143" s="98" t="s">
        <v>11</v>
      </c>
    </row>
    <row r="144" spans="1:40" ht="15.75" customHeight="1">
      <c r="A144" s="230"/>
      <c r="B144" s="4" t="s">
        <v>15</v>
      </c>
      <c r="C144" s="5"/>
      <c r="D144" s="5"/>
      <c r="E144" s="4"/>
      <c r="F144" s="4"/>
      <c r="G144" s="4"/>
      <c r="H144" s="4"/>
      <c r="I144" s="4"/>
      <c r="J144" s="4"/>
      <c r="K144" s="227"/>
      <c r="L144" s="4" t="s">
        <v>15</v>
      </c>
      <c r="M144" s="4"/>
      <c r="N144" s="4"/>
      <c r="O144" s="4"/>
      <c r="P144" s="4"/>
      <c r="Q144" s="4"/>
      <c r="R144" s="5"/>
      <c r="S144" s="5"/>
      <c r="T144" s="49"/>
      <c r="U144" s="59">
        <f t="shared" si="26"/>
        <v>0</v>
      </c>
      <c r="W144" s="55" t="s">
        <v>6</v>
      </c>
      <c r="X144" s="48">
        <f>SUM(U148:U153)</f>
        <v>0</v>
      </c>
      <c r="AG144" s="79" t="s">
        <v>13</v>
      </c>
      <c r="AH144" s="79">
        <f t="shared" ref="AH144:AH149" si="27">U142</f>
        <v>0</v>
      </c>
      <c r="AI144" s="79">
        <f t="shared" ref="AI144:AI149" si="28">U148</f>
        <v>0</v>
      </c>
      <c r="AJ144" s="79">
        <f t="shared" ref="AJ144:AJ149" si="29">U154</f>
        <v>0</v>
      </c>
      <c r="AK144" s="79">
        <f t="shared" ref="AK144:AK149" si="30">U160</f>
        <v>0</v>
      </c>
      <c r="AL144" s="79">
        <f t="shared" ref="AL144:AL149" si="31">U166</f>
        <v>0</v>
      </c>
      <c r="AM144" s="79">
        <f t="shared" ref="AM144:AM149" si="32">U172</f>
        <v>0</v>
      </c>
      <c r="AN144" s="79">
        <f t="shared" ref="AN144:AN149" si="33">U178</f>
        <v>0</v>
      </c>
    </row>
    <row r="145" spans="1:40" ht="15.75" customHeight="1">
      <c r="A145" s="230"/>
      <c r="B145" s="4" t="s">
        <v>16</v>
      </c>
      <c r="C145" s="5"/>
      <c r="D145" s="5"/>
      <c r="E145" s="4"/>
      <c r="F145" s="4"/>
      <c r="G145" s="4"/>
      <c r="H145" s="4"/>
      <c r="I145" s="4"/>
      <c r="J145" s="4"/>
      <c r="K145" s="227"/>
      <c r="L145" s="4" t="s">
        <v>16</v>
      </c>
      <c r="M145" s="4"/>
      <c r="N145" s="4"/>
      <c r="O145" s="4"/>
      <c r="P145" s="4"/>
      <c r="Q145" s="4"/>
      <c r="R145" s="5"/>
      <c r="S145" s="5"/>
      <c r="T145" s="49"/>
      <c r="U145" s="59">
        <f t="shared" si="26"/>
        <v>0</v>
      </c>
      <c r="W145" s="55" t="s">
        <v>7</v>
      </c>
      <c r="X145" s="48">
        <f>SUM(U154:U159)</f>
        <v>0</v>
      </c>
      <c r="AG145" s="97" t="s">
        <v>14</v>
      </c>
      <c r="AH145" s="97">
        <f t="shared" si="27"/>
        <v>0</v>
      </c>
      <c r="AI145" s="97">
        <f t="shared" si="28"/>
        <v>0</v>
      </c>
      <c r="AJ145" s="97">
        <f t="shared" si="29"/>
        <v>0</v>
      </c>
      <c r="AK145" s="97">
        <f t="shared" si="30"/>
        <v>0</v>
      </c>
      <c r="AL145" s="97">
        <f t="shared" si="31"/>
        <v>0</v>
      </c>
      <c r="AM145" s="97">
        <f t="shared" si="32"/>
        <v>0</v>
      </c>
      <c r="AN145" s="97">
        <f t="shared" si="33"/>
        <v>0</v>
      </c>
    </row>
    <row r="146" spans="1:40" ht="15.75" customHeight="1">
      <c r="A146" s="230"/>
      <c r="B146" s="4" t="s">
        <v>17</v>
      </c>
      <c r="C146" s="5"/>
      <c r="D146" s="5"/>
      <c r="E146" s="4"/>
      <c r="F146" s="4"/>
      <c r="G146" s="4"/>
      <c r="H146" s="4"/>
      <c r="I146" s="4"/>
      <c r="J146" s="4"/>
      <c r="K146" s="227"/>
      <c r="L146" s="4" t="s">
        <v>17</v>
      </c>
      <c r="M146" s="4"/>
      <c r="N146" s="4"/>
      <c r="O146" s="4"/>
      <c r="P146" s="4"/>
      <c r="Q146" s="4"/>
      <c r="R146" s="5"/>
      <c r="S146" s="5"/>
      <c r="T146" s="49"/>
      <c r="U146" s="59">
        <f t="shared" si="26"/>
        <v>0</v>
      </c>
      <c r="W146" s="55" t="s">
        <v>61</v>
      </c>
      <c r="X146" s="48">
        <f>SUM(U160:U165)</f>
        <v>0</v>
      </c>
      <c r="AG146" s="79" t="s">
        <v>15</v>
      </c>
      <c r="AH146" s="79">
        <f t="shared" si="27"/>
        <v>0</v>
      </c>
      <c r="AI146" s="79">
        <f t="shared" si="28"/>
        <v>0</v>
      </c>
      <c r="AJ146" s="79">
        <f t="shared" si="29"/>
        <v>0</v>
      </c>
      <c r="AK146" s="79">
        <f t="shared" si="30"/>
        <v>0</v>
      </c>
      <c r="AL146" s="79">
        <f t="shared" si="31"/>
        <v>0</v>
      </c>
      <c r="AM146" s="79">
        <f t="shared" si="32"/>
        <v>0</v>
      </c>
      <c r="AN146" s="79">
        <f t="shared" si="33"/>
        <v>0</v>
      </c>
    </row>
    <row r="147" spans="1:40" ht="15.75" customHeight="1">
      <c r="A147" s="230"/>
      <c r="B147" s="46" t="s">
        <v>18</v>
      </c>
      <c r="C147" s="64"/>
      <c r="D147" s="64"/>
      <c r="E147" s="46"/>
      <c r="F147" s="46"/>
      <c r="G147" s="46"/>
      <c r="H147" s="46"/>
      <c r="I147" s="46"/>
      <c r="J147" s="46"/>
      <c r="K147" s="227"/>
      <c r="L147" s="46" t="s">
        <v>18</v>
      </c>
      <c r="M147" s="46"/>
      <c r="N147" s="46"/>
      <c r="O147" s="46"/>
      <c r="P147" s="46"/>
      <c r="Q147" s="46"/>
      <c r="R147" s="64"/>
      <c r="S147" s="64"/>
      <c r="T147" s="65"/>
      <c r="U147" s="59">
        <f t="shared" si="26"/>
        <v>0</v>
      </c>
      <c r="W147" s="55" t="s">
        <v>9</v>
      </c>
      <c r="X147" s="48">
        <f>SUM(U166:U171)</f>
        <v>0</v>
      </c>
      <c r="AG147" s="97" t="s">
        <v>16</v>
      </c>
      <c r="AH147" s="97">
        <f t="shared" si="27"/>
        <v>0</v>
      </c>
      <c r="AI147" s="97">
        <f t="shared" si="28"/>
        <v>0</v>
      </c>
      <c r="AJ147" s="97">
        <f t="shared" si="29"/>
        <v>0</v>
      </c>
      <c r="AK147" s="97">
        <f t="shared" si="30"/>
        <v>0</v>
      </c>
      <c r="AL147" s="97">
        <f t="shared" si="31"/>
        <v>0</v>
      </c>
      <c r="AM147" s="97">
        <f t="shared" si="32"/>
        <v>0</v>
      </c>
      <c r="AN147" s="97">
        <f t="shared" si="33"/>
        <v>0</v>
      </c>
    </row>
    <row r="148" spans="1:40" ht="15.75" customHeight="1">
      <c r="A148" s="193" t="s">
        <v>6</v>
      </c>
      <c r="B148" s="63" t="s">
        <v>13</v>
      </c>
      <c r="C148" s="57"/>
      <c r="D148" s="57"/>
      <c r="E148" s="57"/>
      <c r="F148" s="63"/>
      <c r="G148" s="63"/>
      <c r="H148" s="63"/>
      <c r="I148" s="63"/>
      <c r="J148" s="63"/>
      <c r="K148" s="194" t="s">
        <v>6</v>
      </c>
      <c r="L148" s="63" t="s">
        <v>13</v>
      </c>
      <c r="M148" s="63"/>
      <c r="N148" s="63"/>
      <c r="O148" s="63"/>
      <c r="P148" s="63"/>
      <c r="Q148" s="57"/>
      <c r="R148" s="57"/>
      <c r="S148" s="57"/>
      <c r="T148" s="58"/>
      <c r="U148" s="59">
        <f t="shared" si="26"/>
        <v>0</v>
      </c>
      <c r="W148" s="55" t="s">
        <v>10</v>
      </c>
      <c r="X148" s="48">
        <f>SUM(U172:U177)</f>
        <v>0</v>
      </c>
      <c r="AG148" s="79" t="s">
        <v>17</v>
      </c>
      <c r="AH148" s="79">
        <f t="shared" si="27"/>
        <v>0</v>
      </c>
      <c r="AI148" s="79">
        <f t="shared" si="28"/>
        <v>0</v>
      </c>
      <c r="AJ148" s="79">
        <f t="shared" si="29"/>
        <v>0</v>
      </c>
      <c r="AK148" s="79">
        <f t="shared" si="30"/>
        <v>0</v>
      </c>
      <c r="AL148" s="79">
        <f t="shared" si="31"/>
        <v>0</v>
      </c>
      <c r="AM148" s="79">
        <f t="shared" si="32"/>
        <v>0</v>
      </c>
      <c r="AN148" s="79">
        <f t="shared" si="33"/>
        <v>0</v>
      </c>
    </row>
    <row r="149" spans="1:40" ht="15.75" customHeight="1">
      <c r="A149" s="230"/>
      <c r="B149" s="6" t="s">
        <v>14</v>
      </c>
      <c r="C149" s="5"/>
      <c r="D149" s="5"/>
      <c r="E149" s="5"/>
      <c r="F149" s="6"/>
      <c r="G149" s="6"/>
      <c r="H149" s="6"/>
      <c r="I149" s="6"/>
      <c r="J149" s="6"/>
      <c r="K149" s="227"/>
      <c r="L149" s="6" t="s">
        <v>14</v>
      </c>
      <c r="M149" s="6"/>
      <c r="N149" s="6"/>
      <c r="O149" s="6"/>
      <c r="P149" s="6"/>
      <c r="Q149" s="5"/>
      <c r="R149" s="5"/>
      <c r="S149" s="5"/>
      <c r="T149" s="49"/>
      <c r="U149" s="59">
        <f t="shared" si="26"/>
        <v>0</v>
      </c>
      <c r="W149" s="81" t="s">
        <v>11</v>
      </c>
      <c r="X149" s="80">
        <f>SUM(U178:U183)</f>
        <v>0</v>
      </c>
      <c r="AG149" s="97" t="s">
        <v>18</v>
      </c>
      <c r="AH149" s="97">
        <f t="shared" si="27"/>
        <v>0</v>
      </c>
      <c r="AI149" s="97">
        <f t="shared" si="28"/>
        <v>0</v>
      </c>
      <c r="AJ149" s="97">
        <f t="shared" si="29"/>
        <v>0</v>
      </c>
      <c r="AK149" s="97">
        <f t="shared" si="30"/>
        <v>0</v>
      </c>
      <c r="AL149" s="97">
        <f t="shared" si="31"/>
        <v>0</v>
      </c>
      <c r="AM149" s="97">
        <f t="shared" si="32"/>
        <v>0</v>
      </c>
      <c r="AN149" s="97">
        <f t="shared" si="33"/>
        <v>0</v>
      </c>
    </row>
    <row r="150" spans="1:40" ht="15.75" customHeight="1">
      <c r="A150" s="230"/>
      <c r="B150" s="6" t="s">
        <v>15</v>
      </c>
      <c r="C150" s="5"/>
      <c r="D150" s="5"/>
      <c r="E150" s="5"/>
      <c r="F150" s="6"/>
      <c r="G150" s="6"/>
      <c r="H150" s="6"/>
      <c r="I150" s="6"/>
      <c r="J150" s="6"/>
      <c r="K150" s="227"/>
      <c r="L150" s="6" t="s">
        <v>15</v>
      </c>
      <c r="M150" s="6"/>
      <c r="N150" s="6"/>
      <c r="O150" s="6"/>
      <c r="P150" s="6"/>
      <c r="Q150" s="5"/>
      <c r="R150" s="5"/>
      <c r="S150" s="5"/>
      <c r="T150" s="49"/>
      <c r="U150" s="59">
        <f t="shared" si="26"/>
        <v>0</v>
      </c>
      <c r="W150" s="79" t="s">
        <v>63</v>
      </c>
      <c r="X150" s="82">
        <f>SUM(X143:X149)</f>
        <v>0</v>
      </c>
    </row>
    <row r="151" spans="1:40" ht="15.75" customHeight="1">
      <c r="A151" s="230"/>
      <c r="B151" s="6" t="s">
        <v>16</v>
      </c>
      <c r="C151" s="5"/>
      <c r="D151" s="5"/>
      <c r="E151" s="5"/>
      <c r="F151" s="6"/>
      <c r="G151" s="6"/>
      <c r="H151" s="6"/>
      <c r="I151" s="6"/>
      <c r="J151" s="6"/>
      <c r="K151" s="227"/>
      <c r="L151" s="6" t="s">
        <v>16</v>
      </c>
      <c r="M151" s="6"/>
      <c r="N151" s="6"/>
      <c r="O151" s="6"/>
      <c r="P151" s="6"/>
      <c r="Q151" s="5"/>
      <c r="R151" s="5"/>
      <c r="S151" s="5"/>
      <c r="T151" s="49"/>
      <c r="U151" s="59">
        <f t="shared" si="26"/>
        <v>0</v>
      </c>
    </row>
    <row r="152" spans="1:40" ht="15.75" customHeight="1">
      <c r="A152" s="230"/>
      <c r="B152" s="6" t="s">
        <v>17</v>
      </c>
      <c r="C152" s="5"/>
      <c r="D152" s="5"/>
      <c r="E152" s="5"/>
      <c r="F152" s="6"/>
      <c r="G152" s="6"/>
      <c r="H152" s="6"/>
      <c r="I152" s="6"/>
      <c r="J152" s="6"/>
      <c r="K152" s="227"/>
      <c r="L152" s="6" t="s">
        <v>17</v>
      </c>
      <c r="M152" s="6"/>
      <c r="N152" s="6"/>
      <c r="O152" s="6"/>
      <c r="P152" s="6"/>
      <c r="Q152" s="5"/>
      <c r="R152" s="5"/>
      <c r="S152" s="5"/>
      <c r="T152" s="49"/>
      <c r="U152" s="59">
        <f t="shared" si="26"/>
        <v>0</v>
      </c>
    </row>
    <row r="153" spans="1:40" ht="15.75" customHeight="1">
      <c r="A153" s="230"/>
      <c r="B153" s="47" t="s">
        <v>18</v>
      </c>
      <c r="C153" s="64"/>
      <c r="D153" s="64"/>
      <c r="E153" s="64"/>
      <c r="F153" s="47"/>
      <c r="G153" s="47"/>
      <c r="H153" s="47"/>
      <c r="I153" s="47"/>
      <c r="J153" s="47"/>
      <c r="K153" s="227"/>
      <c r="L153" s="47" t="s">
        <v>18</v>
      </c>
      <c r="M153" s="47"/>
      <c r="N153" s="47"/>
      <c r="O153" s="47"/>
      <c r="P153" s="47"/>
      <c r="Q153" s="64"/>
      <c r="R153" s="64"/>
      <c r="S153" s="64"/>
      <c r="T153" s="65"/>
      <c r="U153" s="59">
        <f t="shared" si="26"/>
        <v>0</v>
      </c>
    </row>
    <row r="154" spans="1:40" ht="15.75" customHeight="1">
      <c r="A154" s="195" t="s">
        <v>7</v>
      </c>
      <c r="B154" s="56" t="s">
        <v>13</v>
      </c>
      <c r="C154" s="56"/>
      <c r="D154" s="56"/>
      <c r="E154" s="56"/>
      <c r="F154" s="56"/>
      <c r="G154" s="56"/>
      <c r="H154" s="56"/>
      <c r="I154" s="56"/>
      <c r="J154" s="56"/>
      <c r="K154" s="196" t="s">
        <v>7</v>
      </c>
      <c r="L154" s="56" t="s">
        <v>13</v>
      </c>
      <c r="M154" s="56"/>
      <c r="N154" s="56"/>
      <c r="O154" s="56"/>
      <c r="P154" s="56"/>
      <c r="Q154" s="56"/>
      <c r="R154" s="56"/>
      <c r="S154" s="56"/>
      <c r="T154" s="67"/>
      <c r="U154" s="59">
        <f t="shared" si="26"/>
        <v>0</v>
      </c>
    </row>
    <row r="155" spans="1:40" ht="15.75" customHeight="1">
      <c r="A155" s="230"/>
      <c r="B155" s="4" t="s">
        <v>14</v>
      </c>
      <c r="C155" s="4"/>
      <c r="D155" s="4"/>
      <c r="E155" s="4"/>
      <c r="F155" s="4"/>
      <c r="G155" s="4"/>
      <c r="H155" s="4"/>
      <c r="I155" s="4"/>
      <c r="J155" s="4"/>
      <c r="K155" s="227"/>
      <c r="L155" s="4" t="s">
        <v>14</v>
      </c>
      <c r="M155" s="4"/>
      <c r="N155" s="4"/>
      <c r="O155" s="4"/>
      <c r="P155" s="4"/>
      <c r="Q155" s="4"/>
      <c r="R155" s="4"/>
      <c r="S155" s="4"/>
      <c r="T155" s="50"/>
      <c r="U155" s="59">
        <f t="shared" si="26"/>
        <v>0</v>
      </c>
    </row>
    <row r="156" spans="1:40" ht="15.75" customHeight="1">
      <c r="A156" s="230"/>
      <c r="B156" s="4" t="s">
        <v>15</v>
      </c>
      <c r="C156" s="4"/>
      <c r="D156" s="4"/>
      <c r="E156" s="4"/>
      <c r="F156" s="4"/>
      <c r="G156" s="4"/>
      <c r="H156" s="4"/>
      <c r="I156" s="4"/>
      <c r="J156" s="4"/>
      <c r="K156" s="227"/>
      <c r="L156" s="4" t="s">
        <v>15</v>
      </c>
      <c r="M156" s="4"/>
      <c r="N156" s="4"/>
      <c r="O156" s="4"/>
      <c r="P156" s="4"/>
      <c r="Q156" s="4"/>
      <c r="R156" s="4"/>
      <c r="S156" s="4"/>
      <c r="T156" s="50"/>
      <c r="U156" s="59">
        <f t="shared" si="26"/>
        <v>0</v>
      </c>
    </row>
    <row r="157" spans="1:40" ht="15.75" customHeight="1">
      <c r="A157" s="230"/>
      <c r="B157" s="4" t="s">
        <v>16</v>
      </c>
      <c r="C157" s="4"/>
      <c r="D157" s="4"/>
      <c r="E157" s="4"/>
      <c r="F157" s="4"/>
      <c r="G157" s="4"/>
      <c r="H157" s="4"/>
      <c r="I157" s="4"/>
      <c r="J157" s="4"/>
      <c r="K157" s="227"/>
      <c r="L157" s="4" t="s">
        <v>16</v>
      </c>
      <c r="M157" s="4"/>
      <c r="N157" s="4"/>
      <c r="O157" s="4"/>
      <c r="P157" s="4"/>
      <c r="Q157" s="4"/>
      <c r="R157" s="4"/>
      <c r="S157" s="4"/>
      <c r="T157" s="50"/>
      <c r="U157" s="59">
        <f t="shared" si="26"/>
        <v>0</v>
      </c>
    </row>
    <row r="158" spans="1:40" ht="15.75" customHeight="1">
      <c r="A158" s="230"/>
      <c r="B158" s="4" t="s">
        <v>17</v>
      </c>
      <c r="C158" s="4"/>
      <c r="D158" s="4"/>
      <c r="E158" s="4"/>
      <c r="F158" s="4"/>
      <c r="G158" s="4"/>
      <c r="H158" s="4"/>
      <c r="I158" s="4"/>
      <c r="J158" s="4"/>
      <c r="K158" s="227"/>
      <c r="L158" s="4" t="s">
        <v>17</v>
      </c>
      <c r="M158" s="4"/>
      <c r="N158" s="4"/>
      <c r="O158" s="4"/>
      <c r="P158" s="4"/>
      <c r="Q158" s="4"/>
      <c r="R158" s="4"/>
      <c r="S158" s="4"/>
      <c r="T158" s="50"/>
      <c r="U158" s="59">
        <f t="shared" si="26"/>
        <v>0</v>
      </c>
    </row>
    <row r="159" spans="1:40" ht="15.75" customHeight="1">
      <c r="A159" s="230"/>
      <c r="B159" s="46" t="s">
        <v>18</v>
      </c>
      <c r="C159" s="46"/>
      <c r="D159" s="46"/>
      <c r="E159" s="46"/>
      <c r="F159" s="46"/>
      <c r="G159" s="46"/>
      <c r="H159" s="46"/>
      <c r="I159" s="46"/>
      <c r="J159" s="46"/>
      <c r="K159" s="227"/>
      <c r="L159" s="46" t="s">
        <v>18</v>
      </c>
      <c r="M159" s="46"/>
      <c r="N159" s="46"/>
      <c r="O159" s="46"/>
      <c r="P159" s="46"/>
      <c r="Q159" s="46"/>
      <c r="R159" s="46"/>
      <c r="S159" s="46"/>
      <c r="T159" s="69"/>
      <c r="U159" s="59">
        <f t="shared" si="26"/>
        <v>0</v>
      </c>
    </row>
    <row r="160" spans="1:40" ht="15.75" customHeight="1">
      <c r="A160" s="193" t="s">
        <v>8</v>
      </c>
      <c r="B160" s="63" t="s">
        <v>13</v>
      </c>
      <c r="C160" s="63"/>
      <c r="D160" s="63"/>
      <c r="E160" s="63"/>
      <c r="F160" s="63"/>
      <c r="G160" s="63"/>
      <c r="H160" s="63"/>
      <c r="I160" s="63"/>
      <c r="J160" s="63"/>
      <c r="K160" s="194" t="s">
        <v>8</v>
      </c>
      <c r="L160" s="63" t="s">
        <v>13</v>
      </c>
      <c r="M160" s="63"/>
      <c r="N160" s="63"/>
      <c r="O160" s="63"/>
      <c r="P160" s="63"/>
      <c r="Q160" s="63"/>
      <c r="R160" s="63"/>
      <c r="S160" s="63"/>
      <c r="T160" s="68"/>
      <c r="U160" s="59">
        <f t="shared" si="26"/>
        <v>0</v>
      </c>
    </row>
    <row r="161" spans="1:21" ht="15.75" customHeight="1">
      <c r="A161" s="230"/>
      <c r="B161" s="6" t="s">
        <v>14</v>
      </c>
      <c r="C161" s="6"/>
      <c r="D161" s="6"/>
      <c r="E161" s="6"/>
      <c r="F161" s="6"/>
      <c r="G161" s="6"/>
      <c r="H161" s="6"/>
      <c r="I161" s="6"/>
      <c r="J161" s="6"/>
      <c r="K161" s="227"/>
      <c r="L161" s="6" t="s">
        <v>14</v>
      </c>
      <c r="M161" s="6"/>
      <c r="N161" s="6"/>
      <c r="O161" s="6"/>
      <c r="P161" s="6"/>
      <c r="Q161" s="6"/>
      <c r="R161" s="6"/>
      <c r="S161" s="6"/>
      <c r="T161" s="51"/>
      <c r="U161" s="59">
        <f t="shared" si="26"/>
        <v>0</v>
      </c>
    </row>
    <row r="162" spans="1:21" ht="15.75" customHeight="1">
      <c r="A162" s="230"/>
      <c r="B162" s="6" t="s">
        <v>15</v>
      </c>
      <c r="C162" s="6"/>
      <c r="D162" s="6"/>
      <c r="E162" s="6"/>
      <c r="F162" s="6"/>
      <c r="G162" s="6"/>
      <c r="H162" s="6"/>
      <c r="I162" s="6"/>
      <c r="J162" s="6"/>
      <c r="K162" s="227"/>
      <c r="L162" s="6" t="s">
        <v>15</v>
      </c>
      <c r="M162" s="6"/>
      <c r="N162" s="6"/>
      <c r="O162" s="6"/>
      <c r="P162" s="6"/>
      <c r="Q162" s="6"/>
      <c r="R162" s="6"/>
      <c r="S162" s="6"/>
      <c r="T162" s="51"/>
      <c r="U162" s="59">
        <f t="shared" si="26"/>
        <v>0</v>
      </c>
    </row>
    <row r="163" spans="1:21" ht="15.75" customHeight="1">
      <c r="A163" s="230"/>
      <c r="B163" s="6" t="s">
        <v>16</v>
      </c>
      <c r="C163" s="6"/>
      <c r="D163" s="6"/>
      <c r="E163" s="6"/>
      <c r="F163" s="6"/>
      <c r="G163" s="6"/>
      <c r="H163" s="6"/>
      <c r="I163" s="6"/>
      <c r="J163" s="6"/>
      <c r="K163" s="227"/>
      <c r="L163" s="6" t="s">
        <v>16</v>
      </c>
      <c r="M163" s="6"/>
      <c r="N163" s="6"/>
      <c r="O163" s="6"/>
      <c r="P163" s="6"/>
      <c r="Q163" s="6"/>
      <c r="R163" s="6"/>
      <c r="S163" s="6"/>
      <c r="T163" s="51"/>
      <c r="U163" s="59">
        <f t="shared" si="26"/>
        <v>0</v>
      </c>
    </row>
    <row r="164" spans="1:21" ht="15.75" customHeight="1">
      <c r="A164" s="230"/>
      <c r="B164" s="6" t="s">
        <v>17</v>
      </c>
      <c r="C164" s="6"/>
      <c r="D164" s="6"/>
      <c r="E164" s="6"/>
      <c r="F164" s="6"/>
      <c r="G164" s="6"/>
      <c r="H164" s="6"/>
      <c r="I164" s="6"/>
      <c r="J164" s="6"/>
      <c r="K164" s="227"/>
      <c r="L164" s="6" t="s">
        <v>17</v>
      </c>
      <c r="M164" s="6"/>
      <c r="N164" s="6"/>
      <c r="O164" s="6"/>
      <c r="P164" s="6"/>
      <c r="Q164" s="6"/>
      <c r="R164" s="6"/>
      <c r="S164" s="6"/>
      <c r="T164" s="51"/>
      <c r="U164" s="59">
        <f t="shared" si="26"/>
        <v>0</v>
      </c>
    </row>
    <row r="165" spans="1:21" ht="15.75" customHeight="1">
      <c r="A165" s="230"/>
      <c r="B165" s="47" t="s">
        <v>18</v>
      </c>
      <c r="C165" s="47"/>
      <c r="D165" s="47"/>
      <c r="E165" s="47"/>
      <c r="F165" s="47"/>
      <c r="G165" s="47"/>
      <c r="H165" s="47"/>
      <c r="I165" s="47"/>
      <c r="J165" s="47"/>
      <c r="K165" s="227"/>
      <c r="L165" s="47" t="s">
        <v>18</v>
      </c>
      <c r="M165" s="47"/>
      <c r="N165" s="47"/>
      <c r="O165" s="47"/>
      <c r="P165" s="47"/>
      <c r="Q165" s="47"/>
      <c r="R165" s="47"/>
      <c r="S165" s="47"/>
      <c r="T165" s="70"/>
      <c r="U165" s="59">
        <f t="shared" si="26"/>
        <v>0</v>
      </c>
    </row>
    <row r="166" spans="1:21" ht="15.75" customHeight="1">
      <c r="A166" s="195" t="s">
        <v>9</v>
      </c>
      <c r="B166" s="56" t="s">
        <v>13</v>
      </c>
      <c r="C166" s="56"/>
      <c r="D166" s="56"/>
      <c r="E166" s="56"/>
      <c r="F166" s="56"/>
      <c r="G166" s="56"/>
      <c r="H166" s="56"/>
      <c r="I166" s="56"/>
      <c r="J166" s="56"/>
      <c r="K166" s="196" t="s">
        <v>9</v>
      </c>
      <c r="L166" s="56" t="s">
        <v>13</v>
      </c>
      <c r="M166" s="56"/>
      <c r="N166" s="56"/>
      <c r="O166" s="56"/>
      <c r="P166" s="56"/>
      <c r="Q166" s="56"/>
      <c r="R166" s="56"/>
      <c r="S166" s="56"/>
      <c r="T166" s="67"/>
      <c r="U166" s="59">
        <f t="shared" si="26"/>
        <v>0</v>
      </c>
    </row>
    <row r="167" spans="1:21" ht="15.75" customHeight="1">
      <c r="A167" s="230"/>
      <c r="B167" s="4" t="s">
        <v>14</v>
      </c>
      <c r="C167" s="4"/>
      <c r="D167" s="4"/>
      <c r="E167" s="4"/>
      <c r="F167" s="4"/>
      <c r="G167" s="4"/>
      <c r="H167" s="4"/>
      <c r="I167" s="4"/>
      <c r="J167" s="4"/>
      <c r="K167" s="227"/>
      <c r="L167" s="4" t="s">
        <v>14</v>
      </c>
      <c r="M167" s="4"/>
      <c r="N167" s="4"/>
      <c r="O167" s="4"/>
      <c r="P167" s="4"/>
      <c r="Q167" s="4"/>
      <c r="R167" s="4"/>
      <c r="S167" s="4"/>
      <c r="T167" s="50"/>
      <c r="U167" s="59">
        <f t="shared" si="26"/>
        <v>0</v>
      </c>
    </row>
    <row r="168" spans="1:21" ht="15.75" customHeight="1">
      <c r="A168" s="230"/>
      <c r="B168" s="4" t="s">
        <v>15</v>
      </c>
      <c r="C168" s="4"/>
      <c r="D168" s="4"/>
      <c r="E168" s="4"/>
      <c r="F168" s="4"/>
      <c r="G168" s="4"/>
      <c r="H168" s="4"/>
      <c r="I168" s="4"/>
      <c r="J168" s="4"/>
      <c r="K168" s="227"/>
      <c r="L168" s="4" t="s">
        <v>15</v>
      </c>
      <c r="M168" s="4"/>
      <c r="N168" s="4"/>
      <c r="O168" s="4"/>
      <c r="P168" s="4"/>
      <c r="Q168" s="4"/>
      <c r="R168" s="4"/>
      <c r="S168" s="4"/>
      <c r="T168" s="50"/>
      <c r="U168" s="59">
        <f t="shared" si="26"/>
        <v>0</v>
      </c>
    </row>
    <row r="169" spans="1:21" ht="15.75" customHeight="1">
      <c r="A169" s="230"/>
      <c r="B169" s="4" t="s">
        <v>16</v>
      </c>
      <c r="C169" s="4"/>
      <c r="D169" s="4"/>
      <c r="E169" s="4"/>
      <c r="F169" s="4"/>
      <c r="G169" s="4"/>
      <c r="H169" s="4"/>
      <c r="I169" s="4"/>
      <c r="J169" s="4"/>
      <c r="K169" s="227"/>
      <c r="L169" s="4" t="s">
        <v>16</v>
      </c>
      <c r="M169" s="4"/>
      <c r="N169" s="4"/>
      <c r="O169" s="4"/>
      <c r="P169" s="4"/>
      <c r="Q169" s="4"/>
      <c r="R169" s="4"/>
      <c r="S169" s="4"/>
      <c r="T169" s="50"/>
      <c r="U169" s="59">
        <f t="shared" si="26"/>
        <v>0</v>
      </c>
    </row>
    <row r="170" spans="1:21" ht="15.75" customHeight="1">
      <c r="A170" s="230"/>
      <c r="B170" s="4" t="s">
        <v>17</v>
      </c>
      <c r="C170" s="4"/>
      <c r="D170" s="4"/>
      <c r="E170" s="4"/>
      <c r="F170" s="4"/>
      <c r="G170" s="4"/>
      <c r="H170" s="4"/>
      <c r="I170" s="4"/>
      <c r="J170" s="4"/>
      <c r="K170" s="227"/>
      <c r="L170" s="4" t="s">
        <v>17</v>
      </c>
      <c r="M170" s="4"/>
      <c r="N170" s="4"/>
      <c r="O170" s="4"/>
      <c r="P170" s="4"/>
      <c r="Q170" s="4"/>
      <c r="R170" s="4"/>
      <c r="S170" s="4"/>
      <c r="T170" s="50"/>
      <c r="U170" s="59">
        <f t="shared" si="26"/>
        <v>0</v>
      </c>
    </row>
    <row r="171" spans="1:21" ht="15.75" customHeight="1">
      <c r="A171" s="230"/>
      <c r="B171" s="46" t="s">
        <v>18</v>
      </c>
      <c r="C171" s="46"/>
      <c r="D171" s="46"/>
      <c r="E171" s="46"/>
      <c r="F171" s="46"/>
      <c r="G171" s="46"/>
      <c r="H171" s="46"/>
      <c r="I171" s="46"/>
      <c r="J171" s="46"/>
      <c r="K171" s="227"/>
      <c r="L171" s="46" t="s">
        <v>18</v>
      </c>
      <c r="M171" s="46"/>
      <c r="N171" s="46"/>
      <c r="O171" s="46"/>
      <c r="P171" s="46"/>
      <c r="Q171" s="46"/>
      <c r="R171" s="46"/>
      <c r="S171" s="46"/>
      <c r="T171" s="69"/>
      <c r="U171" s="59">
        <f t="shared" si="26"/>
        <v>0</v>
      </c>
    </row>
    <row r="172" spans="1:21" ht="15.75" customHeight="1">
      <c r="A172" s="193" t="s">
        <v>10</v>
      </c>
      <c r="B172" s="63" t="s">
        <v>13</v>
      </c>
      <c r="C172" s="71"/>
      <c r="D172" s="71"/>
      <c r="E172" s="71"/>
      <c r="F172" s="71"/>
      <c r="G172" s="71"/>
      <c r="H172" s="71"/>
      <c r="I172" s="71"/>
      <c r="J172" s="71"/>
      <c r="K172" s="194" t="s">
        <v>10</v>
      </c>
      <c r="L172" s="63" t="s">
        <v>13</v>
      </c>
      <c r="M172" s="71"/>
      <c r="N172" s="71"/>
      <c r="O172" s="71"/>
      <c r="P172" s="71"/>
      <c r="Q172" s="71"/>
      <c r="R172" s="71"/>
      <c r="S172" s="71"/>
      <c r="T172" s="72"/>
      <c r="U172" s="59">
        <f t="shared" si="26"/>
        <v>0</v>
      </c>
    </row>
    <row r="173" spans="1:21" ht="15.75" customHeight="1">
      <c r="A173" s="230"/>
      <c r="B173" s="6" t="s">
        <v>14</v>
      </c>
      <c r="C173" s="8"/>
      <c r="D173" s="8"/>
      <c r="E173" s="8"/>
      <c r="F173" s="8"/>
      <c r="G173" s="8"/>
      <c r="H173" s="8"/>
      <c r="I173" s="8"/>
      <c r="J173" s="8"/>
      <c r="K173" s="227"/>
      <c r="L173" s="6" t="s">
        <v>14</v>
      </c>
      <c r="M173" s="8"/>
      <c r="N173" s="8"/>
      <c r="O173" s="8"/>
      <c r="P173" s="8"/>
      <c r="Q173" s="8"/>
      <c r="R173" s="8"/>
      <c r="S173" s="8"/>
      <c r="T173" s="52"/>
      <c r="U173" s="59">
        <f t="shared" si="26"/>
        <v>0</v>
      </c>
    </row>
    <row r="174" spans="1:21" ht="15.75" customHeight="1">
      <c r="A174" s="230"/>
      <c r="B174" s="6" t="s">
        <v>15</v>
      </c>
      <c r="C174" s="8"/>
      <c r="D174" s="8"/>
      <c r="E174" s="8"/>
      <c r="F174" s="8"/>
      <c r="G174" s="8"/>
      <c r="H174" s="8"/>
      <c r="I174" s="8"/>
      <c r="J174" s="8"/>
      <c r="K174" s="227"/>
      <c r="L174" s="6" t="s">
        <v>15</v>
      </c>
      <c r="M174" s="8"/>
      <c r="N174" s="8"/>
      <c r="O174" s="8"/>
      <c r="P174" s="8"/>
      <c r="Q174" s="8"/>
      <c r="R174" s="8"/>
      <c r="S174" s="8"/>
      <c r="T174" s="52"/>
      <c r="U174" s="59">
        <f t="shared" si="26"/>
        <v>0</v>
      </c>
    </row>
    <row r="175" spans="1:21" ht="15.75" customHeight="1">
      <c r="A175" s="230"/>
      <c r="B175" s="6" t="s">
        <v>16</v>
      </c>
      <c r="C175" s="8"/>
      <c r="D175" s="8"/>
      <c r="E175" s="8"/>
      <c r="F175" s="8"/>
      <c r="G175" s="8"/>
      <c r="H175" s="8"/>
      <c r="I175" s="8"/>
      <c r="J175" s="8"/>
      <c r="K175" s="227"/>
      <c r="L175" s="6" t="s">
        <v>16</v>
      </c>
      <c r="M175" s="8"/>
      <c r="N175" s="8"/>
      <c r="O175" s="8"/>
      <c r="P175" s="8"/>
      <c r="Q175" s="8"/>
      <c r="R175" s="8"/>
      <c r="S175" s="8"/>
      <c r="T175" s="52"/>
      <c r="U175" s="59">
        <f t="shared" si="26"/>
        <v>0</v>
      </c>
    </row>
    <row r="176" spans="1:21" ht="15.75" customHeight="1">
      <c r="A176" s="230"/>
      <c r="B176" s="6" t="s">
        <v>17</v>
      </c>
      <c r="C176" s="8"/>
      <c r="D176" s="8"/>
      <c r="E176" s="8"/>
      <c r="F176" s="8"/>
      <c r="G176" s="8"/>
      <c r="H176" s="8"/>
      <c r="I176" s="8"/>
      <c r="J176" s="8"/>
      <c r="K176" s="227"/>
      <c r="L176" s="6" t="s">
        <v>17</v>
      </c>
      <c r="M176" s="8"/>
      <c r="N176" s="8"/>
      <c r="O176" s="8"/>
      <c r="P176" s="8"/>
      <c r="Q176" s="8"/>
      <c r="R176" s="8"/>
      <c r="S176" s="8"/>
      <c r="T176" s="52"/>
      <c r="U176" s="59">
        <f t="shared" si="26"/>
        <v>0</v>
      </c>
    </row>
    <row r="177" spans="1:40" ht="15.75" customHeight="1">
      <c r="A177" s="230"/>
      <c r="B177" s="47" t="s">
        <v>18</v>
      </c>
      <c r="C177" s="77"/>
      <c r="D177" s="77"/>
      <c r="E177" s="77"/>
      <c r="F177" s="77"/>
      <c r="G177" s="77"/>
      <c r="H177" s="77"/>
      <c r="I177" s="77"/>
      <c r="J177" s="77"/>
      <c r="K177" s="227"/>
      <c r="L177" s="47" t="s">
        <v>18</v>
      </c>
      <c r="M177" s="77"/>
      <c r="N177" s="77"/>
      <c r="O177" s="77"/>
      <c r="P177" s="77"/>
      <c r="Q177" s="77"/>
      <c r="R177" s="77"/>
      <c r="S177" s="77"/>
      <c r="T177" s="78"/>
      <c r="U177" s="59">
        <f t="shared" si="26"/>
        <v>0</v>
      </c>
    </row>
    <row r="178" spans="1:40" ht="15.75" customHeight="1">
      <c r="A178" s="195" t="s">
        <v>11</v>
      </c>
      <c r="B178" s="56" t="s">
        <v>13</v>
      </c>
      <c r="C178" s="73"/>
      <c r="D178" s="73"/>
      <c r="E178" s="73"/>
      <c r="F178" s="73"/>
      <c r="G178" s="73"/>
      <c r="H178" s="73"/>
      <c r="I178" s="73"/>
      <c r="J178" s="73"/>
      <c r="K178" s="196" t="s">
        <v>11</v>
      </c>
      <c r="L178" s="56" t="s">
        <v>13</v>
      </c>
      <c r="M178" s="73"/>
      <c r="N178" s="73"/>
      <c r="O178" s="73"/>
      <c r="P178" s="73"/>
      <c r="Q178" s="73"/>
      <c r="R178" s="73"/>
      <c r="S178" s="73"/>
      <c r="T178" s="74"/>
      <c r="U178" s="59">
        <f t="shared" si="26"/>
        <v>0</v>
      </c>
    </row>
    <row r="179" spans="1:40" ht="15.75" customHeight="1">
      <c r="A179" s="230"/>
      <c r="B179" s="4" t="s">
        <v>14</v>
      </c>
      <c r="C179" s="9"/>
      <c r="D179" s="9"/>
      <c r="E179" s="9"/>
      <c r="F179" s="9"/>
      <c r="G179" s="9"/>
      <c r="H179" s="9"/>
      <c r="I179" s="9"/>
      <c r="J179" s="9"/>
      <c r="K179" s="227"/>
      <c r="L179" s="4" t="s">
        <v>14</v>
      </c>
      <c r="M179" s="9"/>
      <c r="N179" s="9"/>
      <c r="O179" s="9"/>
      <c r="P179" s="9"/>
      <c r="Q179" s="9"/>
      <c r="R179" s="9"/>
      <c r="S179" s="9"/>
      <c r="T179" s="53"/>
      <c r="U179" s="59">
        <f t="shared" si="26"/>
        <v>0</v>
      </c>
    </row>
    <row r="180" spans="1:40" ht="15.75" customHeight="1">
      <c r="A180" s="230"/>
      <c r="B180" s="4" t="s">
        <v>15</v>
      </c>
      <c r="C180" s="9"/>
      <c r="D180" s="9"/>
      <c r="E180" s="9"/>
      <c r="F180" s="9"/>
      <c r="G180" s="9"/>
      <c r="H180" s="9"/>
      <c r="I180" s="9"/>
      <c r="J180" s="9"/>
      <c r="K180" s="227"/>
      <c r="L180" s="4" t="s">
        <v>15</v>
      </c>
      <c r="M180" s="9"/>
      <c r="N180" s="9"/>
      <c r="O180" s="9"/>
      <c r="P180" s="9"/>
      <c r="Q180" s="9"/>
      <c r="R180" s="9"/>
      <c r="S180" s="9"/>
      <c r="T180" s="53"/>
      <c r="U180" s="59">
        <f t="shared" si="26"/>
        <v>0</v>
      </c>
    </row>
    <row r="181" spans="1:40" ht="15.75" customHeight="1">
      <c r="A181" s="230"/>
      <c r="B181" s="4" t="s">
        <v>16</v>
      </c>
      <c r="C181" s="9"/>
      <c r="D181" s="9"/>
      <c r="E181" s="9"/>
      <c r="F181" s="9"/>
      <c r="G181" s="9"/>
      <c r="H181" s="9"/>
      <c r="I181" s="9"/>
      <c r="J181" s="9"/>
      <c r="K181" s="227"/>
      <c r="L181" s="4" t="s">
        <v>16</v>
      </c>
      <c r="M181" s="9"/>
      <c r="N181" s="9"/>
      <c r="O181" s="9"/>
      <c r="P181" s="9"/>
      <c r="Q181" s="9"/>
      <c r="R181" s="9"/>
      <c r="S181" s="9"/>
      <c r="T181" s="53"/>
      <c r="U181" s="59">
        <f t="shared" si="26"/>
        <v>0</v>
      </c>
    </row>
    <row r="182" spans="1:40" ht="15.75" customHeight="1">
      <c r="A182" s="230"/>
      <c r="B182" s="4" t="s">
        <v>17</v>
      </c>
      <c r="C182" s="9"/>
      <c r="D182" s="9"/>
      <c r="E182" s="9"/>
      <c r="F182" s="9"/>
      <c r="G182" s="9"/>
      <c r="H182" s="9"/>
      <c r="I182" s="9"/>
      <c r="J182" s="9"/>
      <c r="K182" s="227"/>
      <c r="L182" s="4" t="s">
        <v>17</v>
      </c>
      <c r="M182" s="9"/>
      <c r="N182" s="9"/>
      <c r="O182" s="9"/>
      <c r="P182" s="9"/>
      <c r="Q182" s="9"/>
      <c r="R182" s="9"/>
      <c r="S182" s="9"/>
      <c r="T182" s="53"/>
      <c r="U182" s="59">
        <f t="shared" si="26"/>
        <v>0</v>
      </c>
    </row>
    <row r="183" spans="1:40" ht="15.75" customHeight="1">
      <c r="A183" s="231"/>
      <c r="B183" s="61" t="s">
        <v>18</v>
      </c>
      <c r="C183" s="75"/>
      <c r="D183" s="75"/>
      <c r="E183" s="75"/>
      <c r="F183" s="75"/>
      <c r="G183" s="75"/>
      <c r="H183" s="75"/>
      <c r="I183" s="75"/>
      <c r="J183" s="75"/>
      <c r="K183" s="232"/>
      <c r="L183" s="61" t="s">
        <v>18</v>
      </c>
      <c r="M183" s="75"/>
      <c r="N183" s="75"/>
      <c r="O183" s="75"/>
      <c r="P183" s="75"/>
      <c r="Q183" s="75"/>
      <c r="R183" s="75"/>
      <c r="S183" s="75"/>
      <c r="T183" s="76"/>
      <c r="U183" s="59">
        <f t="shared" si="26"/>
        <v>0</v>
      </c>
    </row>
    <row r="185" spans="1:40" ht="15.75" customHeight="1">
      <c r="A185" s="1"/>
      <c r="B185" s="1"/>
      <c r="C185" s="183" t="s">
        <v>0</v>
      </c>
      <c r="D185" s="225"/>
      <c r="E185" s="225"/>
      <c r="F185" s="225"/>
      <c r="G185" s="226"/>
      <c r="H185" s="2"/>
      <c r="I185" s="1"/>
    </row>
    <row r="186" spans="1:40" ht="15.75" customHeight="1">
      <c r="A186" s="1"/>
      <c r="B186" s="183" t="s">
        <v>1</v>
      </c>
      <c r="C186" s="225"/>
      <c r="D186" s="226"/>
      <c r="E186" s="1"/>
      <c r="F186" s="184" t="s">
        <v>2</v>
      </c>
      <c r="G186" s="225"/>
      <c r="H186" s="226"/>
      <c r="I186" s="1"/>
      <c r="K186" s="1"/>
      <c r="L186" s="183" t="s">
        <v>26</v>
      </c>
      <c r="M186" s="225"/>
      <c r="N186" s="226"/>
      <c r="O186" s="1"/>
      <c r="P186" s="184" t="s">
        <v>2</v>
      </c>
      <c r="Q186" s="225"/>
      <c r="R186" s="226"/>
      <c r="S186" s="1"/>
    </row>
    <row r="187" spans="1:40" ht="15.75" customHeight="1">
      <c r="A187" s="54" t="s">
        <v>35</v>
      </c>
      <c r="B187" s="54" t="s">
        <v>4</v>
      </c>
      <c r="C187" s="54" t="s">
        <v>12</v>
      </c>
      <c r="D187" s="54" t="s">
        <v>19</v>
      </c>
      <c r="E187" s="54" t="s">
        <v>20</v>
      </c>
      <c r="F187" s="54" t="s">
        <v>21</v>
      </c>
      <c r="G187" s="54" t="s">
        <v>22</v>
      </c>
      <c r="H187" s="54" t="s">
        <v>23</v>
      </c>
      <c r="I187" s="54" t="s">
        <v>24</v>
      </c>
      <c r="J187" s="54" t="s">
        <v>25</v>
      </c>
      <c r="K187" s="54" t="s">
        <v>35</v>
      </c>
      <c r="L187" s="54" t="s">
        <v>4</v>
      </c>
      <c r="M187" s="54" t="s">
        <v>27</v>
      </c>
      <c r="N187" s="54" t="s">
        <v>28</v>
      </c>
      <c r="O187" s="54" t="s">
        <v>29</v>
      </c>
      <c r="P187" s="54" t="s">
        <v>30</v>
      </c>
      <c r="Q187" s="54" t="s">
        <v>31</v>
      </c>
      <c r="R187" s="54" t="s">
        <v>32</v>
      </c>
      <c r="S187" s="54" t="s">
        <v>33</v>
      </c>
      <c r="T187" s="54" t="s">
        <v>34</v>
      </c>
      <c r="U187" s="54" t="s">
        <v>55</v>
      </c>
    </row>
    <row r="188" spans="1:40" ht="15.75" customHeight="1">
      <c r="A188" s="195" t="s">
        <v>5</v>
      </c>
      <c r="B188" s="56" t="s">
        <v>13</v>
      </c>
      <c r="C188" s="57"/>
      <c r="D188" s="57"/>
      <c r="E188" s="56"/>
      <c r="F188" s="56"/>
      <c r="G188" s="56"/>
      <c r="H188" s="56"/>
      <c r="I188" s="56"/>
      <c r="J188" s="56"/>
      <c r="K188" s="196" t="s">
        <v>5</v>
      </c>
      <c r="L188" s="56" t="s">
        <v>13</v>
      </c>
      <c r="M188" s="56"/>
      <c r="N188" s="56"/>
      <c r="O188" s="56"/>
      <c r="P188" s="56"/>
      <c r="Q188" s="56"/>
      <c r="R188" s="57"/>
      <c r="S188" s="57"/>
      <c r="T188" s="58"/>
      <c r="U188" s="59">
        <f>SUM(M188:T188,C188:J188)</f>
        <v>0</v>
      </c>
      <c r="W188" s="197" t="s">
        <v>2</v>
      </c>
      <c r="X188" s="198"/>
      <c r="AG188" s="190" t="s">
        <v>58</v>
      </c>
      <c r="AH188" s="191"/>
      <c r="AI188" s="191"/>
      <c r="AJ188" s="191"/>
      <c r="AK188" s="191"/>
      <c r="AL188" s="191"/>
      <c r="AM188" s="191"/>
      <c r="AN188" s="192"/>
    </row>
    <row r="189" spans="1:40" ht="15.75" customHeight="1">
      <c r="A189" s="230"/>
      <c r="B189" s="4" t="s">
        <v>14</v>
      </c>
      <c r="C189" s="5"/>
      <c r="D189" s="5"/>
      <c r="E189" s="4"/>
      <c r="F189" s="4"/>
      <c r="G189" s="4"/>
      <c r="H189" s="4"/>
      <c r="I189" s="4"/>
      <c r="J189" s="4"/>
      <c r="K189" s="227"/>
      <c r="L189" s="4" t="s">
        <v>14</v>
      </c>
      <c r="M189" s="4"/>
      <c r="N189" s="4"/>
      <c r="O189" s="4"/>
      <c r="P189" s="4"/>
      <c r="Q189" s="4"/>
      <c r="R189" s="5"/>
      <c r="S189" s="5"/>
      <c r="T189" s="49"/>
      <c r="U189" s="59">
        <f t="shared" ref="U189:U229" si="34">SUM(M189:T189,C189:J189)</f>
        <v>0</v>
      </c>
      <c r="W189" s="55" t="s">
        <v>5</v>
      </c>
      <c r="X189" s="48">
        <f>SUM(U188:U193)</f>
        <v>0</v>
      </c>
      <c r="AG189" s="98" t="s">
        <v>4</v>
      </c>
      <c r="AH189" s="98" t="s">
        <v>5</v>
      </c>
      <c r="AI189" s="98" t="s">
        <v>6</v>
      </c>
      <c r="AJ189" s="98" t="s">
        <v>7</v>
      </c>
      <c r="AK189" s="98" t="s">
        <v>8</v>
      </c>
      <c r="AL189" s="98" t="s">
        <v>9</v>
      </c>
      <c r="AM189" s="98" t="s">
        <v>10</v>
      </c>
      <c r="AN189" s="98" t="s">
        <v>11</v>
      </c>
    </row>
    <row r="190" spans="1:40" ht="15.75" customHeight="1">
      <c r="A190" s="230"/>
      <c r="B190" s="4" t="s">
        <v>15</v>
      </c>
      <c r="C190" s="5"/>
      <c r="D190" s="5"/>
      <c r="E190" s="4"/>
      <c r="F190" s="4"/>
      <c r="G190" s="4"/>
      <c r="H190" s="4"/>
      <c r="I190" s="4"/>
      <c r="J190" s="4"/>
      <c r="K190" s="227"/>
      <c r="L190" s="4" t="s">
        <v>15</v>
      </c>
      <c r="M190" s="4"/>
      <c r="N190" s="4"/>
      <c r="O190" s="4"/>
      <c r="P190" s="4"/>
      <c r="Q190" s="4"/>
      <c r="R190" s="5"/>
      <c r="S190" s="5"/>
      <c r="T190" s="49"/>
      <c r="U190" s="59">
        <f t="shared" si="34"/>
        <v>0</v>
      </c>
      <c r="W190" s="55" t="s">
        <v>6</v>
      </c>
      <c r="X190" s="48">
        <f>SUM(U194:U199)</f>
        <v>0</v>
      </c>
      <c r="AG190" s="79" t="s">
        <v>13</v>
      </c>
      <c r="AH190" s="79">
        <f t="shared" ref="AH190:AH195" si="35">U188</f>
        <v>0</v>
      </c>
      <c r="AI190" s="79">
        <f t="shared" ref="AI190:AI195" si="36">U194</f>
        <v>0</v>
      </c>
      <c r="AJ190" s="79">
        <f t="shared" ref="AJ190:AJ195" si="37">U200</f>
        <v>0</v>
      </c>
      <c r="AK190" s="79">
        <f t="shared" ref="AK190:AK195" si="38">U206</f>
        <v>0</v>
      </c>
      <c r="AL190" s="79">
        <f t="shared" ref="AL190:AL195" si="39">U212</f>
        <v>0</v>
      </c>
      <c r="AM190" s="79">
        <f t="shared" ref="AM190:AM195" si="40">U218</f>
        <v>0</v>
      </c>
      <c r="AN190" s="79">
        <f t="shared" ref="AN190:AN195" si="41">U224</f>
        <v>0</v>
      </c>
    </row>
    <row r="191" spans="1:40" ht="15.75" customHeight="1">
      <c r="A191" s="230"/>
      <c r="B191" s="4" t="s">
        <v>16</v>
      </c>
      <c r="C191" s="5"/>
      <c r="D191" s="5"/>
      <c r="E191" s="4"/>
      <c r="F191" s="4"/>
      <c r="G191" s="4"/>
      <c r="H191" s="4"/>
      <c r="I191" s="4"/>
      <c r="J191" s="4"/>
      <c r="K191" s="227"/>
      <c r="L191" s="4" t="s">
        <v>16</v>
      </c>
      <c r="M191" s="4"/>
      <c r="N191" s="4"/>
      <c r="O191" s="4"/>
      <c r="P191" s="4"/>
      <c r="Q191" s="4"/>
      <c r="R191" s="5"/>
      <c r="S191" s="5"/>
      <c r="T191" s="49"/>
      <c r="U191" s="59">
        <f t="shared" si="34"/>
        <v>0</v>
      </c>
      <c r="W191" s="55" t="s">
        <v>7</v>
      </c>
      <c r="X191" s="48">
        <f>SUM(U200:U205)</f>
        <v>0</v>
      </c>
      <c r="AG191" s="97" t="s">
        <v>14</v>
      </c>
      <c r="AH191" s="97">
        <f t="shared" si="35"/>
        <v>0</v>
      </c>
      <c r="AI191" s="97">
        <f t="shared" si="36"/>
        <v>0</v>
      </c>
      <c r="AJ191" s="97">
        <f t="shared" si="37"/>
        <v>0</v>
      </c>
      <c r="AK191" s="97">
        <f t="shared" si="38"/>
        <v>0</v>
      </c>
      <c r="AL191" s="97">
        <f t="shared" si="39"/>
        <v>0</v>
      </c>
      <c r="AM191" s="97">
        <f t="shared" si="40"/>
        <v>0</v>
      </c>
      <c r="AN191" s="97">
        <f t="shared" si="41"/>
        <v>0</v>
      </c>
    </row>
    <row r="192" spans="1:40" ht="15.75" customHeight="1">
      <c r="A192" s="230"/>
      <c r="B192" s="4" t="s">
        <v>17</v>
      </c>
      <c r="C192" s="5"/>
      <c r="D192" s="5"/>
      <c r="E192" s="4"/>
      <c r="F192" s="4"/>
      <c r="G192" s="4"/>
      <c r="H192" s="4"/>
      <c r="I192" s="4"/>
      <c r="J192" s="4"/>
      <c r="K192" s="227"/>
      <c r="L192" s="4" t="s">
        <v>17</v>
      </c>
      <c r="M192" s="4"/>
      <c r="N192" s="4"/>
      <c r="O192" s="4"/>
      <c r="P192" s="4"/>
      <c r="Q192" s="4"/>
      <c r="R192" s="5"/>
      <c r="S192" s="5"/>
      <c r="T192" s="49"/>
      <c r="U192" s="59">
        <f t="shared" si="34"/>
        <v>0</v>
      </c>
      <c r="W192" s="55" t="s">
        <v>61</v>
      </c>
      <c r="X192" s="48">
        <f>SUM(U206:U211)</f>
        <v>0</v>
      </c>
      <c r="AG192" s="79" t="s">
        <v>15</v>
      </c>
      <c r="AH192" s="79">
        <f t="shared" si="35"/>
        <v>0</v>
      </c>
      <c r="AI192" s="79">
        <f t="shared" si="36"/>
        <v>0</v>
      </c>
      <c r="AJ192" s="79">
        <f t="shared" si="37"/>
        <v>0</v>
      </c>
      <c r="AK192" s="79">
        <f t="shared" si="38"/>
        <v>0</v>
      </c>
      <c r="AL192" s="79">
        <f t="shared" si="39"/>
        <v>0</v>
      </c>
      <c r="AM192" s="79">
        <f t="shared" si="40"/>
        <v>0</v>
      </c>
      <c r="AN192" s="79">
        <f t="shared" si="41"/>
        <v>0</v>
      </c>
    </row>
    <row r="193" spans="1:40" ht="15.75" customHeight="1">
      <c r="A193" s="230"/>
      <c r="B193" s="46" t="s">
        <v>18</v>
      </c>
      <c r="C193" s="64"/>
      <c r="D193" s="64"/>
      <c r="E193" s="46"/>
      <c r="F193" s="46"/>
      <c r="G193" s="46"/>
      <c r="H193" s="46"/>
      <c r="I193" s="46"/>
      <c r="J193" s="46"/>
      <c r="K193" s="227"/>
      <c r="L193" s="46" t="s">
        <v>18</v>
      </c>
      <c r="M193" s="46"/>
      <c r="N193" s="46"/>
      <c r="O193" s="46"/>
      <c r="P193" s="46"/>
      <c r="Q193" s="46"/>
      <c r="R193" s="64"/>
      <c r="S193" s="64"/>
      <c r="T193" s="65"/>
      <c r="U193" s="59">
        <f t="shared" si="34"/>
        <v>0</v>
      </c>
      <c r="W193" s="55" t="s">
        <v>9</v>
      </c>
      <c r="X193" s="48">
        <f>SUM(U212:U217)</f>
        <v>0</v>
      </c>
      <c r="AG193" s="97" t="s">
        <v>16</v>
      </c>
      <c r="AH193" s="97">
        <f t="shared" si="35"/>
        <v>0</v>
      </c>
      <c r="AI193" s="97">
        <f t="shared" si="36"/>
        <v>0</v>
      </c>
      <c r="AJ193" s="97">
        <f t="shared" si="37"/>
        <v>0</v>
      </c>
      <c r="AK193" s="97">
        <f t="shared" si="38"/>
        <v>0</v>
      </c>
      <c r="AL193" s="97">
        <f t="shared" si="39"/>
        <v>0</v>
      </c>
      <c r="AM193" s="97">
        <f t="shared" si="40"/>
        <v>0</v>
      </c>
      <c r="AN193" s="97">
        <f t="shared" si="41"/>
        <v>0</v>
      </c>
    </row>
    <row r="194" spans="1:40" ht="15.75" customHeight="1">
      <c r="A194" s="193" t="s">
        <v>6</v>
      </c>
      <c r="B194" s="63" t="s">
        <v>13</v>
      </c>
      <c r="C194" s="57"/>
      <c r="D194" s="57"/>
      <c r="E194" s="57"/>
      <c r="F194" s="63"/>
      <c r="G194" s="63"/>
      <c r="H194" s="63"/>
      <c r="I194" s="63"/>
      <c r="J194" s="63"/>
      <c r="K194" s="194" t="s">
        <v>6</v>
      </c>
      <c r="L194" s="63" t="s">
        <v>13</v>
      </c>
      <c r="M194" s="63"/>
      <c r="N194" s="63"/>
      <c r="O194" s="63"/>
      <c r="P194" s="63"/>
      <c r="Q194" s="57"/>
      <c r="R194" s="57"/>
      <c r="S194" s="57"/>
      <c r="T194" s="58"/>
      <c r="U194" s="59">
        <f t="shared" si="34"/>
        <v>0</v>
      </c>
      <c r="W194" s="55" t="s">
        <v>10</v>
      </c>
      <c r="X194" s="48">
        <f>SUM(U218:U223)</f>
        <v>0</v>
      </c>
      <c r="AG194" s="79" t="s">
        <v>17</v>
      </c>
      <c r="AH194" s="79">
        <f t="shared" si="35"/>
        <v>0</v>
      </c>
      <c r="AI194" s="79">
        <f t="shared" si="36"/>
        <v>0</v>
      </c>
      <c r="AJ194" s="79">
        <f t="shared" si="37"/>
        <v>0</v>
      </c>
      <c r="AK194" s="79">
        <f t="shared" si="38"/>
        <v>0</v>
      </c>
      <c r="AL194" s="79">
        <f t="shared" si="39"/>
        <v>0</v>
      </c>
      <c r="AM194" s="79">
        <f t="shared" si="40"/>
        <v>0</v>
      </c>
      <c r="AN194" s="79">
        <f t="shared" si="41"/>
        <v>0</v>
      </c>
    </row>
    <row r="195" spans="1:40" ht="15.75" customHeight="1">
      <c r="A195" s="230"/>
      <c r="B195" s="6" t="s">
        <v>14</v>
      </c>
      <c r="C195" s="5"/>
      <c r="D195" s="5"/>
      <c r="E195" s="5"/>
      <c r="F195" s="6"/>
      <c r="G195" s="6"/>
      <c r="H195" s="6"/>
      <c r="I195" s="6"/>
      <c r="J195" s="6"/>
      <c r="K195" s="227"/>
      <c r="L195" s="6" t="s">
        <v>14</v>
      </c>
      <c r="M195" s="6"/>
      <c r="N195" s="6"/>
      <c r="O195" s="6"/>
      <c r="P195" s="6"/>
      <c r="Q195" s="5"/>
      <c r="R195" s="5"/>
      <c r="S195" s="5"/>
      <c r="T195" s="49"/>
      <c r="U195" s="59">
        <f t="shared" si="34"/>
        <v>0</v>
      </c>
      <c r="W195" s="81" t="s">
        <v>11</v>
      </c>
      <c r="X195" s="80">
        <f>SUM(U224:U229)</f>
        <v>0</v>
      </c>
      <c r="AG195" s="97" t="s">
        <v>18</v>
      </c>
      <c r="AH195" s="97">
        <f t="shared" si="35"/>
        <v>0</v>
      </c>
      <c r="AI195" s="97">
        <f t="shared" si="36"/>
        <v>0</v>
      </c>
      <c r="AJ195" s="97">
        <f t="shared" si="37"/>
        <v>0</v>
      </c>
      <c r="AK195" s="97">
        <f t="shared" si="38"/>
        <v>0</v>
      </c>
      <c r="AL195" s="97">
        <f t="shared" si="39"/>
        <v>0</v>
      </c>
      <c r="AM195" s="97">
        <f t="shared" si="40"/>
        <v>0</v>
      </c>
      <c r="AN195" s="97">
        <f t="shared" si="41"/>
        <v>0</v>
      </c>
    </row>
    <row r="196" spans="1:40" ht="15.75" customHeight="1">
      <c r="A196" s="230"/>
      <c r="B196" s="6" t="s">
        <v>15</v>
      </c>
      <c r="C196" s="5"/>
      <c r="D196" s="5"/>
      <c r="E196" s="5"/>
      <c r="F196" s="6"/>
      <c r="G196" s="6"/>
      <c r="H196" s="6"/>
      <c r="I196" s="6"/>
      <c r="J196" s="6"/>
      <c r="K196" s="227"/>
      <c r="L196" s="6" t="s">
        <v>15</v>
      </c>
      <c r="M196" s="6"/>
      <c r="N196" s="6"/>
      <c r="O196" s="6"/>
      <c r="P196" s="6"/>
      <c r="Q196" s="5"/>
      <c r="R196" s="5"/>
      <c r="S196" s="5"/>
      <c r="T196" s="49"/>
      <c r="U196" s="59">
        <f t="shared" si="34"/>
        <v>0</v>
      </c>
      <c r="W196" s="79" t="s">
        <v>63</v>
      </c>
      <c r="X196" s="82">
        <f>SUM(X189:X195)</f>
        <v>0</v>
      </c>
    </row>
    <row r="197" spans="1:40" ht="15.75" customHeight="1">
      <c r="A197" s="230"/>
      <c r="B197" s="6" t="s">
        <v>16</v>
      </c>
      <c r="C197" s="5"/>
      <c r="D197" s="5"/>
      <c r="E197" s="5"/>
      <c r="F197" s="6"/>
      <c r="G197" s="6"/>
      <c r="H197" s="6"/>
      <c r="I197" s="6"/>
      <c r="J197" s="6"/>
      <c r="K197" s="227"/>
      <c r="L197" s="6" t="s">
        <v>16</v>
      </c>
      <c r="M197" s="6"/>
      <c r="N197" s="6"/>
      <c r="O197" s="6"/>
      <c r="P197" s="6"/>
      <c r="Q197" s="5"/>
      <c r="R197" s="5"/>
      <c r="S197" s="5"/>
      <c r="T197" s="49"/>
      <c r="U197" s="59">
        <f t="shared" si="34"/>
        <v>0</v>
      </c>
    </row>
    <row r="198" spans="1:40" ht="15.75" customHeight="1">
      <c r="A198" s="230"/>
      <c r="B198" s="6" t="s">
        <v>17</v>
      </c>
      <c r="C198" s="5"/>
      <c r="D198" s="5"/>
      <c r="E198" s="5"/>
      <c r="F198" s="6"/>
      <c r="G198" s="6"/>
      <c r="H198" s="6"/>
      <c r="I198" s="6"/>
      <c r="J198" s="6"/>
      <c r="K198" s="227"/>
      <c r="L198" s="6" t="s">
        <v>17</v>
      </c>
      <c r="M198" s="6"/>
      <c r="N198" s="6"/>
      <c r="O198" s="6"/>
      <c r="P198" s="6"/>
      <c r="Q198" s="5"/>
      <c r="R198" s="5"/>
      <c r="S198" s="5"/>
      <c r="T198" s="49"/>
      <c r="U198" s="59">
        <f t="shared" si="34"/>
        <v>0</v>
      </c>
    </row>
    <row r="199" spans="1:40" ht="15.75" customHeight="1">
      <c r="A199" s="230"/>
      <c r="B199" s="47" t="s">
        <v>18</v>
      </c>
      <c r="C199" s="64"/>
      <c r="D199" s="64"/>
      <c r="E199" s="64"/>
      <c r="F199" s="47"/>
      <c r="G199" s="47"/>
      <c r="H199" s="47"/>
      <c r="I199" s="47"/>
      <c r="J199" s="47"/>
      <c r="K199" s="227"/>
      <c r="L199" s="47" t="s">
        <v>18</v>
      </c>
      <c r="M199" s="47"/>
      <c r="N199" s="47"/>
      <c r="O199" s="47"/>
      <c r="P199" s="47"/>
      <c r="Q199" s="64"/>
      <c r="R199" s="64"/>
      <c r="S199" s="64"/>
      <c r="T199" s="65"/>
      <c r="U199" s="59">
        <f t="shared" si="34"/>
        <v>0</v>
      </c>
    </row>
    <row r="200" spans="1:40" ht="15.75" customHeight="1">
      <c r="A200" s="195" t="s">
        <v>7</v>
      </c>
      <c r="B200" s="56" t="s">
        <v>13</v>
      </c>
      <c r="C200" s="56"/>
      <c r="D200" s="56"/>
      <c r="E200" s="56"/>
      <c r="F200" s="56"/>
      <c r="G200" s="56"/>
      <c r="H200" s="56"/>
      <c r="I200" s="56"/>
      <c r="J200" s="56"/>
      <c r="K200" s="196" t="s">
        <v>7</v>
      </c>
      <c r="L200" s="56" t="s">
        <v>13</v>
      </c>
      <c r="M200" s="56"/>
      <c r="N200" s="56"/>
      <c r="O200" s="56"/>
      <c r="P200" s="56"/>
      <c r="Q200" s="56"/>
      <c r="R200" s="56"/>
      <c r="S200" s="56"/>
      <c r="T200" s="67"/>
      <c r="U200" s="59">
        <f t="shared" si="34"/>
        <v>0</v>
      </c>
    </row>
    <row r="201" spans="1:40" ht="15.75" customHeight="1">
      <c r="A201" s="230"/>
      <c r="B201" s="4" t="s">
        <v>14</v>
      </c>
      <c r="C201" s="4"/>
      <c r="D201" s="4"/>
      <c r="E201" s="4"/>
      <c r="F201" s="4"/>
      <c r="G201" s="4"/>
      <c r="H201" s="4"/>
      <c r="I201" s="4"/>
      <c r="J201" s="4"/>
      <c r="K201" s="227"/>
      <c r="L201" s="4" t="s">
        <v>14</v>
      </c>
      <c r="M201" s="4"/>
      <c r="N201" s="4"/>
      <c r="O201" s="4"/>
      <c r="P201" s="4"/>
      <c r="Q201" s="4"/>
      <c r="R201" s="4"/>
      <c r="S201" s="4"/>
      <c r="T201" s="50"/>
      <c r="U201" s="59">
        <f t="shared" si="34"/>
        <v>0</v>
      </c>
    </row>
    <row r="202" spans="1:40" ht="15.75" customHeight="1">
      <c r="A202" s="230"/>
      <c r="B202" s="4" t="s">
        <v>15</v>
      </c>
      <c r="C202" s="4"/>
      <c r="D202" s="4"/>
      <c r="E202" s="4"/>
      <c r="F202" s="4"/>
      <c r="G202" s="4"/>
      <c r="H202" s="4"/>
      <c r="I202" s="4"/>
      <c r="J202" s="4"/>
      <c r="K202" s="227"/>
      <c r="L202" s="4" t="s">
        <v>15</v>
      </c>
      <c r="M202" s="4"/>
      <c r="N202" s="4"/>
      <c r="O202" s="4"/>
      <c r="P202" s="4"/>
      <c r="Q202" s="4"/>
      <c r="R202" s="4"/>
      <c r="S202" s="4"/>
      <c r="T202" s="50"/>
      <c r="U202" s="59">
        <f t="shared" si="34"/>
        <v>0</v>
      </c>
    </row>
    <row r="203" spans="1:40" ht="15.75" customHeight="1">
      <c r="A203" s="230"/>
      <c r="B203" s="4" t="s">
        <v>16</v>
      </c>
      <c r="C203" s="4"/>
      <c r="D203" s="4"/>
      <c r="E203" s="4"/>
      <c r="F203" s="4"/>
      <c r="G203" s="4"/>
      <c r="H203" s="4"/>
      <c r="I203" s="4"/>
      <c r="J203" s="4"/>
      <c r="K203" s="227"/>
      <c r="L203" s="4" t="s">
        <v>16</v>
      </c>
      <c r="M203" s="4"/>
      <c r="N203" s="4"/>
      <c r="O203" s="4"/>
      <c r="P203" s="4"/>
      <c r="Q203" s="4"/>
      <c r="R203" s="4"/>
      <c r="S203" s="4"/>
      <c r="T203" s="50"/>
      <c r="U203" s="59">
        <f t="shared" si="34"/>
        <v>0</v>
      </c>
    </row>
    <row r="204" spans="1:40" ht="15.75" customHeight="1">
      <c r="A204" s="230"/>
      <c r="B204" s="4" t="s">
        <v>17</v>
      </c>
      <c r="C204" s="4"/>
      <c r="D204" s="4"/>
      <c r="E204" s="4"/>
      <c r="F204" s="4"/>
      <c r="G204" s="4"/>
      <c r="H204" s="4"/>
      <c r="I204" s="4"/>
      <c r="J204" s="4"/>
      <c r="K204" s="227"/>
      <c r="L204" s="4" t="s">
        <v>17</v>
      </c>
      <c r="M204" s="4"/>
      <c r="N204" s="4"/>
      <c r="O204" s="4"/>
      <c r="P204" s="4"/>
      <c r="Q204" s="4"/>
      <c r="R204" s="4"/>
      <c r="S204" s="4"/>
      <c r="T204" s="50"/>
      <c r="U204" s="59">
        <f t="shared" si="34"/>
        <v>0</v>
      </c>
    </row>
    <row r="205" spans="1:40" ht="15.75" customHeight="1">
      <c r="A205" s="230"/>
      <c r="B205" s="46" t="s">
        <v>18</v>
      </c>
      <c r="C205" s="46"/>
      <c r="D205" s="46"/>
      <c r="E205" s="46"/>
      <c r="F205" s="46"/>
      <c r="G205" s="46"/>
      <c r="H205" s="46"/>
      <c r="I205" s="46"/>
      <c r="J205" s="46"/>
      <c r="K205" s="227"/>
      <c r="L205" s="46" t="s">
        <v>18</v>
      </c>
      <c r="M205" s="46"/>
      <c r="N205" s="46"/>
      <c r="O205" s="46"/>
      <c r="P205" s="46"/>
      <c r="Q205" s="46"/>
      <c r="R205" s="46"/>
      <c r="S205" s="46"/>
      <c r="T205" s="69"/>
      <c r="U205" s="59">
        <f t="shared" si="34"/>
        <v>0</v>
      </c>
    </row>
    <row r="206" spans="1:40" ht="15.75" customHeight="1">
      <c r="A206" s="193" t="s">
        <v>8</v>
      </c>
      <c r="B206" s="63" t="s">
        <v>13</v>
      </c>
      <c r="C206" s="63"/>
      <c r="D206" s="63"/>
      <c r="E206" s="63"/>
      <c r="F206" s="63"/>
      <c r="G206" s="63"/>
      <c r="H206" s="63"/>
      <c r="I206" s="63"/>
      <c r="J206" s="63"/>
      <c r="K206" s="194" t="s">
        <v>8</v>
      </c>
      <c r="L206" s="63" t="s">
        <v>13</v>
      </c>
      <c r="M206" s="63"/>
      <c r="N206" s="63"/>
      <c r="O206" s="63"/>
      <c r="P206" s="63"/>
      <c r="Q206" s="63"/>
      <c r="R206" s="63"/>
      <c r="S206" s="63"/>
      <c r="T206" s="68"/>
      <c r="U206" s="59">
        <f t="shared" si="34"/>
        <v>0</v>
      </c>
    </row>
    <row r="207" spans="1:40" ht="15.75" customHeight="1">
      <c r="A207" s="230"/>
      <c r="B207" s="6" t="s">
        <v>14</v>
      </c>
      <c r="C207" s="6"/>
      <c r="D207" s="6"/>
      <c r="E207" s="6"/>
      <c r="F207" s="6"/>
      <c r="G207" s="6"/>
      <c r="H207" s="6"/>
      <c r="I207" s="6"/>
      <c r="J207" s="6"/>
      <c r="K207" s="227"/>
      <c r="L207" s="6" t="s">
        <v>14</v>
      </c>
      <c r="M207" s="6"/>
      <c r="N207" s="6"/>
      <c r="O207" s="6"/>
      <c r="P207" s="6"/>
      <c r="Q207" s="6"/>
      <c r="R207" s="6"/>
      <c r="S207" s="6"/>
      <c r="T207" s="51"/>
      <c r="U207" s="59">
        <f t="shared" si="34"/>
        <v>0</v>
      </c>
    </row>
    <row r="208" spans="1:40" ht="15.75" customHeight="1">
      <c r="A208" s="230"/>
      <c r="B208" s="6" t="s">
        <v>15</v>
      </c>
      <c r="C208" s="6"/>
      <c r="D208" s="6"/>
      <c r="E208" s="6"/>
      <c r="F208" s="6"/>
      <c r="G208" s="6"/>
      <c r="H208" s="6"/>
      <c r="I208" s="6"/>
      <c r="J208" s="6"/>
      <c r="K208" s="227"/>
      <c r="L208" s="6" t="s">
        <v>15</v>
      </c>
      <c r="M208" s="6"/>
      <c r="N208" s="6"/>
      <c r="O208" s="6"/>
      <c r="P208" s="6"/>
      <c r="Q208" s="6"/>
      <c r="R208" s="6"/>
      <c r="S208" s="6"/>
      <c r="T208" s="51"/>
      <c r="U208" s="59">
        <f t="shared" si="34"/>
        <v>0</v>
      </c>
    </row>
    <row r="209" spans="1:21" ht="15.75" customHeight="1">
      <c r="A209" s="230"/>
      <c r="B209" s="6" t="s">
        <v>16</v>
      </c>
      <c r="C209" s="6"/>
      <c r="D209" s="6"/>
      <c r="E209" s="6"/>
      <c r="F209" s="6"/>
      <c r="G209" s="6"/>
      <c r="H209" s="6"/>
      <c r="I209" s="6"/>
      <c r="J209" s="6"/>
      <c r="K209" s="227"/>
      <c r="L209" s="6" t="s">
        <v>16</v>
      </c>
      <c r="M209" s="6"/>
      <c r="N209" s="6"/>
      <c r="O209" s="6"/>
      <c r="P209" s="6"/>
      <c r="Q209" s="6"/>
      <c r="R209" s="6"/>
      <c r="S209" s="6"/>
      <c r="T209" s="51"/>
      <c r="U209" s="59">
        <f t="shared" si="34"/>
        <v>0</v>
      </c>
    </row>
    <row r="210" spans="1:21" ht="15.75" customHeight="1">
      <c r="A210" s="230"/>
      <c r="B210" s="6" t="s">
        <v>17</v>
      </c>
      <c r="C210" s="6"/>
      <c r="D210" s="6"/>
      <c r="E210" s="6"/>
      <c r="F210" s="6"/>
      <c r="G210" s="6"/>
      <c r="H210" s="6"/>
      <c r="I210" s="6"/>
      <c r="J210" s="6"/>
      <c r="K210" s="227"/>
      <c r="L210" s="6" t="s">
        <v>17</v>
      </c>
      <c r="M210" s="6"/>
      <c r="N210" s="6"/>
      <c r="O210" s="6"/>
      <c r="P210" s="6"/>
      <c r="Q210" s="6"/>
      <c r="R210" s="6"/>
      <c r="S210" s="6"/>
      <c r="T210" s="51"/>
      <c r="U210" s="59">
        <f t="shared" si="34"/>
        <v>0</v>
      </c>
    </row>
    <row r="211" spans="1:21" ht="15.75" customHeight="1">
      <c r="A211" s="230"/>
      <c r="B211" s="47" t="s">
        <v>18</v>
      </c>
      <c r="C211" s="47"/>
      <c r="D211" s="47"/>
      <c r="E211" s="47"/>
      <c r="F211" s="47"/>
      <c r="G211" s="47"/>
      <c r="H211" s="47"/>
      <c r="I211" s="47"/>
      <c r="J211" s="47"/>
      <c r="K211" s="227"/>
      <c r="L211" s="47" t="s">
        <v>18</v>
      </c>
      <c r="M211" s="47"/>
      <c r="N211" s="47"/>
      <c r="O211" s="47"/>
      <c r="P211" s="47"/>
      <c r="Q211" s="47"/>
      <c r="R211" s="47"/>
      <c r="S211" s="47"/>
      <c r="T211" s="70"/>
      <c r="U211" s="59">
        <f t="shared" si="34"/>
        <v>0</v>
      </c>
    </row>
    <row r="212" spans="1:21" ht="15.75" customHeight="1">
      <c r="A212" s="195" t="s">
        <v>9</v>
      </c>
      <c r="B212" s="56" t="s">
        <v>13</v>
      </c>
      <c r="C212" s="56"/>
      <c r="D212" s="56"/>
      <c r="E212" s="56"/>
      <c r="F212" s="56"/>
      <c r="G212" s="56"/>
      <c r="H212" s="56"/>
      <c r="I212" s="56"/>
      <c r="J212" s="56"/>
      <c r="K212" s="196" t="s">
        <v>9</v>
      </c>
      <c r="L212" s="56" t="s">
        <v>13</v>
      </c>
      <c r="M212" s="56"/>
      <c r="N212" s="56"/>
      <c r="O212" s="56"/>
      <c r="P212" s="56"/>
      <c r="Q212" s="56"/>
      <c r="R212" s="56"/>
      <c r="S212" s="56"/>
      <c r="T212" s="67"/>
      <c r="U212" s="59">
        <f t="shared" si="34"/>
        <v>0</v>
      </c>
    </row>
    <row r="213" spans="1:21" ht="15.75" customHeight="1">
      <c r="A213" s="230"/>
      <c r="B213" s="4" t="s">
        <v>14</v>
      </c>
      <c r="C213" s="4"/>
      <c r="D213" s="4"/>
      <c r="E213" s="4"/>
      <c r="F213" s="4"/>
      <c r="G213" s="4"/>
      <c r="H213" s="4"/>
      <c r="I213" s="4"/>
      <c r="J213" s="4"/>
      <c r="K213" s="227"/>
      <c r="L213" s="4" t="s">
        <v>14</v>
      </c>
      <c r="M213" s="4"/>
      <c r="N213" s="4"/>
      <c r="O213" s="4"/>
      <c r="P213" s="4"/>
      <c r="Q213" s="4"/>
      <c r="R213" s="4"/>
      <c r="S213" s="4"/>
      <c r="T213" s="50"/>
      <c r="U213" s="59">
        <f t="shared" si="34"/>
        <v>0</v>
      </c>
    </row>
    <row r="214" spans="1:21" ht="15.75" customHeight="1">
      <c r="A214" s="230"/>
      <c r="B214" s="4" t="s">
        <v>15</v>
      </c>
      <c r="C214" s="4"/>
      <c r="D214" s="4"/>
      <c r="E214" s="4"/>
      <c r="F214" s="4"/>
      <c r="G214" s="4"/>
      <c r="H214" s="4"/>
      <c r="I214" s="4"/>
      <c r="J214" s="4"/>
      <c r="K214" s="227"/>
      <c r="L214" s="4" t="s">
        <v>15</v>
      </c>
      <c r="M214" s="4"/>
      <c r="N214" s="4"/>
      <c r="O214" s="4"/>
      <c r="P214" s="4"/>
      <c r="Q214" s="4"/>
      <c r="R214" s="4"/>
      <c r="S214" s="4"/>
      <c r="T214" s="50"/>
      <c r="U214" s="59">
        <f t="shared" si="34"/>
        <v>0</v>
      </c>
    </row>
    <row r="215" spans="1:21" ht="15.75" customHeight="1">
      <c r="A215" s="230"/>
      <c r="B215" s="4" t="s">
        <v>16</v>
      </c>
      <c r="C215" s="4"/>
      <c r="D215" s="4"/>
      <c r="E215" s="4"/>
      <c r="F215" s="4"/>
      <c r="G215" s="4"/>
      <c r="H215" s="4"/>
      <c r="I215" s="4"/>
      <c r="J215" s="4"/>
      <c r="K215" s="227"/>
      <c r="L215" s="4" t="s">
        <v>16</v>
      </c>
      <c r="M215" s="4"/>
      <c r="N215" s="4"/>
      <c r="O215" s="4"/>
      <c r="P215" s="4"/>
      <c r="Q215" s="4"/>
      <c r="R215" s="4"/>
      <c r="S215" s="4"/>
      <c r="T215" s="50"/>
      <c r="U215" s="59">
        <f t="shared" si="34"/>
        <v>0</v>
      </c>
    </row>
    <row r="216" spans="1:21" ht="15.75" customHeight="1">
      <c r="A216" s="230"/>
      <c r="B216" s="4" t="s">
        <v>17</v>
      </c>
      <c r="C216" s="4"/>
      <c r="D216" s="4"/>
      <c r="E216" s="4"/>
      <c r="F216" s="4"/>
      <c r="G216" s="4"/>
      <c r="H216" s="4"/>
      <c r="I216" s="4"/>
      <c r="J216" s="4"/>
      <c r="K216" s="227"/>
      <c r="L216" s="4" t="s">
        <v>17</v>
      </c>
      <c r="M216" s="4"/>
      <c r="N216" s="4"/>
      <c r="O216" s="4"/>
      <c r="P216" s="4"/>
      <c r="Q216" s="4"/>
      <c r="R216" s="4"/>
      <c r="S216" s="4"/>
      <c r="T216" s="50"/>
      <c r="U216" s="59">
        <f t="shared" si="34"/>
        <v>0</v>
      </c>
    </row>
    <row r="217" spans="1:21" ht="15.75" customHeight="1">
      <c r="A217" s="230"/>
      <c r="B217" s="46" t="s">
        <v>18</v>
      </c>
      <c r="C217" s="46"/>
      <c r="D217" s="46"/>
      <c r="E217" s="46"/>
      <c r="F217" s="46"/>
      <c r="G217" s="46"/>
      <c r="H217" s="46"/>
      <c r="I217" s="46"/>
      <c r="J217" s="46"/>
      <c r="K217" s="227"/>
      <c r="L217" s="46" t="s">
        <v>18</v>
      </c>
      <c r="M217" s="46"/>
      <c r="N217" s="46"/>
      <c r="O217" s="46"/>
      <c r="P217" s="46"/>
      <c r="Q217" s="46"/>
      <c r="R217" s="46"/>
      <c r="S217" s="46"/>
      <c r="T217" s="69"/>
      <c r="U217" s="59">
        <f t="shared" si="34"/>
        <v>0</v>
      </c>
    </row>
    <row r="218" spans="1:21" ht="15.75" customHeight="1">
      <c r="A218" s="193" t="s">
        <v>10</v>
      </c>
      <c r="B218" s="63" t="s">
        <v>13</v>
      </c>
      <c r="C218" s="71"/>
      <c r="D218" s="71"/>
      <c r="E218" s="71"/>
      <c r="F218" s="71"/>
      <c r="G218" s="71"/>
      <c r="H218" s="71"/>
      <c r="I218" s="71"/>
      <c r="J218" s="71"/>
      <c r="K218" s="194" t="s">
        <v>10</v>
      </c>
      <c r="L218" s="63" t="s">
        <v>13</v>
      </c>
      <c r="M218" s="71"/>
      <c r="N218" s="71"/>
      <c r="O218" s="71"/>
      <c r="P218" s="71"/>
      <c r="Q218" s="71"/>
      <c r="R218" s="71"/>
      <c r="S218" s="71"/>
      <c r="T218" s="72"/>
      <c r="U218" s="59">
        <f t="shared" si="34"/>
        <v>0</v>
      </c>
    </row>
    <row r="219" spans="1:21" ht="15.75" customHeight="1">
      <c r="A219" s="230"/>
      <c r="B219" s="6" t="s">
        <v>14</v>
      </c>
      <c r="C219" s="8"/>
      <c r="D219" s="8"/>
      <c r="E219" s="8"/>
      <c r="F219" s="8"/>
      <c r="G219" s="8"/>
      <c r="H219" s="8"/>
      <c r="I219" s="8"/>
      <c r="J219" s="8"/>
      <c r="K219" s="227"/>
      <c r="L219" s="6" t="s">
        <v>14</v>
      </c>
      <c r="M219" s="8"/>
      <c r="N219" s="8"/>
      <c r="O219" s="8"/>
      <c r="P219" s="8"/>
      <c r="Q219" s="8"/>
      <c r="R219" s="8"/>
      <c r="S219" s="8"/>
      <c r="T219" s="52"/>
      <c r="U219" s="59">
        <f t="shared" si="34"/>
        <v>0</v>
      </c>
    </row>
    <row r="220" spans="1:21" ht="15.75" customHeight="1">
      <c r="A220" s="230"/>
      <c r="B220" s="6" t="s">
        <v>15</v>
      </c>
      <c r="C220" s="8"/>
      <c r="D220" s="8"/>
      <c r="E220" s="8"/>
      <c r="F220" s="8"/>
      <c r="G220" s="8"/>
      <c r="H220" s="8"/>
      <c r="I220" s="8"/>
      <c r="J220" s="8"/>
      <c r="K220" s="227"/>
      <c r="L220" s="6" t="s">
        <v>15</v>
      </c>
      <c r="M220" s="8"/>
      <c r="N220" s="8"/>
      <c r="O220" s="8"/>
      <c r="P220" s="8"/>
      <c r="Q220" s="8"/>
      <c r="R220" s="8"/>
      <c r="S220" s="8"/>
      <c r="T220" s="52"/>
      <c r="U220" s="59">
        <f t="shared" si="34"/>
        <v>0</v>
      </c>
    </row>
    <row r="221" spans="1:21" ht="15.75" customHeight="1">
      <c r="A221" s="230"/>
      <c r="B221" s="6" t="s">
        <v>16</v>
      </c>
      <c r="C221" s="8"/>
      <c r="D221" s="8"/>
      <c r="E221" s="8"/>
      <c r="F221" s="8"/>
      <c r="G221" s="8"/>
      <c r="H221" s="8"/>
      <c r="I221" s="8"/>
      <c r="J221" s="8"/>
      <c r="K221" s="227"/>
      <c r="L221" s="6" t="s">
        <v>16</v>
      </c>
      <c r="M221" s="8"/>
      <c r="N221" s="8"/>
      <c r="O221" s="8"/>
      <c r="P221" s="8"/>
      <c r="Q221" s="8"/>
      <c r="R221" s="8"/>
      <c r="S221" s="8"/>
      <c r="T221" s="52"/>
      <c r="U221" s="59">
        <f t="shared" si="34"/>
        <v>0</v>
      </c>
    </row>
    <row r="222" spans="1:21" ht="15.75" customHeight="1">
      <c r="A222" s="230"/>
      <c r="B222" s="6" t="s">
        <v>17</v>
      </c>
      <c r="C222" s="8"/>
      <c r="D222" s="8"/>
      <c r="E222" s="8"/>
      <c r="F222" s="8"/>
      <c r="G222" s="8"/>
      <c r="H222" s="8"/>
      <c r="I222" s="8"/>
      <c r="J222" s="8"/>
      <c r="K222" s="227"/>
      <c r="L222" s="6" t="s">
        <v>17</v>
      </c>
      <c r="M222" s="8"/>
      <c r="N222" s="8"/>
      <c r="O222" s="8"/>
      <c r="P222" s="8"/>
      <c r="Q222" s="8"/>
      <c r="R222" s="8"/>
      <c r="S222" s="8"/>
      <c r="T222" s="52"/>
      <c r="U222" s="59">
        <f t="shared" si="34"/>
        <v>0</v>
      </c>
    </row>
    <row r="223" spans="1:21" ht="15.75" customHeight="1">
      <c r="A223" s="230"/>
      <c r="B223" s="47" t="s">
        <v>18</v>
      </c>
      <c r="C223" s="77"/>
      <c r="D223" s="77"/>
      <c r="E223" s="77"/>
      <c r="F223" s="77"/>
      <c r="G223" s="77"/>
      <c r="H223" s="77"/>
      <c r="I223" s="77"/>
      <c r="J223" s="77"/>
      <c r="K223" s="227"/>
      <c r="L223" s="47" t="s">
        <v>18</v>
      </c>
      <c r="M223" s="77"/>
      <c r="N223" s="77"/>
      <c r="O223" s="77"/>
      <c r="P223" s="77"/>
      <c r="Q223" s="77"/>
      <c r="R223" s="77"/>
      <c r="S223" s="77"/>
      <c r="T223" s="78"/>
      <c r="U223" s="59">
        <f t="shared" si="34"/>
        <v>0</v>
      </c>
    </row>
    <row r="224" spans="1:21" ht="15.75" customHeight="1">
      <c r="A224" s="195" t="s">
        <v>11</v>
      </c>
      <c r="B224" s="56" t="s">
        <v>13</v>
      </c>
      <c r="C224" s="73"/>
      <c r="D224" s="73"/>
      <c r="E224" s="73"/>
      <c r="F224" s="73"/>
      <c r="G224" s="73"/>
      <c r="H224" s="73"/>
      <c r="I224" s="73"/>
      <c r="J224" s="73"/>
      <c r="K224" s="196" t="s">
        <v>11</v>
      </c>
      <c r="L224" s="56" t="s">
        <v>13</v>
      </c>
      <c r="M224" s="73"/>
      <c r="N224" s="73"/>
      <c r="O224" s="73"/>
      <c r="P224" s="73"/>
      <c r="Q224" s="73"/>
      <c r="R224" s="73"/>
      <c r="S224" s="73"/>
      <c r="T224" s="74"/>
      <c r="U224" s="59">
        <f t="shared" si="34"/>
        <v>0</v>
      </c>
    </row>
    <row r="225" spans="1:21" ht="15.75" customHeight="1">
      <c r="A225" s="230"/>
      <c r="B225" s="4" t="s">
        <v>14</v>
      </c>
      <c r="C225" s="9"/>
      <c r="D225" s="9"/>
      <c r="E225" s="9"/>
      <c r="F225" s="9"/>
      <c r="G225" s="9"/>
      <c r="H225" s="9"/>
      <c r="I225" s="9"/>
      <c r="J225" s="9"/>
      <c r="K225" s="227"/>
      <c r="L225" s="4" t="s">
        <v>14</v>
      </c>
      <c r="M225" s="9"/>
      <c r="N225" s="9"/>
      <c r="O225" s="9"/>
      <c r="P225" s="9"/>
      <c r="Q225" s="9"/>
      <c r="R225" s="9"/>
      <c r="S225" s="9"/>
      <c r="T225" s="53"/>
      <c r="U225" s="59">
        <f t="shared" si="34"/>
        <v>0</v>
      </c>
    </row>
    <row r="226" spans="1:21" ht="15.75" customHeight="1">
      <c r="A226" s="230"/>
      <c r="B226" s="4" t="s">
        <v>15</v>
      </c>
      <c r="C226" s="9"/>
      <c r="D226" s="9"/>
      <c r="E226" s="9"/>
      <c r="F226" s="9"/>
      <c r="G226" s="9"/>
      <c r="H226" s="9"/>
      <c r="I226" s="9"/>
      <c r="J226" s="9"/>
      <c r="K226" s="227"/>
      <c r="L226" s="4" t="s">
        <v>15</v>
      </c>
      <c r="M226" s="9"/>
      <c r="N226" s="9"/>
      <c r="O226" s="9"/>
      <c r="P226" s="9"/>
      <c r="Q226" s="9"/>
      <c r="R226" s="9"/>
      <c r="S226" s="9"/>
      <c r="T226" s="53"/>
      <c r="U226" s="59">
        <f t="shared" si="34"/>
        <v>0</v>
      </c>
    </row>
    <row r="227" spans="1:21" ht="15.75" customHeight="1">
      <c r="A227" s="230"/>
      <c r="B227" s="4" t="s">
        <v>16</v>
      </c>
      <c r="C227" s="9"/>
      <c r="D227" s="9"/>
      <c r="E227" s="9"/>
      <c r="F227" s="9"/>
      <c r="G227" s="9"/>
      <c r="H227" s="9"/>
      <c r="I227" s="9"/>
      <c r="J227" s="9"/>
      <c r="K227" s="227"/>
      <c r="L227" s="4" t="s">
        <v>16</v>
      </c>
      <c r="M227" s="9"/>
      <c r="N227" s="9"/>
      <c r="O227" s="9"/>
      <c r="P227" s="9"/>
      <c r="Q227" s="9"/>
      <c r="R227" s="9"/>
      <c r="S227" s="9"/>
      <c r="T227" s="53"/>
      <c r="U227" s="59">
        <f t="shared" si="34"/>
        <v>0</v>
      </c>
    </row>
    <row r="228" spans="1:21" ht="15.75" customHeight="1">
      <c r="A228" s="230"/>
      <c r="B228" s="4" t="s">
        <v>17</v>
      </c>
      <c r="C228" s="9"/>
      <c r="D228" s="9"/>
      <c r="E228" s="9"/>
      <c r="F228" s="9"/>
      <c r="G228" s="9"/>
      <c r="H228" s="9"/>
      <c r="I228" s="9"/>
      <c r="J228" s="9"/>
      <c r="K228" s="227"/>
      <c r="L228" s="4" t="s">
        <v>17</v>
      </c>
      <c r="M228" s="9"/>
      <c r="N228" s="9"/>
      <c r="O228" s="9"/>
      <c r="P228" s="9"/>
      <c r="Q228" s="9"/>
      <c r="R228" s="9"/>
      <c r="S228" s="9"/>
      <c r="T228" s="53"/>
      <c r="U228" s="59">
        <f t="shared" si="34"/>
        <v>0</v>
      </c>
    </row>
    <row r="229" spans="1:21" ht="15.75" customHeight="1">
      <c r="A229" s="231"/>
      <c r="B229" s="61" t="s">
        <v>18</v>
      </c>
      <c r="C229" s="75"/>
      <c r="D229" s="75"/>
      <c r="E229" s="75"/>
      <c r="F229" s="75"/>
      <c r="G229" s="75"/>
      <c r="H229" s="75"/>
      <c r="I229" s="75"/>
      <c r="J229" s="75"/>
      <c r="K229" s="232"/>
      <c r="L229" s="61" t="s">
        <v>18</v>
      </c>
      <c r="M229" s="75"/>
      <c r="N229" s="75"/>
      <c r="O229" s="75"/>
      <c r="P229" s="75"/>
      <c r="Q229" s="75"/>
      <c r="R229" s="75"/>
      <c r="S229" s="75"/>
      <c r="T229" s="76"/>
      <c r="U229" s="59">
        <f t="shared" si="34"/>
        <v>0</v>
      </c>
    </row>
  </sheetData>
  <mergeCells count="111">
    <mergeCell ref="A218:A223"/>
    <mergeCell ref="K218:K223"/>
    <mergeCell ref="A224:A229"/>
    <mergeCell ref="K224:K229"/>
    <mergeCell ref="Z4:AA4"/>
    <mergeCell ref="Z6:AA6"/>
    <mergeCell ref="A200:A205"/>
    <mergeCell ref="K200:K205"/>
    <mergeCell ref="A206:A211"/>
    <mergeCell ref="K206:K211"/>
    <mergeCell ref="A212:A217"/>
    <mergeCell ref="K212:K217"/>
    <mergeCell ref="L186:N186"/>
    <mergeCell ref="P186:R186"/>
    <mergeCell ref="A188:A193"/>
    <mergeCell ref="K188:K193"/>
    <mergeCell ref="W188:X188"/>
    <mergeCell ref="A194:A199"/>
    <mergeCell ref="K194:K199"/>
    <mergeCell ref="A172:A177"/>
    <mergeCell ref="K172:K177"/>
    <mergeCell ref="A178:A183"/>
    <mergeCell ref="K178:K183"/>
    <mergeCell ref="C185:G185"/>
    <mergeCell ref="B186:D186"/>
    <mergeCell ref="F186:H186"/>
    <mergeCell ref="A154:A159"/>
    <mergeCell ref="K154:K159"/>
    <mergeCell ref="A160:A165"/>
    <mergeCell ref="K160:K165"/>
    <mergeCell ref="A166:A171"/>
    <mergeCell ref="K166:K171"/>
    <mergeCell ref="L140:N140"/>
    <mergeCell ref="P140:R140"/>
    <mergeCell ref="A142:A147"/>
    <mergeCell ref="K142:K147"/>
    <mergeCell ref="W142:X142"/>
    <mergeCell ref="A148:A153"/>
    <mergeCell ref="K148:K153"/>
    <mergeCell ref="A126:A131"/>
    <mergeCell ref="K126:K131"/>
    <mergeCell ref="A132:A137"/>
    <mergeCell ref="K132:K137"/>
    <mergeCell ref="C139:G139"/>
    <mergeCell ref="B140:D140"/>
    <mergeCell ref="F140:H140"/>
    <mergeCell ref="A108:A113"/>
    <mergeCell ref="K108:K113"/>
    <mergeCell ref="A114:A119"/>
    <mergeCell ref="K114:K119"/>
    <mergeCell ref="A120:A125"/>
    <mergeCell ref="K120:K125"/>
    <mergeCell ref="P94:R94"/>
    <mergeCell ref="A96:A101"/>
    <mergeCell ref="K96:K101"/>
    <mergeCell ref="A102:A107"/>
    <mergeCell ref="K102:K107"/>
    <mergeCell ref="A86:A91"/>
    <mergeCell ref="K86:K91"/>
    <mergeCell ref="C93:G93"/>
    <mergeCell ref="B94:D94"/>
    <mergeCell ref="F94:H94"/>
    <mergeCell ref="L94:N94"/>
    <mergeCell ref="A50:A55"/>
    <mergeCell ref="K50:K55"/>
    <mergeCell ref="A56:A61"/>
    <mergeCell ref="K56:K61"/>
    <mergeCell ref="A62:A67"/>
    <mergeCell ref="K62:K67"/>
    <mergeCell ref="A68:A73"/>
    <mergeCell ref="K68:K73"/>
    <mergeCell ref="A74:A79"/>
    <mergeCell ref="K74:K79"/>
    <mergeCell ref="A80:A85"/>
    <mergeCell ref="K80:K85"/>
    <mergeCell ref="C1:G1"/>
    <mergeCell ref="B2:D2"/>
    <mergeCell ref="F2:H2"/>
    <mergeCell ref="L2:N2"/>
    <mergeCell ref="P2:R2"/>
    <mergeCell ref="A4:A9"/>
    <mergeCell ref="K4:K9"/>
    <mergeCell ref="A16:A21"/>
    <mergeCell ref="K16:K21"/>
    <mergeCell ref="A10:A15"/>
    <mergeCell ref="K10:K15"/>
    <mergeCell ref="L48:N48"/>
    <mergeCell ref="P48:R48"/>
    <mergeCell ref="A28:A33"/>
    <mergeCell ref="K28:K33"/>
    <mergeCell ref="A34:A39"/>
    <mergeCell ref="K34:K39"/>
    <mergeCell ref="A40:A45"/>
    <mergeCell ref="K40:K45"/>
    <mergeCell ref="A22:A27"/>
    <mergeCell ref="K22:K27"/>
    <mergeCell ref="C47:G47"/>
    <mergeCell ref="B48:D48"/>
    <mergeCell ref="F48:H48"/>
    <mergeCell ref="AG50:AN50"/>
    <mergeCell ref="AG96:AN96"/>
    <mergeCell ref="AG142:AN142"/>
    <mergeCell ref="AG188:AN188"/>
    <mergeCell ref="AP4:AW4"/>
    <mergeCell ref="AG4:AN4"/>
    <mergeCell ref="Z8:AA8"/>
    <mergeCell ref="Z10:AA10"/>
    <mergeCell ref="W4:X4"/>
    <mergeCell ref="W50:X50"/>
    <mergeCell ref="AD4:AE4"/>
    <mergeCell ref="W96:X96"/>
  </mergeCells>
  <printOptions horizontalCentered="1" verticalCentered="1"/>
  <pageMargins left="0.25" right="0.25" top="0.25" bottom="0.25" header="0" footer="0"/>
  <pageSetup pageOrder="overThenDown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9141F-8CB8-4567-AC11-A6D16E5BC105}">
  <dimension ref="A1:M84"/>
  <sheetViews>
    <sheetView topLeftCell="A47" workbookViewId="0">
      <selection activeCell="I67" sqref="I67"/>
    </sheetView>
  </sheetViews>
  <sheetFormatPr defaultRowHeight="12.75"/>
  <cols>
    <col min="1" max="1" width="14.28515625" bestFit="1" customWidth="1"/>
    <col min="3" max="3" width="7.85546875" bestFit="1" customWidth="1"/>
    <col min="4" max="4" width="8.140625" bestFit="1" customWidth="1"/>
    <col min="5" max="5" width="8.7109375" bestFit="1" customWidth="1"/>
    <col min="6" max="6" width="11.42578125" bestFit="1" customWidth="1"/>
    <col min="7" max="7" width="9.5703125" bestFit="1" customWidth="1"/>
    <col min="8" max="8" width="6.7109375" bestFit="1" customWidth="1"/>
  </cols>
  <sheetData>
    <row r="1" spans="1:13" ht="20.25">
      <c r="A1" s="221" t="s">
        <v>136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</row>
    <row r="2" spans="1:13" ht="20.25">
      <c r="A2" s="151" t="s">
        <v>137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</row>
    <row r="3" spans="1:13">
      <c r="A3" s="222" t="s">
        <v>138</v>
      </c>
      <c r="B3" s="223"/>
      <c r="C3" s="223"/>
      <c r="D3" s="223"/>
      <c r="E3" s="223"/>
      <c r="F3" s="223"/>
      <c r="G3" s="223"/>
      <c r="H3" s="224"/>
    </row>
    <row r="4" spans="1:13">
      <c r="A4" s="98" t="s">
        <v>4</v>
      </c>
      <c r="B4" s="98" t="s">
        <v>5</v>
      </c>
      <c r="C4" s="98" t="s">
        <v>6</v>
      </c>
      <c r="D4" s="98" t="s">
        <v>7</v>
      </c>
      <c r="E4" s="98" t="s">
        <v>8</v>
      </c>
      <c r="F4" s="98" t="s">
        <v>9</v>
      </c>
      <c r="G4" s="98" t="s">
        <v>10</v>
      </c>
      <c r="H4" s="152" t="s">
        <v>11</v>
      </c>
      <c r="I4" s="97" t="s">
        <v>139</v>
      </c>
    </row>
    <row r="5" spans="1:13">
      <c r="A5" s="97" t="s">
        <v>13</v>
      </c>
      <c r="B5" s="48">
        <v>1451</v>
      </c>
      <c r="C5" s="48">
        <v>945</v>
      </c>
      <c r="D5" s="48">
        <v>2080</v>
      </c>
      <c r="E5" s="48">
        <v>1963</v>
      </c>
      <c r="F5" s="48">
        <v>1922</v>
      </c>
      <c r="G5" s="48">
        <v>1598</v>
      </c>
      <c r="H5" s="153">
        <v>1489</v>
      </c>
      <c r="I5" s="48">
        <f t="shared" ref="I5:I10" si="0">SUM(B5:H5)</f>
        <v>11448</v>
      </c>
    </row>
    <row r="6" spans="1:13">
      <c r="A6" s="97" t="s">
        <v>14</v>
      </c>
      <c r="B6" s="48">
        <v>405</v>
      </c>
      <c r="C6" s="48">
        <v>316</v>
      </c>
      <c r="D6" s="48">
        <v>832</v>
      </c>
      <c r="E6" s="48">
        <v>771</v>
      </c>
      <c r="F6" s="48">
        <v>829</v>
      </c>
      <c r="G6" s="48">
        <v>667</v>
      </c>
      <c r="H6" s="153">
        <v>778</v>
      </c>
      <c r="I6" s="48">
        <f t="shared" si="0"/>
        <v>4598</v>
      </c>
    </row>
    <row r="7" spans="1:13">
      <c r="A7" s="97" t="s">
        <v>15</v>
      </c>
      <c r="B7" s="48">
        <v>1145</v>
      </c>
      <c r="C7" s="48">
        <v>643</v>
      </c>
      <c r="D7" s="48">
        <v>1805</v>
      </c>
      <c r="E7" s="48">
        <v>1606</v>
      </c>
      <c r="F7" s="48">
        <v>1419</v>
      </c>
      <c r="G7" s="48">
        <v>1434</v>
      </c>
      <c r="H7" s="153">
        <v>1272</v>
      </c>
      <c r="I7" s="48">
        <f t="shared" si="0"/>
        <v>9324</v>
      </c>
    </row>
    <row r="8" spans="1:13">
      <c r="A8" s="97" t="s">
        <v>16</v>
      </c>
      <c r="B8" s="48">
        <v>491</v>
      </c>
      <c r="C8" s="48">
        <v>308</v>
      </c>
      <c r="D8" s="48">
        <v>770</v>
      </c>
      <c r="E8" s="48">
        <v>660</v>
      </c>
      <c r="F8" s="48">
        <v>660</v>
      </c>
      <c r="G8" s="48">
        <v>567</v>
      </c>
      <c r="H8" s="153">
        <v>546</v>
      </c>
      <c r="I8" s="48">
        <f t="shared" si="0"/>
        <v>4002</v>
      </c>
    </row>
    <row r="9" spans="1:13">
      <c r="A9" s="97" t="s">
        <v>17</v>
      </c>
      <c r="B9" s="48">
        <v>401</v>
      </c>
      <c r="C9" s="48">
        <v>252</v>
      </c>
      <c r="D9" s="48">
        <v>635</v>
      </c>
      <c r="E9" s="48">
        <v>500</v>
      </c>
      <c r="F9" s="48">
        <v>530</v>
      </c>
      <c r="G9" s="48">
        <v>442</v>
      </c>
      <c r="H9" s="153">
        <v>405</v>
      </c>
      <c r="I9" s="48">
        <f t="shared" si="0"/>
        <v>3165</v>
      </c>
    </row>
    <row r="10" spans="1:13">
      <c r="A10" s="97" t="s">
        <v>18</v>
      </c>
      <c r="B10" s="48">
        <v>437</v>
      </c>
      <c r="C10" s="48">
        <v>251</v>
      </c>
      <c r="D10" s="48">
        <v>802</v>
      </c>
      <c r="E10" s="48">
        <v>588</v>
      </c>
      <c r="F10" s="48">
        <v>639</v>
      </c>
      <c r="G10" s="48">
        <v>525</v>
      </c>
      <c r="H10" s="153">
        <v>532</v>
      </c>
      <c r="I10" s="48">
        <f t="shared" si="0"/>
        <v>3774</v>
      </c>
    </row>
    <row r="12" spans="1:13">
      <c r="A12" s="222" t="s">
        <v>140</v>
      </c>
      <c r="B12" s="223"/>
      <c r="C12" s="223"/>
      <c r="D12" s="223"/>
      <c r="E12" s="223"/>
      <c r="F12" s="223"/>
      <c r="G12" s="223"/>
      <c r="H12" s="224"/>
    </row>
    <row r="13" spans="1:13">
      <c r="A13" s="98" t="s">
        <v>4</v>
      </c>
      <c r="B13" s="98" t="s">
        <v>5</v>
      </c>
      <c r="C13" s="98" t="s">
        <v>6</v>
      </c>
      <c r="D13" s="98" t="s">
        <v>7</v>
      </c>
      <c r="E13" s="98" t="s">
        <v>8</v>
      </c>
      <c r="F13" s="98" t="s">
        <v>9</v>
      </c>
      <c r="G13" s="98" t="s">
        <v>10</v>
      </c>
      <c r="H13" s="152" t="s">
        <v>11</v>
      </c>
      <c r="I13" s="97" t="s">
        <v>139</v>
      </c>
    </row>
    <row r="14" spans="1:13">
      <c r="A14" s="97" t="s">
        <v>13</v>
      </c>
      <c r="B14" s="48">
        <v>883</v>
      </c>
      <c r="C14" s="48">
        <v>807</v>
      </c>
      <c r="D14" s="48">
        <v>1187</v>
      </c>
      <c r="E14" s="48">
        <v>1336</v>
      </c>
      <c r="F14" s="48">
        <v>1359</v>
      </c>
      <c r="G14" s="48">
        <v>1324</v>
      </c>
      <c r="H14" s="153">
        <v>1122</v>
      </c>
      <c r="I14" s="48">
        <f t="shared" ref="I14:I19" si="1">SUM(B14:H14)</f>
        <v>8018</v>
      </c>
    </row>
    <row r="15" spans="1:13">
      <c r="A15" s="97" t="s">
        <v>14</v>
      </c>
      <c r="B15" s="48">
        <v>320</v>
      </c>
      <c r="C15" s="48">
        <v>250</v>
      </c>
      <c r="D15" s="48">
        <v>494</v>
      </c>
      <c r="E15" s="48">
        <v>521</v>
      </c>
      <c r="F15" s="48">
        <v>688</v>
      </c>
      <c r="G15" s="48">
        <v>563</v>
      </c>
      <c r="H15" s="153">
        <v>599</v>
      </c>
      <c r="I15" s="48">
        <f t="shared" si="1"/>
        <v>3435</v>
      </c>
    </row>
    <row r="16" spans="1:13">
      <c r="A16" s="97" t="s">
        <v>15</v>
      </c>
      <c r="B16" s="48">
        <v>909</v>
      </c>
      <c r="C16" s="48">
        <v>689</v>
      </c>
      <c r="D16" s="48">
        <v>1101</v>
      </c>
      <c r="E16" s="48">
        <v>1331</v>
      </c>
      <c r="F16" s="48">
        <v>1208</v>
      </c>
      <c r="G16" s="48">
        <v>1221</v>
      </c>
      <c r="H16" s="153">
        <v>971</v>
      </c>
      <c r="I16" s="48">
        <f t="shared" si="1"/>
        <v>7430</v>
      </c>
    </row>
    <row r="17" spans="1:9">
      <c r="A17" s="97" t="s">
        <v>16</v>
      </c>
      <c r="B17" s="48">
        <v>287</v>
      </c>
      <c r="C17" s="48">
        <v>230</v>
      </c>
      <c r="D17" s="48">
        <v>360</v>
      </c>
      <c r="E17" s="48">
        <v>395</v>
      </c>
      <c r="F17" s="48">
        <v>445</v>
      </c>
      <c r="G17" s="48">
        <v>447</v>
      </c>
      <c r="H17" s="153">
        <v>327</v>
      </c>
      <c r="I17" s="48">
        <f t="shared" si="1"/>
        <v>2491</v>
      </c>
    </row>
    <row r="18" spans="1:9">
      <c r="A18" s="97" t="s">
        <v>17</v>
      </c>
      <c r="B18" s="48">
        <v>300</v>
      </c>
      <c r="C18" s="48">
        <v>238</v>
      </c>
      <c r="D18" s="48">
        <v>336</v>
      </c>
      <c r="E18" s="48">
        <v>366</v>
      </c>
      <c r="F18" s="48">
        <v>382</v>
      </c>
      <c r="G18" s="48">
        <v>412</v>
      </c>
      <c r="H18" s="153">
        <v>332</v>
      </c>
      <c r="I18" s="48">
        <f t="shared" si="1"/>
        <v>2366</v>
      </c>
    </row>
    <row r="19" spans="1:9">
      <c r="A19" s="97" t="s">
        <v>18</v>
      </c>
      <c r="B19" s="48">
        <v>309</v>
      </c>
      <c r="C19" s="48">
        <v>220</v>
      </c>
      <c r="D19" s="48">
        <v>429</v>
      </c>
      <c r="E19" s="48">
        <v>438</v>
      </c>
      <c r="F19" s="48">
        <v>482</v>
      </c>
      <c r="G19" s="48">
        <v>485</v>
      </c>
      <c r="H19" s="153">
        <v>344</v>
      </c>
      <c r="I19" s="48">
        <f t="shared" si="1"/>
        <v>2707</v>
      </c>
    </row>
    <row r="21" spans="1:9">
      <c r="A21" s="222" t="s">
        <v>141</v>
      </c>
      <c r="B21" s="223"/>
      <c r="C21" s="223"/>
      <c r="D21" s="223"/>
      <c r="E21" s="223"/>
      <c r="F21" s="223"/>
      <c r="G21" s="223"/>
      <c r="H21" s="224"/>
    </row>
    <row r="22" spans="1:9">
      <c r="A22" s="98" t="s">
        <v>4</v>
      </c>
      <c r="B22" s="98" t="s">
        <v>5</v>
      </c>
      <c r="C22" s="98" t="s">
        <v>6</v>
      </c>
      <c r="D22" s="98" t="s">
        <v>7</v>
      </c>
      <c r="E22" s="98" t="s">
        <v>8</v>
      </c>
      <c r="F22" s="98" t="s">
        <v>9</v>
      </c>
      <c r="G22" s="98" t="s">
        <v>10</v>
      </c>
      <c r="H22" s="152" t="s">
        <v>11</v>
      </c>
      <c r="I22" s="97" t="s">
        <v>139</v>
      </c>
    </row>
    <row r="23" spans="1:9">
      <c r="A23" s="97" t="s">
        <v>13</v>
      </c>
      <c r="B23" s="48">
        <v>977</v>
      </c>
      <c r="C23" s="48">
        <v>648</v>
      </c>
      <c r="D23" s="48">
        <v>1546</v>
      </c>
      <c r="E23" s="48">
        <v>1321</v>
      </c>
      <c r="F23" s="48">
        <v>1293</v>
      </c>
      <c r="G23" s="48">
        <v>1316</v>
      </c>
      <c r="H23" s="153">
        <v>749</v>
      </c>
      <c r="I23" s="48">
        <f t="shared" ref="I23:I28" si="2">SUM(B23:H23)</f>
        <v>7850</v>
      </c>
    </row>
    <row r="24" spans="1:9">
      <c r="A24" s="97" t="s">
        <v>14</v>
      </c>
      <c r="B24" s="48">
        <v>355</v>
      </c>
      <c r="C24" s="48">
        <v>240</v>
      </c>
      <c r="D24" s="48">
        <v>671</v>
      </c>
      <c r="E24" s="48">
        <v>545</v>
      </c>
      <c r="F24" s="48">
        <v>570</v>
      </c>
      <c r="G24" s="48">
        <v>616</v>
      </c>
      <c r="H24" s="153">
        <v>368</v>
      </c>
      <c r="I24" s="48">
        <f t="shared" si="2"/>
        <v>3365</v>
      </c>
    </row>
    <row r="25" spans="1:9">
      <c r="A25" s="97" t="s">
        <v>15</v>
      </c>
      <c r="B25" s="48">
        <v>994</v>
      </c>
      <c r="C25" s="48">
        <v>576</v>
      </c>
      <c r="D25" s="48">
        <v>1531</v>
      </c>
      <c r="E25" s="48">
        <v>1379</v>
      </c>
      <c r="F25" s="48">
        <v>1349</v>
      </c>
      <c r="G25" s="48">
        <v>1497</v>
      </c>
      <c r="H25" s="153">
        <v>725</v>
      </c>
      <c r="I25" s="48">
        <f t="shared" si="2"/>
        <v>8051</v>
      </c>
    </row>
    <row r="26" spans="1:9">
      <c r="A26" s="97" t="s">
        <v>16</v>
      </c>
      <c r="B26" s="48">
        <v>298</v>
      </c>
      <c r="C26" s="48">
        <v>159</v>
      </c>
      <c r="D26" s="48">
        <v>506</v>
      </c>
      <c r="E26" s="48">
        <v>352</v>
      </c>
      <c r="F26" s="48">
        <v>429</v>
      </c>
      <c r="G26" s="48">
        <v>455</v>
      </c>
      <c r="H26" s="153">
        <v>205</v>
      </c>
      <c r="I26" s="48">
        <f t="shared" si="2"/>
        <v>2404</v>
      </c>
    </row>
    <row r="27" spans="1:9">
      <c r="A27" s="97" t="s">
        <v>17</v>
      </c>
      <c r="B27" s="48">
        <v>315</v>
      </c>
      <c r="C27" s="48">
        <v>179</v>
      </c>
      <c r="D27" s="48">
        <v>442</v>
      </c>
      <c r="E27" s="48">
        <v>388</v>
      </c>
      <c r="F27" s="48">
        <v>392</v>
      </c>
      <c r="G27" s="48">
        <v>449</v>
      </c>
      <c r="H27" s="153">
        <v>259</v>
      </c>
      <c r="I27" s="48">
        <f t="shared" si="2"/>
        <v>2424</v>
      </c>
    </row>
    <row r="28" spans="1:9">
      <c r="A28" s="97" t="s">
        <v>18</v>
      </c>
      <c r="B28" s="48">
        <v>359</v>
      </c>
      <c r="C28" s="48">
        <v>172</v>
      </c>
      <c r="D28" s="48">
        <v>538</v>
      </c>
      <c r="E28" s="48">
        <v>478</v>
      </c>
      <c r="F28" s="48">
        <v>528</v>
      </c>
      <c r="G28" s="48">
        <v>492</v>
      </c>
      <c r="H28" s="153">
        <v>310</v>
      </c>
      <c r="I28" s="48">
        <f t="shared" si="2"/>
        <v>2877</v>
      </c>
    </row>
    <row r="30" spans="1:9" ht="20.25">
      <c r="A30" s="151" t="s">
        <v>142</v>
      </c>
      <c r="B30" s="151"/>
      <c r="C30" s="151"/>
      <c r="D30" s="151"/>
      <c r="E30" s="151"/>
      <c r="F30" s="151"/>
      <c r="G30" s="151"/>
      <c r="H30" s="151"/>
      <c r="I30" s="151"/>
    </row>
    <row r="31" spans="1:9">
      <c r="A31" s="222" t="s">
        <v>143</v>
      </c>
      <c r="B31" s="223"/>
      <c r="C31" s="223"/>
      <c r="D31" s="223"/>
      <c r="E31" s="223"/>
      <c r="F31" s="223"/>
      <c r="G31" s="223"/>
      <c r="H31" s="224"/>
    </row>
    <row r="32" spans="1:9">
      <c r="A32" s="98" t="s">
        <v>4</v>
      </c>
      <c r="B32" s="98" t="s">
        <v>5</v>
      </c>
      <c r="C32" s="98" t="s">
        <v>6</v>
      </c>
      <c r="D32" s="98" t="s">
        <v>7</v>
      </c>
      <c r="E32" s="98" t="s">
        <v>8</v>
      </c>
      <c r="F32" s="98" t="s">
        <v>9</v>
      </c>
      <c r="G32" s="98" t="s">
        <v>10</v>
      </c>
      <c r="H32" s="152" t="s">
        <v>11</v>
      </c>
      <c r="I32" s="97" t="s">
        <v>139</v>
      </c>
    </row>
    <row r="33" spans="1:9">
      <c r="A33" s="97" t="s">
        <v>13</v>
      </c>
      <c r="B33" s="48">
        <v>742</v>
      </c>
      <c r="C33" s="48">
        <v>708</v>
      </c>
      <c r="D33" s="48">
        <v>1554</v>
      </c>
      <c r="E33" s="48">
        <v>1272</v>
      </c>
      <c r="F33" s="48">
        <v>1331</v>
      </c>
      <c r="G33" s="48">
        <v>1264</v>
      </c>
      <c r="H33" s="153">
        <v>1022</v>
      </c>
      <c r="I33" s="48">
        <f>SUM(B33:H33)</f>
        <v>7893</v>
      </c>
    </row>
    <row r="34" spans="1:9">
      <c r="A34" s="97" t="s">
        <v>14</v>
      </c>
      <c r="B34" s="48">
        <v>239</v>
      </c>
      <c r="C34" s="48">
        <v>223</v>
      </c>
      <c r="D34" s="48">
        <v>709</v>
      </c>
      <c r="E34" s="48">
        <v>466</v>
      </c>
      <c r="F34" s="48">
        <v>554</v>
      </c>
      <c r="G34" s="48">
        <v>503</v>
      </c>
      <c r="H34" s="153">
        <v>459</v>
      </c>
      <c r="I34" s="48">
        <f t="shared" ref="I34:I38" si="3">SUM(B34:H34)</f>
        <v>3153</v>
      </c>
    </row>
    <row r="35" spans="1:9">
      <c r="A35" s="97" t="s">
        <v>15</v>
      </c>
      <c r="B35" s="48">
        <v>760</v>
      </c>
      <c r="C35" s="48">
        <v>609</v>
      </c>
      <c r="D35" s="48">
        <v>1546</v>
      </c>
      <c r="E35" s="48">
        <v>1476</v>
      </c>
      <c r="F35" s="48">
        <v>1408</v>
      </c>
      <c r="G35" s="48">
        <v>1348</v>
      </c>
      <c r="H35" s="153">
        <v>1174</v>
      </c>
      <c r="I35" s="48">
        <f t="shared" si="3"/>
        <v>8321</v>
      </c>
    </row>
    <row r="36" spans="1:9">
      <c r="A36" s="97" t="s">
        <v>16</v>
      </c>
      <c r="B36" s="48">
        <v>215</v>
      </c>
      <c r="C36" s="48">
        <v>192</v>
      </c>
      <c r="D36" s="48">
        <v>442</v>
      </c>
      <c r="E36" s="48">
        <v>358</v>
      </c>
      <c r="F36" s="48">
        <v>331</v>
      </c>
      <c r="G36" s="48">
        <v>379</v>
      </c>
      <c r="H36" s="153">
        <v>276</v>
      </c>
      <c r="I36" s="48">
        <f t="shared" si="3"/>
        <v>2193</v>
      </c>
    </row>
    <row r="37" spans="1:9">
      <c r="A37" s="97" t="s">
        <v>17</v>
      </c>
      <c r="B37" s="48">
        <v>229</v>
      </c>
      <c r="C37" s="48">
        <v>222</v>
      </c>
      <c r="D37" s="48">
        <v>469</v>
      </c>
      <c r="E37" s="48">
        <v>426</v>
      </c>
      <c r="F37" s="48">
        <v>405</v>
      </c>
      <c r="G37" s="48">
        <v>402</v>
      </c>
      <c r="H37" s="153">
        <v>359</v>
      </c>
      <c r="I37" s="48">
        <f t="shared" si="3"/>
        <v>2512</v>
      </c>
    </row>
    <row r="38" spans="1:9">
      <c r="A38" s="97" t="s">
        <v>18</v>
      </c>
      <c r="B38" s="48">
        <v>291</v>
      </c>
      <c r="C38" s="48">
        <v>225</v>
      </c>
      <c r="D38" s="48">
        <v>655</v>
      </c>
      <c r="E38" s="48">
        <v>490</v>
      </c>
      <c r="F38" s="48">
        <v>525</v>
      </c>
      <c r="G38" s="48">
        <v>538</v>
      </c>
      <c r="H38" s="153">
        <v>424</v>
      </c>
      <c r="I38" s="48">
        <f t="shared" si="3"/>
        <v>3148</v>
      </c>
    </row>
    <row r="40" spans="1:9">
      <c r="A40" s="222" t="s">
        <v>144</v>
      </c>
      <c r="B40" s="223"/>
      <c r="C40" s="223"/>
      <c r="D40" s="223"/>
      <c r="E40" s="223"/>
      <c r="F40" s="223"/>
      <c r="G40" s="223"/>
      <c r="H40" s="224"/>
    </row>
    <row r="41" spans="1:9">
      <c r="A41" s="98" t="s">
        <v>4</v>
      </c>
      <c r="B41" s="98" t="s">
        <v>5</v>
      </c>
      <c r="C41" s="98" t="s">
        <v>6</v>
      </c>
      <c r="D41" s="98" t="s">
        <v>7</v>
      </c>
      <c r="E41" s="98" t="s">
        <v>8</v>
      </c>
      <c r="F41" s="98" t="s">
        <v>9</v>
      </c>
      <c r="G41" s="98" t="s">
        <v>10</v>
      </c>
      <c r="H41" s="152" t="s">
        <v>11</v>
      </c>
      <c r="I41" s="97" t="s">
        <v>139</v>
      </c>
    </row>
    <row r="42" spans="1:9">
      <c r="A42" s="97" t="s">
        <v>13</v>
      </c>
      <c r="B42" s="48">
        <v>594</v>
      </c>
      <c r="C42" s="48">
        <v>521</v>
      </c>
      <c r="D42" s="48">
        <v>1454</v>
      </c>
      <c r="E42" s="48">
        <v>1368</v>
      </c>
      <c r="F42" s="48">
        <v>1302</v>
      </c>
      <c r="G42" s="48">
        <v>1265</v>
      </c>
      <c r="H42" s="153">
        <v>986</v>
      </c>
      <c r="I42" s="48">
        <f>SUM(B42:H42)</f>
        <v>7490</v>
      </c>
    </row>
    <row r="43" spans="1:9">
      <c r="A43" s="97" t="s">
        <v>14</v>
      </c>
      <c r="B43" s="48">
        <v>189</v>
      </c>
      <c r="C43" s="48">
        <v>142</v>
      </c>
      <c r="D43" s="48">
        <v>717</v>
      </c>
      <c r="E43" s="48">
        <v>494</v>
      </c>
      <c r="F43" s="48">
        <v>586</v>
      </c>
      <c r="G43" s="48">
        <v>522</v>
      </c>
      <c r="H43" s="153">
        <v>399</v>
      </c>
      <c r="I43" s="48">
        <f>SUM(B43:H43)</f>
        <v>3049</v>
      </c>
    </row>
    <row r="44" spans="1:9">
      <c r="A44" s="97" t="s">
        <v>15</v>
      </c>
      <c r="B44" s="48">
        <v>546</v>
      </c>
      <c r="C44" s="48">
        <v>448</v>
      </c>
      <c r="D44" s="48">
        <v>1624</v>
      </c>
      <c r="E44" s="48">
        <v>1574</v>
      </c>
      <c r="F44" s="48">
        <v>1551</v>
      </c>
      <c r="G44" s="48">
        <v>1282</v>
      </c>
      <c r="H44" s="153">
        <v>1044</v>
      </c>
      <c r="I44" s="48">
        <f>SUM(B44:H44)</f>
        <v>8069</v>
      </c>
    </row>
    <row r="45" spans="1:9">
      <c r="A45" s="97" t="s">
        <v>16</v>
      </c>
      <c r="B45" s="48">
        <v>134</v>
      </c>
      <c r="C45" s="48">
        <v>152</v>
      </c>
      <c r="D45" s="48">
        <v>416</v>
      </c>
      <c r="E45" s="48">
        <v>369</v>
      </c>
      <c r="F45" s="48">
        <v>365</v>
      </c>
      <c r="G45" s="48">
        <v>354</v>
      </c>
      <c r="H45" s="153">
        <v>275</v>
      </c>
      <c r="I45" s="48">
        <f>SUM(B45:H45)</f>
        <v>2065</v>
      </c>
    </row>
    <row r="46" spans="1:9">
      <c r="A46" s="97" t="s">
        <v>17</v>
      </c>
      <c r="B46" s="48">
        <v>175</v>
      </c>
      <c r="C46" s="48">
        <v>175</v>
      </c>
      <c r="D46" s="48">
        <v>467</v>
      </c>
      <c r="E46" s="48">
        <v>426</v>
      </c>
      <c r="F46" s="48">
        <v>406</v>
      </c>
      <c r="G46" s="48">
        <v>420</v>
      </c>
      <c r="H46" s="153">
        <v>288</v>
      </c>
      <c r="I46" s="48">
        <f>SUM(B46:H46)</f>
        <v>2357</v>
      </c>
    </row>
    <row r="47" spans="1:9">
      <c r="A47" s="97" t="s">
        <v>18</v>
      </c>
      <c r="B47" s="48">
        <v>237</v>
      </c>
      <c r="C47" s="48">
        <v>129</v>
      </c>
      <c r="D47" s="48">
        <v>593</v>
      </c>
      <c r="E47" s="48">
        <v>509</v>
      </c>
      <c r="F47" s="48">
        <v>462</v>
      </c>
      <c r="G47" s="48">
        <v>455</v>
      </c>
      <c r="H47" s="153">
        <v>384</v>
      </c>
      <c r="I47" s="48">
        <f>SUM(B47:H47)</f>
        <v>2769</v>
      </c>
    </row>
    <row r="49" spans="1:9">
      <c r="A49" s="222" t="s">
        <v>145</v>
      </c>
      <c r="B49" s="223"/>
      <c r="C49" s="223"/>
      <c r="D49" s="223"/>
      <c r="E49" s="223"/>
      <c r="F49" s="223"/>
      <c r="G49" s="223"/>
      <c r="H49" s="224"/>
    </row>
    <row r="50" spans="1:9">
      <c r="A50" s="98" t="s">
        <v>4</v>
      </c>
      <c r="B50" s="98" t="s">
        <v>5</v>
      </c>
      <c r="C50" s="98" t="s">
        <v>6</v>
      </c>
      <c r="D50" s="98" t="s">
        <v>7</v>
      </c>
      <c r="E50" s="98" t="s">
        <v>8</v>
      </c>
      <c r="F50" s="98" t="s">
        <v>9</v>
      </c>
      <c r="G50" s="98" t="s">
        <v>10</v>
      </c>
      <c r="H50" s="152" t="s">
        <v>11</v>
      </c>
      <c r="I50" s="97" t="s">
        <v>139</v>
      </c>
    </row>
    <row r="51" spans="1:9">
      <c r="A51" s="97" t="s">
        <v>13</v>
      </c>
      <c r="B51" s="48">
        <v>677</v>
      </c>
      <c r="C51" s="48">
        <v>636</v>
      </c>
      <c r="D51" s="48">
        <v>1345</v>
      </c>
      <c r="E51" s="48">
        <v>1439</v>
      </c>
      <c r="F51" s="48">
        <v>961</v>
      </c>
      <c r="G51" s="48">
        <v>1012</v>
      </c>
      <c r="H51" s="153">
        <v>979</v>
      </c>
      <c r="I51" s="48">
        <f>SUM(B51:H51)</f>
        <v>7049</v>
      </c>
    </row>
    <row r="52" spans="1:9">
      <c r="A52" s="97" t="s">
        <v>14</v>
      </c>
      <c r="B52" s="48">
        <v>218</v>
      </c>
      <c r="C52" s="48">
        <v>186</v>
      </c>
      <c r="D52" s="48">
        <v>639</v>
      </c>
      <c r="E52" s="48">
        <v>563</v>
      </c>
      <c r="F52" s="48">
        <v>512</v>
      </c>
      <c r="G52" s="48">
        <v>443</v>
      </c>
      <c r="H52" s="153">
        <v>496</v>
      </c>
      <c r="I52" s="48">
        <f>SUM(B52:H52)</f>
        <v>3057</v>
      </c>
    </row>
    <row r="53" spans="1:9">
      <c r="A53" s="97" t="s">
        <v>15</v>
      </c>
      <c r="B53" s="48">
        <v>650</v>
      </c>
      <c r="C53" s="48">
        <v>459</v>
      </c>
      <c r="D53" s="48">
        <v>1431</v>
      </c>
      <c r="E53" s="48">
        <v>1532</v>
      </c>
      <c r="F53" s="48">
        <v>1106</v>
      </c>
      <c r="G53" s="48">
        <v>969</v>
      </c>
      <c r="H53" s="153">
        <v>849</v>
      </c>
      <c r="I53" s="48">
        <f>SUM(B53:H53)</f>
        <v>6996</v>
      </c>
    </row>
    <row r="54" spans="1:9">
      <c r="A54" s="97" t="s">
        <v>16</v>
      </c>
      <c r="B54" s="48">
        <v>187</v>
      </c>
      <c r="C54" s="48">
        <v>153</v>
      </c>
      <c r="D54" s="48">
        <v>404</v>
      </c>
      <c r="E54" s="48">
        <v>390</v>
      </c>
      <c r="F54" s="48">
        <v>294</v>
      </c>
      <c r="G54" s="48">
        <v>327</v>
      </c>
      <c r="H54" s="153">
        <v>246</v>
      </c>
      <c r="I54" s="48">
        <f>SUM(B54:H54)</f>
        <v>2001</v>
      </c>
    </row>
    <row r="55" spans="1:9">
      <c r="A55" s="97" t="s">
        <v>17</v>
      </c>
      <c r="B55" s="48">
        <v>248</v>
      </c>
      <c r="C55" s="48">
        <v>166</v>
      </c>
      <c r="D55" s="48">
        <v>491</v>
      </c>
      <c r="E55" s="48">
        <v>440</v>
      </c>
      <c r="F55" s="48">
        <v>313</v>
      </c>
      <c r="G55" s="48">
        <v>368</v>
      </c>
      <c r="H55" s="153">
        <v>297</v>
      </c>
      <c r="I55" s="48">
        <f>SUM(B55:H55)</f>
        <v>2323</v>
      </c>
    </row>
    <row r="56" spans="1:9">
      <c r="A56" s="97" t="s">
        <v>18</v>
      </c>
      <c r="B56" s="48">
        <v>215</v>
      </c>
      <c r="C56" s="48">
        <v>178</v>
      </c>
      <c r="D56" s="48">
        <v>521</v>
      </c>
      <c r="E56" s="48">
        <v>497</v>
      </c>
      <c r="F56" s="48">
        <v>374</v>
      </c>
      <c r="G56" s="48">
        <v>354</v>
      </c>
      <c r="H56" s="153">
        <v>332</v>
      </c>
      <c r="I56" s="48">
        <f>SUM(B56:H56)</f>
        <v>2471</v>
      </c>
    </row>
    <row r="58" spans="1:9" ht="20.25">
      <c r="A58" s="151" t="s">
        <v>146</v>
      </c>
      <c r="B58" s="151"/>
      <c r="C58" s="151"/>
      <c r="D58" s="151"/>
      <c r="E58" s="151"/>
      <c r="F58" s="151"/>
      <c r="G58" s="151"/>
      <c r="H58" s="151"/>
      <c r="I58" s="151"/>
    </row>
    <row r="59" spans="1:9">
      <c r="A59" s="222" t="s">
        <v>147</v>
      </c>
      <c r="B59" s="223"/>
      <c r="C59" s="223"/>
      <c r="D59" s="223"/>
      <c r="E59" s="223"/>
      <c r="F59" s="223"/>
      <c r="G59" s="223"/>
      <c r="H59" s="224"/>
    </row>
    <row r="60" spans="1:9">
      <c r="A60" s="98" t="s">
        <v>4</v>
      </c>
      <c r="B60" s="98" t="s">
        <v>5</v>
      </c>
      <c r="C60" s="98" t="s">
        <v>6</v>
      </c>
      <c r="D60" s="98" t="s">
        <v>7</v>
      </c>
      <c r="E60" s="98" t="s">
        <v>8</v>
      </c>
      <c r="F60" s="98" t="s">
        <v>9</v>
      </c>
      <c r="G60" s="98" t="s">
        <v>10</v>
      </c>
      <c r="H60" s="152" t="s">
        <v>11</v>
      </c>
      <c r="I60" s="97" t="s">
        <v>139</v>
      </c>
    </row>
    <row r="61" spans="1:9">
      <c r="A61" s="97" t="s">
        <v>13</v>
      </c>
      <c r="B61" s="48">
        <v>622</v>
      </c>
      <c r="C61" s="48">
        <v>590</v>
      </c>
      <c r="D61" s="48">
        <v>1557</v>
      </c>
      <c r="E61" s="48">
        <v>1343</v>
      </c>
      <c r="F61" s="48">
        <v>1496</v>
      </c>
      <c r="G61" s="48">
        <v>1530</v>
      </c>
      <c r="H61" s="153">
        <v>1350</v>
      </c>
      <c r="I61" s="48">
        <f>SUM(B61:H61)</f>
        <v>8488</v>
      </c>
    </row>
    <row r="62" spans="1:9">
      <c r="A62" s="97" t="s">
        <v>14</v>
      </c>
      <c r="B62" s="48">
        <v>214</v>
      </c>
      <c r="C62" s="48">
        <v>176</v>
      </c>
      <c r="D62" s="48">
        <v>683</v>
      </c>
      <c r="E62" s="48">
        <v>520</v>
      </c>
      <c r="F62" s="48">
        <v>769</v>
      </c>
      <c r="G62" s="48">
        <v>621</v>
      </c>
      <c r="H62" s="153">
        <v>1276</v>
      </c>
      <c r="I62" s="48">
        <f>SUM(B62:H62)</f>
        <v>4259</v>
      </c>
    </row>
    <row r="63" spans="1:9">
      <c r="A63" s="97" t="s">
        <v>15</v>
      </c>
      <c r="B63" s="48">
        <v>652</v>
      </c>
      <c r="C63" s="48">
        <v>471</v>
      </c>
      <c r="D63" s="48">
        <v>1438</v>
      </c>
      <c r="E63" s="48">
        <v>1239</v>
      </c>
      <c r="F63" s="48">
        <v>1508</v>
      </c>
      <c r="G63" s="48">
        <v>1505</v>
      </c>
      <c r="H63" s="153">
        <v>1169</v>
      </c>
      <c r="I63" s="48">
        <f>SUM(B63:H63)</f>
        <v>7982</v>
      </c>
    </row>
    <row r="64" spans="1:9">
      <c r="A64" s="97" t="s">
        <v>16</v>
      </c>
      <c r="B64" s="48">
        <v>178</v>
      </c>
      <c r="C64" s="48">
        <v>134</v>
      </c>
      <c r="D64" s="48">
        <v>469</v>
      </c>
      <c r="E64" s="48">
        <v>386</v>
      </c>
      <c r="F64" s="48">
        <v>452</v>
      </c>
      <c r="G64" s="48">
        <v>530</v>
      </c>
      <c r="H64" s="153">
        <v>413</v>
      </c>
      <c r="I64" s="48">
        <f>SUM(B64:H64)</f>
        <v>2562</v>
      </c>
    </row>
    <row r="65" spans="1:9">
      <c r="A65" s="97" t="s">
        <v>17</v>
      </c>
      <c r="B65" s="48">
        <v>209</v>
      </c>
      <c r="C65" s="48">
        <v>143</v>
      </c>
      <c r="D65" s="48">
        <v>501</v>
      </c>
      <c r="E65" s="48">
        <v>408</v>
      </c>
      <c r="F65" s="48">
        <v>464</v>
      </c>
      <c r="G65" s="48">
        <v>499</v>
      </c>
      <c r="H65" s="153">
        <v>421</v>
      </c>
      <c r="I65" s="48">
        <f>SUM(B65:H65)</f>
        <v>2645</v>
      </c>
    </row>
    <row r="66" spans="1:9">
      <c r="A66" s="97" t="s">
        <v>18</v>
      </c>
      <c r="B66" s="48">
        <v>240</v>
      </c>
      <c r="C66" s="48">
        <v>161</v>
      </c>
      <c r="D66" s="48">
        <v>579</v>
      </c>
      <c r="E66" s="48">
        <v>441</v>
      </c>
      <c r="F66" s="48">
        <v>513</v>
      </c>
      <c r="G66" s="48">
        <v>551</v>
      </c>
      <c r="H66" s="153">
        <v>486</v>
      </c>
      <c r="I66" s="48">
        <f>SUM(B66:H66)</f>
        <v>2971</v>
      </c>
    </row>
    <row r="68" spans="1:9">
      <c r="A68" s="222" t="s">
        <v>148</v>
      </c>
      <c r="B68" s="223"/>
      <c r="C68" s="223"/>
      <c r="D68" s="223"/>
      <c r="E68" s="223"/>
      <c r="F68" s="223"/>
      <c r="G68" s="223"/>
      <c r="H68" s="224"/>
    </row>
    <row r="69" spans="1:9">
      <c r="A69" s="98" t="s">
        <v>4</v>
      </c>
      <c r="B69" s="98" t="s">
        <v>5</v>
      </c>
      <c r="C69" s="98" t="s">
        <v>6</v>
      </c>
      <c r="D69" s="98" t="s">
        <v>7</v>
      </c>
      <c r="E69" s="98" t="s">
        <v>8</v>
      </c>
      <c r="F69" s="98" t="s">
        <v>9</v>
      </c>
      <c r="G69" s="98" t="s">
        <v>10</v>
      </c>
      <c r="H69" s="152" t="s">
        <v>11</v>
      </c>
      <c r="I69" s="97" t="s">
        <v>139</v>
      </c>
    </row>
    <row r="70" spans="1:9">
      <c r="A70" s="97" t="s">
        <v>13</v>
      </c>
      <c r="B70" s="48"/>
      <c r="C70" s="48"/>
      <c r="D70" s="48"/>
      <c r="E70" s="48"/>
      <c r="F70" s="48"/>
      <c r="G70" s="48"/>
      <c r="H70" s="153"/>
      <c r="I70" s="48"/>
    </row>
    <row r="71" spans="1:9">
      <c r="A71" s="97" t="s">
        <v>14</v>
      </c>
      <c r="B71" s="48"/>
      <c r="C71" s="48"/>
      <c r="D71" s="48"/>
      <c r="E71" s="48"/>
      <c r="F71" s="48"/>
      <c r="G71" s="48"/>
      <c r="H71" s="153"/>
      <c r="I71" s="48"/>
    </row>
    <row r="72" spans="1:9">
      <c r="A72" s="97" t="s">
        <v>15</v>
      </c>
      <c r="B72" s="48"/>
      <c r="C72" s="48"/>
      <c r="D72" s="48"/>
      <c r="E72" s="48"/>
      <c r="F72" s="48"/>
      <c r="G72" s="48"/>
      <c r="H72" s="153"/>
      <c r="I72" s="48"/>
    </row>
    <row r="73" spans="1:9">
      <c r="A73" s="97" t="s">
        <v>16</v>
      </c>
      <c r="B73" s="48"/>
      <c r="C73" s="48"/>
      <c r="D73" s="48"/>
      <c r="E73" s="48"/>
      <c r="F73" s="48"/>
      <c r="G73" s="48"/>
      <c r="H73" s="153"/>
      <c r="I73" s="48"/>
    </row>
    <row r="74" spans="1:9">
      <c r="A74" s="97" t="s">
        <v>17</v>
      </c>
      <c r="B74" s="48"/>
      <c r="C74" s="48"/>
      <c r="D74" s="48"/>
      <c r="E74" s="48"/>
      <c r="F74" s="48"/>
      <c r="G74" s="48"/>
      <c r="H74" s="153"/>
      <c r="I74" s="48"/>
    </row>
    <row r="75" spans="1:9">
      <c r="A75" s="97" t="s">
        <v>18</v>
      </c>
      <c r="B75" s="48"/>
      <c r="C75" s="48"/>
      <c r="D75" s="48"/>
      <c r="E75" s="48"/>
      <c r="F75" s="48"/>
      <c r="G75" s="48"/>
      <c r="H75" s="153"/>
      <c r="I75" s="48"/>
    </row>
    <row r="77" spans="1:9">
      <c r="A77" s="222" t="s">
        <v>149</v>
      </c>
      <c r="B77" s="223"/>
      <c r="C77" s="223"/>
      <c r="D77" s="223"/>
      <c r="E77" s="223"/>
      <c r="F77" s="223"/>
      <c r="G77" s="223"/>
      <c r="H77" s="224"/>
    </row>
    <row r="78" spans="1:9">
      <c r="A78" s="98" t="s">
        <v>4</v>
      </c>
      <c r="B78" s="98" t="s">
        <v>5</v>
      </c>
      <c r="C78" s="98" t="s">
        <v>6</v>
      </c>
      <c r="D78" s="98" t="s">
        <v>7</v>
      </c>
      <c r="E78" s="98" t="s">
        <v>8</v>
      </c>
      <c r="F78" s="98" t="s">
        <v>9</v>
      </c>
      <c r="G78" s="98" t="s">
        <v>10</v>
      </c>
      <c r="H78" s="152" t="s">
        <v>11</v>
      </c>
      <c r="I78" s="97" t="s">
        <v>139</v>
      </c>
    </row>
    <row r="79" spans="1:9">
      <c r="A79" s="97" t="s">
        <v>13</v>
      </c>
      <c r="B79" s="48"/>
      <c r="C79" s="48"/>
      <c r="D79" s="48"/>
      <c r="E79" s="48"/>
      <c r="F79" s="48"/>
      <c r="G79" s="48"/>
      <c r="H79" s="153"/>
      <c r="I79" s="48"/>
    </row>
    <row r="80" spans="1:9">
      <c r="A80" s="97" t="s">
        <v>14</v>
      </c>
      <c r="B80" s="48"/>
      <c r="C80" s="48"/>
      <c r="D80" s="48"/>
      <c r="E80" s="48"/>
      <c r="F80" s="48"/>
      <c r="G80" s="48"/>
      <c r="H80" s="153"/>
      <c r="I80" s="48"/>
    </row>
    <row r="81" spans="1:9">
      <c r="A81" s="97" t="s">
        <v>15</v>
      </c>
      <c r="B81" s="48"/>
      <c r="C81" s="48"/>
      <c r="D81" s="48"/>
      <c r="E81" s="48"/>
      <c r="F81" s="48"/>
      <c r="G81" s="48"/>
      <c r="H81" s="153"/>
      <c r="I81" s="48"/>
    </row>
    <row r="82" spans="1:9">
      <c r="A82" s="97" t="s">
        <v>16</v>
      </c>
      <c r="B82" s="48"/>
      <c r="C82" s="48"/>
      <c r="D82" s="48"/>
      <c r="E82" s="48"/>
      <c r="F82" s="48"/>
      <c r="G82" s="48"/>
      <c r="H82" s="153"/>
      <c r="I82" s="48"/>
    </row>
    <row r="83" spans="1:9">
      <c r="A83" s="97" t="s">
        <v>17</v>
      </c>
      <c r="B83" s="48"/>
      <c r="C83" s="48"/>
      <c r="D83" s="48"/>
      <c r="E83" s="48"/>
      <c r="F83" s="48"/>
      <c r="G83" s="48"/>
      <c r="H83" s="153"/>
      <c r="I83" s="48"/>
    </row>
    <row r="84" spans="1:9">
      <c r="A84" s="97" t="s">
        <v>18</v>
      </c>
      <c r="B84" s="48"/>
      <c r="C84" s="48"/>
      <c r="D84" s="48"/>
      <c r="E84" s="48"/>
      <c r="F84" s="48"/>
      <c r="G84" s="48"/>
      <c r="H84" s="153"/>
      <c r="I84" s="48"/>
    </row>
  </sheetData>
  <mergeCells count="10">
    <mergeCell ref="A40:H40"/>
    <mergeCell ref="A49:H49"/>
    <mergeCell ref="A59:H59"/>
    <mergeCell ref="A68:H68"/>
    <mergeCell ref="A77:H77"/>
    <mergeCell ref="A1:M1"/>
    <mergeCell ref="A3:H3"/>
    <mergeCell ref="A12:H12"/>
    <mergeCell ref="A21:H21"/>
    <mergeCell ref="A31:H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2025-03-31T22:08:28Z</dcterms:created>
  <dcterms:modified xsi:type="dcterms:W3CDTF">2026-01-09T14:39:06Z</dcterms:modified>
  <cp:category/>
  <cp:contentStatus/>
</cp:coreProperties>
</file>